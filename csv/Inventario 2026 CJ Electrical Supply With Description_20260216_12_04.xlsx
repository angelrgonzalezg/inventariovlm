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ython\Python_Projects\inventariovlm\csv\"/>
    </mc:Choice>
  </mc:AlternateContent>
  <xr:revisionPtr revIDLastSave="0" documentId="13_ncr:1_{8E027277-BA28-4140-A3A5-12869E7ACB89}" xr6:coauthVersionLast="47" xr6:coauthVersionMax="47" xr10:uidLastSave="{00000000-0000-0000-0000-000000000000}"/>
  <bookViews>
    <workbookView xWindow="-120" yWindow="-120" windowWidth="29040" windowHeight="17640" firstSheet="18" activeTab="24" xr2:uid="{89A8A75D-4452-4F5F-8357-FB29029CF409}"/>
  </bookViews>
  <sheets>
    <sheet name="Count Sheet" sheetId="1" r:id="rId1"/>
    <sheet name="PILOTO" sheetId="8" r:id="rId2"/>
    <sheet name="Catalog" sheetId="19" r:id="rId3"/>
    <sheet name="D1 (V)" sheetId="17" r:id="rId4"/>
    <sheet name="D2 (V)" sheetId="12" r:id="rId5"/>
    <sheet name="D3 (V)" sheetId="18" r:id="rId6"/>
    <sheet name="D1 (M)" sheetId="11" r:id="rId7"/>
    <sheet name="Sheet1" sheetId="35" r:id="rId8"/>
    <sheet name="D2 (M)" sheetId="4" r:id="rId9"/>
    <sheet name="D3 (M)" sheetId="15" r:id="rId10"/>
    <sheet name="D4 (M)" sheetId="16" r:id="rId11"/>
    <sheet name="D1 (V) Fixed" sheetId="20" r:id="rId12"/>
    <sheet name="D2 (V) Fixed" sheetId="22" r:id="rId13"/>
    <sheet name="D3 (V) Fixed" sheetId="24" r:id="rId14"/>
    <sheet name="D1 (M) Fixed" sheetId="26" r:id="rId15"/>
    <sheet name="D2 (M) Fixed" sheetId="28" r:id="rId16"/>
    <sheet name="D3 (M) Fixed" sheetId="30" r:id="rId17"/>
    <sheet name="D4 (M) Fixed" sheetId="32" r:id="rId18"/>
    <sheet name="D1 (V) forloading" sheetId="21" r:id="rId19"/>
    <sheet name="D2 (V) forloading" sheetId="23" r:id="rId20"/>
    <sheet name="D3 (V) forloading" sheetId="25" r:id="rId21"/>
    <sheet name="D1 (M) forloading" sheetId="27" r:id="rId22"/>
    <sheet name="D2 (M) forloading" sheetId="29" r:id="rId23"/>
    <sheet name="D3 (M) forloading" sheetId="31" r:id="rId24"/>
    <sheet name="D4 (M) forloading" sheetId="33" r:id="rId25"/>
  </sheets>
  <definedNames>
    <definedName name="_xlnm._FilterDatabase" localSheetId="2" hidden="1">Catalog!$A$1:$C$2217</definedName>
    <definedName name="_xlnm._FilterDatabase" localSheetId="0" hidden="1">'Count Sheet'!$A$3:$E$2218</definedName>
    <definedName name="_xlnm._FilterDatabase" localSheetId="21" hidden="1">'D1 (M) forloading'!$A$1:$M$96</definedName>
    <definedName name="_xlnm._FilterDatabase" localSheetId="18" hidden="1">'D1 (V) forloading'!$A$1:$M$77</definedName>
    <definedName name="_xlnm._FilterDatabase" localSheetId="22" hidden="1">'D2 (M) forloading'!$A$1:$L$106</definedName>
    <definedName name="_xlnm._FilterDatabase" localSheetId="23" hidden="1">'D3 (M) forloading'!$A$1:$M$181</definedName>
    <definedName name="_xlnm._FilterDatabase" localSheetId="24" hidden="1">'D4 (M) forloading'!$A$1:$M$159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4" i="33" l="1"/>
  <c r="L154" i="33" s="1"/>
  <c r="I158" i="33"/>
  <c r="L158" i="33" s="1"/>
  <c r="I157" i="33"/>
  <c r="L157" i="33" s="1"/>
  <c r="I156" i="33"/>
  <c r="L156" i="33" s="1"/>
  <c r="I155" i="33"/>
  <c r="L155" i="33" s="1"/>
  <c r="I153" i="33"/>
  <c r="L153" i="33" s="1"/>
  <c r="I152" i="33"/>
  <c r="L152" i="33" s="1"/>
  <c r="I151" i="33"/>
  <c r="L151" i="33" s="1"/>
  <c r="I150" i="33"/>
  <c r="L150" i="33" s="1"/>
  <c r="I149" i="33"/>
  <c r="L149" i="33" s="1"/>
  <c r="I148" i="33"/>
  <c r="L148" i="33" s="1"/>
  <c r="L1048556" i="33"/>
  <c r="I147" i="33"/>
  <c r="L147" i="33" s="1"/>
  <c r="I146" i="33"/>
  <c r="L146" i="33" s="1"/>
  <c r="I145" i="33"/>
  <c r="L145" i="33" s="1"/>
  <c r="I144" i="33"/>
  <c r="L144" i="33" s="1"/>
  <c r="I143" i="33"/>
  <c r="L143" i="33" s="1"/>
  <c r="I142" i="33"/>
  <c r="L142" i="33" s="1"/>
  <c r="I141" i="33"/>
  <c r="L141" i="33" s="1"/>
  <c r="I140" i="33"/>
  <c r="L140" i="33" s="1"/>
  <c r="I139" i="33"/>
  <c r="L139" i="33" s="1"/>
  <c r="I138" i="33"/>
  <c r="L138" i="33" s="1"/>
  <c r="I137" i="33"/>
  <c r="L137" i="33" s="1"/>
  <c r="I136" i="33"/>
  <c r="L136" i="33" s="1"/>
  <c r="I135" i="33"/>
  <c r="L135" i="33" s="1"/>
  <c r="I134" i="33"/>
  <c r="L134" i="33" s="1"/>
  <c r="I133" i="33"/>
  <c r="L133" i="33" s="1"/>
  <c r="I159" i="33"/>
  <c r="L159" i="33" s="1"/>
  <c r="I132" i="33"/>
  <c r="L132" i="33" s="1"/>
  <c r="I131" i="33"/>
  <c r="L131" i="33" s="1"/>
  <c r="I130" i="33"/>
  <c r="L130" i="33" s="1"/>
  <c r="I129" i="33"/>
  <c r="L129" i="33" s="1"/>
  <c r="I128" i="33"/>
  <c r="L128" i="33" s="1"/>
  <c r="I127" i="33"/>
  <c r="L127" i="33" s="1"/>
  <c r="I126" i="33"/>
  <c r="L126" i="33" s="1"/>
  <c r="I125" i="33"/>
  <c r="L125" i="33" s="1"/>
  <c r="I124" i="33"/>
  <c r="L124" i="33" s="1"/>
  <c r="I123" i="33"/>
  <c r="L123" i="33" s="1"/>
  <c r="I122" i="33"/>
  <c r="L122" i="33" s="1"/>
  <c r="I121" i="33"/>
  <c r="L121" i="33" s="1"/>
  <c r="I120" i="33"/>
  <c r="L120" i="33" s="1"/>
  <c r="I119" i="33"/>
  <c r="L119" i="33" s="1"/>
  <c r="I118" i="33"/>
  <c r="L118" i="33" s="1"/>
  <c r="I117" i="33"/>
  <c r="L117" i="33" s="1"/>
  <c r="I116" i="33"/>
  <c r="L116" i="33" s="1"/>
  <c r="I115" i="33"/>
  <c r="L115" i="33" s="1"/>
  <c r="I114" i="33"/>
  <c r="L114" i="33" s="1"/>
  <c r="I113" i="33"/>
  <c r="L113" i="33" s="1"/>
  <c r="I112" i="33"/>
  <c r="L112" i="33" s="1"/>
  <c r="I111" i="33"/>
  <c r="L111" i="33" s="1"/>
  <c r="I110" i="33"/>
  <c r="L110" i="33" s="1"/>
  <c r="I109" i="33"/>
  <c r="L109" i="33" s="1"/>
  <c r="I108" i="33"/>
  <c r="L108" i="33" s="1"/>
  <c r="I107" i="33"/>
  <c r="L107" i="33" s="1"/>
  <c r="I106" i="33"/>
  <c r="L106" i="33" s="1"/>
  <c r="I105" i="33"/>
  <c r="L105" i="33" s="1"/>
  <c r="I104" i="33"/>
  <c r="L104" i="33" s="1"/>
  <c r="I103" i="33"/>
  <c r="L103" i="33" s="1"/>
  <c r="I102" i="33"/>
  <c r="L102" i="33" s="1"/>
  <c r="I101" i="33"/>
  <c r="L101" i="33" s="1"/>
  <c r="I100" i="33"/>
  <c r="L100" i="33" s="1"/>
  <c r="I99" i="33"/>
  <c r="L99" i="33" s="1"/>
  <c r="I98" i="33"/>
  <c r="L98" i="33" s="1"/>
  <c r="I97" i="33"/>
  <c r="L97" i="33" s="1"/>
  <c r="I96" i="33"/>
  <c r="L96" i="33" s="1"/>
  <c r="I95" i="33"/>
  <c r="L95" i="33" s="1"/>
  <c r="I94" i="33"/>
  <c r="L94" i="33" s="1"/>
  <c r="I93" i="33"/>
  <c r="L93" i="33" s="1"/>
  <c r="I92" i="33"/>
  <c r="L92" i="33" s="1"/>
  <c r="I91" i="33"/>
  <c r="L91" i="33" s="1"/>
  <c r="I90" i="33"/>
  <c r="L90" i="33" s="1"/>
  <c r="I89" i="33"/>
  <c r="L89" i="33" s="1"/>
  <c r="I88" i="33"/>
  <c r="L88" i="33" s="1"/>
  <c r="I87" i="33"/>
  <c r="L87" i="33" s="1"/>
  <c r="I86" i="33"/>
  <c r="L86" i="33" s="1"/>
  <c r="I85" i="33"/>
  <c r="L85" i="33" s="1"/>
  <c r="I84" i="33"/>
  <c r="L84" i="33" s="1"/>
  <c r="I83" i="33"/>
  <c r="L83" i="33" s="1"/>
  <c r="I82" i="33"/>
  <c r="L82" i="33" s="1"/>
  <c r="I81" i="33"/>
  <c r="L81" i="33" s="1"/>
  <c r="I80" i="33"/>
  <c r="L80" i="33" s="1"/>
  <c r="I79" i="33"/>
  <c r="L79" i="33" s="1"/>
  <c r="I78" i="33"/>
  <c r="L78" i="33" s="1"/>
  <c r="I77" i="33"/>
  <c r="L77" i="33" s="1"/>
  <c r="I76" i="33"/>
  <c r="L76" i="33" s="1"/>
  <c r="I75" i="33"/>
  <c r="L75" i="33" s="1"/>
  <c r="I74" i="33"/>
  <c r="L74" i="33" s="1"/>
  <c r="I73" i="33"/>
  <c r="L73" i="33" s="1"/>
  <c r="I72" i="33"/>
  <c r="L72" i="33" s="1"/>
  <c r="I71" i="33"/>
  <c r="L71" i="33" s="1"/>
  <c r="I70" i="33"/>
  <c r="L70" i="33" s="1"/>
  <c r="I69" i="33"/>
  <c r="L69" i="33" s="1"/>
  <c r="I68" i="33"/>
  <c r="L68" i="33" s="1"/>
  <c r="I67" i="33"/>
  <c r="L67" i="33" s="1"/>
  <c r="I66" i="33"/>
  <c r="L66" i="33" s="1"/>
  <c r="I65" i="33"/>
  <c r="L65" i="33" s="1"/>
  <c r="I64" i="33"/>
  <c r="L64" i="33" s="1"/>
  <c r="I63" i="33"/>
  <c r="L63" i="33" s="1"/>
  <c r="I62" i="33"/>
  <c r="L62" i="33" s="1"/>
  <c r="I61" i="33"/>
  <c r="L61" i="33" s="1"/>
  <c r="I60" i="33"/>
  <c r="L60" i="33" s="1"/>
  <c r="I59" i="33"/>
  <c r="L59" i="33" s="1"/>
  <c r="I58" i="33"/>
  <c r="L58" i="33" s="1"/>
  <c r="I57" i="33"/>
  <c r="L57" i="33" s="1"/>
  <c r="I56" i="33"/>
  <c r="L56" i="33" s="1"/>
  <c r="I55" i="33"/>
  <c r="L55" i="33" s="1"/>
  <c r="I54" i="33"/>
  <c r="L54" i="33" s="1"/>
  <c r="I53" i="33"/>
  <c r="L53" i="33" s="1"/>
  <c r="I52" i="33"/>
  <c r="L52" i="33" s="1"/>
  <c r="I51" i="33"/>
  <c r="L51" i="33" s="1"/>
  <c r="I50" i="33"/>
  <c r="L50" i="33" s="1"/>
  <c r="I49" i="33"/>
  <c r="L49" i="33" s="1"/>
  <c r="I48" i="33"/>
  <c r="L48" i="33" s="1"/>
  <c r="I47" i="33"/>
  <c r="L47" i="33" s="1"/>
  <c r="I46" i="33"/>
  <c r="L46" i="33" s="1"/>
  <c r="I45" i="33"/>
  <c r="L45" i="33" s="1"/>
  <c r="I44" i="33"/>
  <c r="L44" i="33" s="1"/>
  <c r="I43" i="33"/>
  <c r="L43" i="33" s="1"/>
  <c r="I42" i="33"/>
  <c r="L42" i="33" s="1"/>
  <c r="I41" i="33"/>
  <c r="L41" i="33" s="1"/>
  <c r="I40" i="33"/>
  <c r="L40" i="33" s="1"/>
  <c r="I39" i="33"/>
  <c r="L39" i="33" s="1"/>
  <c r="I38" i="33"/>
  <c r="L38" i="33" s="1"/>
  <c r="I37" i="33"/>
  <c r="L37" i="33" s="1"/>
  <c r="I36" i="33"/>
  <c r="L36" i="33" s="1"/>
  <c r="I35" i="33"/>
  <c r="L35" i="33" s="1"/>
  <c r="I34" i="33"/>
  <c r="L34" i="33" s="1"/>
  <c r="I33" i="33"/>
  <c r="L33" i="33" s="1"/>
  <c r="I32" i="33"/>
  <c r="L32" i="33" s="1"/>
  <c r="I31" i="33"/>
  <c r="L31" i="33" s="1"/>
  <c r="I30" i="33"/>
  <c r="L30" i="33" s="1"/>
  <c r="I29" i="33"/>
  <c r="L29" i="33" s="1"/>
  <c r="I28" i="33"/>
  <c r="L28" i="33" s="1"/>
  <c r="I27" i="33"/>
  <c r="L27" i="33" s="1"/>
  <c r="I26" i="33"/>
  <c r="L26" i="33" s="1"/>
  <c r="I25" i="33"/>
  <c r="L25" i="33" s="1"/>
  <c r="I24" i="33"/>
  <c r="L24" i="33" s="1"/>
  <c r="I23" i="33"/>
  <c r="L23" i="33" s="1"/>
  <c r="I22" i="33"/>
  <c r="L22" i="33" s="1"/>
  <c r="I21" i="33"/>
  <c r="L21" i="33" s="1"/>
  <c r="I20" i="33"/>
  <c r="L20" i="33" s="1"/>
  <c r="I19" i="33"/>
  <c r="L19" i="33" s="1"/>
  <c r="I18" i="33"/>
  <c r="L18" i="33" s="1"/>
  <c r="I17" i="33"/>
  <c r="L17" i="33" s="1"/>
  <c r="I16" i="33"/>
  <c r="L16" i="33" s="1"/>
  <c r="I15" i="33"/>
  <c r="L15" i="33" s="1"/>
  <c r="I14" i="33"/>
  <c r="L14" i="33" s="1"/>
  <c r="I13" i="33"/>
  <c r="L13" i="33" s="1"/>
  <c r="I12" i="33"/>
  <c r="L12" i="33" s="1"/>
  <c r="I11" i="33"/>
  <c r="L11" i="33" s="1"/>
  <c r="I10" i="33"/>
  <c r="L10" i="33" s="1"/>
  <c r="I9" i="33"/>
  <c r="L9" i="33" s="1"/>
  <c r="I8" i="33"/>
  <c r="L8" i="33" s="1"/>
  <c r="I7" i="33"/>
  <c r="L7" i="33" s="1"/>
  <c r="I6" i="33"/>
  <c r="L6" i="33" s="1"/>
  <c r="I5" i="33"/>
  <c r="L5" i="33" s="1"/>
  <c r="I4" i="33"/>
  <c r="L4" i="33" s="1"/>
  <c r="I3" i="33"/>
  <c r="L3" i="33" s="1"/>
  <c r="I2" i="33"/>
  <c r="L2" i="33" s="1"/>
  <c r="I101" i="31"/>
  <c r="L101" i="31" s="1"/>
  <c r="I100" i="31"/>
  <c r="L100" i="31" s="1"/>
  <c r="I70" i="31"/>
  <c r="L70" i="31" s="1"/>
  <c r="I69" i="31"/>
  <c r="L69" i="31" s="1"/>
  <c r="I58" i="31"/>
  <c r="L58" i="31" s="1"/>
  <c r="I57" i="31"/>
  <c r="L57" i="31" s="1"/>
  <c r="I56" i="31"/>
  <c r="L56" i="31" s="1"/>
  <c r="I59" i="31"/>
  <c r="L59" i="31" s="1"/>
  <c r="I50" i="31"/>
  <c r="L50" i="31" s="1"/>
  <c r="I181" i="31"/>
  <c r="L181" i="31" s="1"/>
  <c r="I180" i="31"/>
  <c r="L180" i="31" s="1"/>
  <c r="I179" i="31"/>
  <c r="L179" i="31" s="1"/>
  <c r="I178" i="31"/>
  <c r="L178" i="31" s="1"/>
  <c r="I177" i="31"/>
  <c r="L177" i="31" s="1"/>
  <c r="I176" i="31"/>
  <c r="L176" i="31" s="1"/>
  <c r="I175" i="31"/>
  <c r="L175" i="31" s="1"/>
  <c r="I174" i="31"/>
  <c r="L174" i="31" s="1"/>
  <c r="I173" i="31"/>
  <c r="L173" i="31" s="1"/>
  <c r="I172" i="31"/>
  <c r="L172" i="31" s="1"/>
  <c r="I171" i="31"/>
  <c r="L171" i="31" s="1"/>
  <c r="I170" i="31"/>
  <c r="L170" i="31" s="1"/>
  <c r="I169" i="31"/>
  <c r="L169" i="31" s="1"/>
  <c r="I168" i="31"/>
  <c r="L168" i="31" s="1"/>
  <c r="I167" i="31"/>
  <c r="L167" i="31" s="1"/>
  <c r="I166" i="31"/>
  <c r="L166" i="31" s="1"/>
  <c r="I165" i="31"/>
  <c r="L165" i="31" s="1"/>
  <c r="I164" i="31"/>
  <c r="L164" i="31" s="1"/>
  <c r="I163" i="31"/>
  <c r="L163" i="31" s="1"/>
  <c r="I162" i="31"/>
  <c r="L162" i="31" s="1"/>
  <c r="I161" i="31"/>
  <c r="L161" i="31" s="1"/>
  <c r="I160" i="31"/>
  <c r="L160" i="31" s="1"/>
  <c r="I159" i="31"/>
  <c r="L159" i="31" s="1"/>
  <c r="I158" i="31"/>
  <c r="L158" i="31" s="1"/>
  <c r="I157" i="31"/>
  <c r="L157" i="31" s="1"/>
  <c r="I156" i="31"/>
  <c r="L156" i="31" s="1"/>
  <c r="I155" i="31"/>
  <c r="L155" i="31" s="1"/>
  <c r="I154" i="31"/>
  <c r="L154" i="31" s="1"/>
  <c r="I153" i="31"/>
  <c r="L153" i="31" s="1"/>
  <c r="I152" i="31"/>
  <c r="L152" i="31" s="1"/>
  <c r="I151" i="31"/>
  <c r="L151" i="31" s="1"/>
  <c r="I150" i="31"/>
  <c r="L150" i="31" s="1"/>
  <c r="I149" i="31"/>
  <c r="L149" i="31" s="1"/>
  <c r="I148" i="31"/>
  <c r="L148" i="31" s="1"/>
  <c r="I147" i="31"/>
  <c r="L147" i="31" s="1"/>
  <c r="I146" i="31"/>
  <c r="L146" i="31" s="1"/>
  <c r="I145" i="31"/>
  <c r="L145" i="31" s="1"/>
  <c r="I144" i="31"/>
  <c r="L144" i="31" s="1"/>
  <c r="I143" i="31"/>
  <c r="L143" i="31" s="1"/>
  <c r="I142" i="31"/>
  <c r="L142" i="31" s="1"/>
  <c r="I141" i="31"/>
  <c r="L141" i="31" s="1"/>
  <c r="I140" i="31"/>
  <c r="L140" i="31" s="1"/>
  <c r="I139" i="31"/>
  <c r="L139" i="31" s="1"/>
  <c r="I138" i="31"/>
  <c r="L138" i="31" s="1"/>
  <c r="I137" i="31"/>
  <c r="L137" i="31" s="1"/>
  <c r="I136" i="31"/>
  <c r="L136" i="31" s="1"/>
  <c r="I135" i="31"/>
  <c r="L135" i="31" s="1"/>
  <c r="I134" i="31"/>
  <c r="L134" i="31" s="1"/>
  <c r="I133" i="31"/>
  <c r="L133" i="31" s="1"/>
  <c r="I132" i="31"/>
  <c r="L132" i="31" s="1"/>
  <c r="I131" i="31"/>
  <c r="L131" i="31" s="1"/>
  <c r="I130" i="31"/>
  <c r="L130" i="31" s="1"/>
  <c r="I129" i="31"/>
  <c r="L129" i="31" s="1"/>
  <c r="I128" i="31"/>
  <c r="L128" i="31" s="1"/>
  <c r="I127" i="31"/>
  <c r="L127" i="31" s="1"/>
  <c r="I126" i="31"/>
  <c r="I125" i="31"/>
  <c r="L125" i="31" s="1"/>
  <c r="I124" i="31"/>
  <c r="L124" i="31" s="1"/>
  <c r="I123" i="31"/>
  <c r="L123" i="31" s="1"/>
  <c r="I122" i="31"/>
  <c r="L122" i="31" s="1"/>
  <c r="I121" i="31"/>
  <c r="L121" i="31" s="1"/>
  <c r="I120" i="31"/>
  <c r="L120" i="31" s="1"/>
  <c r="I119" i="31"/>
  <c r="L119" i="31" s="1"/>
  <c r="I118" i="31"/>
  <c r="L118" i="31" s="1"/>
  <c r="I117" i="31"/>
  <c r="L117" i="31" s="1"/>
  <c r="I116" i="31"/>
  <c r="L116" i="31" s="1"/>
  <c r="I115" i="31"/>
  <c r="L115" i="31" s="1"/>
  <c r="I114" i="31"/>
  <c r="L114" i="31" s="1"/>
  <c r="I113" i="31"/>
  <c r="L113" i="31" s="1"/>
  <c r="I112" i="31"/>
  <c r="L112" i="31" s="1"/>
  <c r="I111" i="31"/>
  <c r="L111" i="31" s="1"/>
  <c r="I109" i="31"/>
  <c r="L109" i="31" s="1"/>
  <c r="I108" i="31"/>
  <c r="L108" i="31" s="1"/>
  <c r="I107" i="31"/>
  <c r="L107" i="31" s="1"/>
  <c r="I106" i="31"/>
  <c r="L106" i="31" s="1"/>
  <c r="I105" i="31"/>
  <c r="L105" i="31" s="1"/>
  <c r="I104" i="31"/>
  <c r="L104" i="31" s="1"/>
  <c r="I103" i="31"/>
  <c r="L103" i="31" s="1"/>
  <c r="I102" i="31"/>
  <c r="L102" i="31" s="1"/>
  <c r="I99" i="31"/>
  <c r="L99" i="31" s="1"/>
  <c r="I98" i="31"/>
  <c r="L98" i="31" s="1"/>
  <c r="I97" i="31"/>
  <c r="L97" i="31" s="1"/>
  <c r="I96" i="31"/>
  <c r="L96" i="31" s="1"/>
  <c r="I95" i="31"/>
  <c r="L95" i="31" s="1"/>
  <c r="I94" i="31"/>
  <c r="L94" i="31" s="1"/>
  <c r="I93" i="31"/>
  <c r="L93" i="31" s="1"/>
  <c r="I92" i="31"/>
  <c r="L92" i="31" s="1"/>
  <c r="I91" i="31"/>
  <c r="L91" i="31" s="1"/>
  <c r="I90" i="31"/>
  <c r="L90" i="31" s="1"/>
  <c r="I89" i="31"/>
  <c r="L89" i="31" s="1"/>
  <c r="I88" i="31"/>
  <c r="L88" i="31" s="1"/>
  <c r="I87" i="31"/>
  <c r="L87" i="31" s="1"/>
  <c r="I86" i="31"/>
  <c r="L86" i="31" s="1"/>
  <c r="I84" i="31"/>
  <c r="L84" i="31" s="1"/>
  <c r="I83" i="31"/>
  <c r="L83" i="31" s="1"/>
  <c r="I82" i="31"/>
  <c r="L82" i="31" s="1"/>
  <c r="I81" i="31"/>
  <c r="L81" i="31" s="1"/>
  <c r="I80" i="31"/>
  <c r="L80" i="31" s="1"/>
  <c r="I79" i="31"/>
  <c r="L79" i="31" s="1"/>
  <c r="I78" i="31"/>
  <c r="L78" i="31" s="1"/>
  <c r="I77" i="31"/>
  <c r="L77" i="31" s="1"/>
  <c r="I76" i="31"/>
  <c r="L76" i="31" s="1"/>
  <c r="I75" i="31"/>
  <c r="L75" i="31" s="1"/>
  <c r="I74" i="31"/>
  <c r="L74" i="31" s="1"/>
  <c r="I73" i="31"/>
  <c r="L73" i="31" s="1"/>
  <c r="I71" i="31"/>
  <c r="L71" i="31" s="1"/>
  <c r="I67" i="31"/>
  <c r="L67" i="31" s="1"/>
  <c r="I65" i="31"/>
  <c r="L65" i="31" s="1"/>
  <c r="I64" i="31"/>
  <c r="L64" i="31" s="1"/>
  <c r="I62" i="31"/>
  <c r="L62" i="31" s="1"/>
  <c r="I61" i="31"/>
  <c r="L61" i="31" s="1"/>
  <c r="I60" i="31"/>
  <c r="L60" i="31" s="1"/>
  <c r="I53" i="31"/>
  <c r="L53" i="31" s="1"/>
  <c r="I52" i="31"/>
  <c r="L52" i="31" s="1"/>
  <c r="I51" i="31"/>
  <c r="L51" i="31" s="1"/>
  <c r="I49" i="31"/>
  <c r="L49" i="31" s="1"/>
  <c r="I46" i="31"/>
  <c r="L46" i="31" s="1"/>
  <c r="I45" i="31"/>
  <c r="L45" i="31" s="1"/>
  <c r="I44" i="31"/>
  <c r="L44" i="31" s="1"/>
  <c r="I42" i="31"/>
  <c r="L42" i="31" s="1"/>
  <c r="I40" i="31"/>
  <c r="L40" i="31" s="1"/>
  <c r="I39" i="31"/>
  <c r="L39" i="31" s="1"/>
  <c r="I38" i="31"/>
  <c r="L38" i="31" s="1"/>
  <c r="I34" i="31"/>
  <c r="L34" i="31" s="1"/>
  <c r="I33" i="31"/>
  <c r="L33" i="31" s="1"/>
  <c r="I29" i="31"/>
  <c r="L29" i="31" s="1"/>
  <c r="I22" i="31"/>
  <c r="L22" i="31" s="1"/>
  <c r="I21" i="31"/>
  <c r="L21" i="31" s="1"/>
  <c r="I15" i="31"/>
  <c r="L15" i="31" s="1"/>
  <c r="I5" i="31"/>
  <c r="L5" i="31" s="1"/>
  <c r="I110" i="31"/>
  <c r="L110" i="31" s="1"/>
  <c r="I85" i="31"/>
  <c r="L85" i="31" s="1"/>
  <c r="I72" i="31"/>
  <c r="L72" i="31" s="1"/>
  <c r="I68" i="31"/>
  <c r="L68" i="31" s="1"/>
  <c r="I66" i="31"/>
  <c r="L66" i="31" s="1"/>
  <c r="I63" i="31"/>
  <c r="L63" i="31" s="1"/>
  <c r="I55" i="31"/>
  <c r="L55" i="31" s="1"/>
  <c r="I54" i="31"/>
  <c r="L54" i="31" s="1"/>
  <c r="I48" i="31"/>
  <c r="L48" i="31" s="1"/>
  <c r="I47" i="31"/>
  <c r="L47" i="31" s="1"/>
  <c r="I43" i="31"/>
  <c r="L43" i="31" s="1"/>
  <c r="I41" i="31"/>
  <c r="L41" i="31" s="1"/>
  <c r="I37" i="31"/>
  <c r="L37" i="31" s="1"/>
  <c r="I36" i="31"/>
  <c r="L36" i="31" s="1"/>
  <c r="I35" i="31"/>
  <c r="L35" i="31" s="1"/>
  <c r="I32" i="31"/>
  <c r="L32" i="31" s="1"/>
  <c r="I31" i="31"/>
  <c r="L31" i="31" s="1"/>
  <c r="I30" i="31"/>
  <c r="L30" i="31" s="1"/>
  <c r="I28" i="31"/>
  <c r="L28" i="31" s="1"/>
  <c r="I27" i="31"/>
  <c r="L27" i="31" s="1"/>
  <c r="I26" i="31"/>
  <c r="L26" i="31" s="1"/>
  <c r="I25" i="31"/>
  <c r="L25" i="31" s="1"/>
  <c r="I24" i="31"/>
  <c r="L24" i="31" s="1"/>
  <c r="I23" i="31"/>
  <c r="L23" i="31" s="1"/>
  <c r="I20" i="31"/>
  <c r="L20" i="31" s="1"/>
  <c r="I19" i="31"/>
  <c r="L19" i="31" s="1"/>
  <c r="I18" i="31"/>
  <c r="L18" i="31" s="1"/>
  <c r="I17" i="31"/>
  <c r="L17" i="31" s="1"/>
  <c r="I16" i="31"/>
  <c r="L16" i="31" s="1"/>
  <c r="I14" i="31"/>
  <c r="L14" i="31" s="1"/>
  <c r="I13" i="31"/>
  <c r="L13" i="31" s="1"/>
  <c r="I12" i="31"/>
  <c r="L12" i="31" s="1"/>
  <c r="I11" i="31"/>
  <c r="L11" i="31" s="1"/>
  <c r="I10" i="31"/>
  <c r="L10" i="31" s="1"/>
  <c r="I9" i="31"/>
  <c r="L9" i="31" s="1"/>
  <c r="I8" i="31"/>
  <c r="L8" i="31" s="1"/>
  <c r="I7" i="31"/>
  <c r="L7" i="31" s="1"/>
  <c r="I6" i="31"/>
  <c r="L6" i="31" s="1"/>
  <c r="I4" i="31"/>
  <c r="L4" i="31" s="1"/>
  <c r="I3" i="31"/>
  <c r="L3" i="31" s="1"/>
  <c r="I2" i="31"/>
  <c r="L2" i="31" s="1"/>
  <c r="I41" i="29"/>
  <c r="L41" i="29" s="1"/>
  <c r="I40" i="29"/>
  <c r="L40" i="29" s="1"/>
  <c r="I39" i="29"/>
  <c r="L39" i="29" s="1"/>
  <c r="I38" i="29"/>
  <c r="L38" i="29" s="1"/>
  <c r="I37" i="29"/>
  <c r="L37" i="29" s="1"/>
  <c r="I36" i="29"/>
  <c r="L36" i="29" s="1"/>
  <c r="I35" i="29"/>
  <c r="L35" i="29" s="1"/>
  <c r="I34" i="29"/>
  <c r="L34" i="29" s="1"/>
  <c r="I33" i="29"/>
  <c r="L33" i="29" s="1"/>
  <c r="I32" i="29"/>
  <c r="L32" i="29" s="1"/>
  <c r="I31" i="29"/>
  <c r="L31" i="29" s="1"/>
  <c r="I30" i="29"/>
  <c r="L30" i="29" s="1"/>
  <c r="I29" i="29"/>
  <c r="L29" i="29" s="1"/>
  <c r="I28" i="29"/>
  <c r="L28" i="29" s="1"/>
  <c r="I27" i="29"/>
  <c r="L27" i="29" s="1"/>
  <c r="I26" i="29"/>
  <c r="L26" i="29" s="1"/>
  <c r="I25" i="29"/>
  <c r="L25" i="29" s="1"/>
  <c r="I24" i="29"/>
  <c r="L24" i="29" s="1"/>
  <c r="I23" i="29"/>
  <c r="L23" i="29" s="1"/>
  <c r="I22" i="29"/>
  <c r="L22" i="29" s="1"/>
  <c r="I21" i="29"/>
  <c r="L21" i="29" s="1"/>
  <c r="I20" i="29"/>
  <c r="L20" i="29" s="1"/>
  <c r="I19" i="29"/>
  <c r="L19" i="29" s="1"/>
  <c r="I18" i="29"/>
  <c r="L18" i="29" s="1"/>
  <c r="I77" i="29"/>
  <c r="L77" i="29" s="1"/>
  <c r="I76" i="29"/>
  <c r="L76" i="29" s="1"/>
  <c r="I75" i="29"/>
  <c r="L75" i="29" s="1"/>
  <c r="I74" i="29"/>
  <c r="L74" i="29" s="1"/>
  <c r="I73" i="29"/>
  <c r="L73" i="29" s="1"/>
  <c r="I72" i="29"/>
  <c r="L72" i="29" s="1"/>
  <c r="I71" i="29"/>
  <c r="L71" i="29" s="1"/>
  <c r="I70" i="29"/>
  <c r="L70" i="29" s="1"/>
  <c r="I69" i="29"/>
  <c r="L69" i="29" s="1"/>
  <c r="I68" i="29"/>
  <c r="L68" i="29" s="1"/>
  <c r="I67" i="29"/>
  <c r="L67" i="29" s="1"/>
  <c r="I66" i="29"/>
  <c r="L66" i="29" s="1"/>
  <c r="I65" i="29"/>
  <c r="L65" i="29" s="1"/>
  <c r="I64" i="29"/>
  <c r="L64" i="29" s="1"/>
  <c r="I63" i="29"/>
  <c r="L63" i="29" s="1"/>
  <c r="I62" i="29"/>
  <c r="L62" i="29" s="1"/>
  <c r="I61" i="29"/>
  <c r="L61" i="29" s="1"/>
  <c r="I60" i="29"/>
  <c r="L60" i="29" s="1"/>
  <c r="I59" i="29"/>
  <c r="L59" i="29" s="1"/>
  <c r="I58" i="29"/>
  <c r="L58" i="29" s="1"/>
  <c r="I57" i="29"/>
  <c r="L57" i="29" s="1"/>
  <c r="I56" i="29"/>
  <c r="L56" i="29" s="1"/>
  <c r="I55" i="29"/>
  <c r="L55" i="29" s="1"/>
  <c r="I54" i="29"/>
  <c r="L54" i="29" s="1"/>
  <c r="I53" i="29"/>
  <c r="L53" i="29" s="1"/>
  <c r="I52" i="29"/>
  <c r="L52" i="29" s="1"/>
  <c r="I51" i="29"/>
  <c r="L51" i="29" s="1"/>
  <c r="I50" i="29"/>
  <c r="L50" i="29" s="1"/>
  <c r="I49" i="29"/>
  <c r="L49" i="29" s="1"/>
  <c r="I48" i="29"/>
  <c r="L48" i="29" s="1"/>
  <c r="I47" i="29"/>
  <c r="L47" i="29" s="1"/>
  <c r="I46" i="29"/>
  <c r="L46" i="29" s="1"/>
  <c r="I45" i="29"/>
  <c r="L45" i="29" s="1"/>
  <c r="I44" i="29"/>
  <c r="L44" i="29" s="1"/>
  <c r="I43" i="29"/>
  <c r="L43" i="29" s="1"/>
  <c r="I42" i="29"/>
  <c r="L42" i="29" s="1"/>
  <c r="I106" i="29"/>
  <c r="L106" i="29" s="1"/>
  <c r="I105" i="29"/>
  <c r="L105" i="29" s="1"/>
  <c r="I104" i="29"/>
  <c r="L104" i="29" s="1"/>
  <c r="I103" i="29"/>
  <c r="L103" i="29" s="1"/>
  <c r="I102" i="29"/>
  <c r="L102" i="29" s="1"/>
  <c r="I101" i="29"/>
  <c r="L101" i="29" s="1"/>
  <c r="I100" i="29"/>
  <c r="L100" i="29" s="1"/>
  <c r="I99" i="29"/>
  <c r="L99" i="29" s="1"/>
  <c r="I98" i="29"/>
  <c r="L98" i="29" s="1"/>
  <c r="I97" i="29"/>
  <c r="L97" i="29" s="1"/>
  <c r="I96" i="29"/>
  <c r="L96" i="29" s="1"/>
  <c r="I95" i="29"/>
  <c r="L95" i="29" s="1"/>
  <c r="I94" i="29"/>
  <c r="L94" i="29" s="1"/>
  <c r="I93" i="29"/>
  <c r="L93" i="29" s="1"/>
  <c r="I92" i="29"/>
  <c r="L92" i="29" s="1"/>
  <c r="I91" i="29"/>
  <c r="L91" i="29" s="1"/>
  <c r="I90" i="29"/>
  <c r="L90" i="29" s="1"/>
  <c r="I89" i="29"/>
  <c r="L89" i="29" s="1"/>
  <c r="I88" i="29"/>
  <c r="L88" i="29" s="1"/>
  <c r="I87" i="29"/>
  <c r="L87" i="29" s="1"/>
  <c r="I86" i="29"/>
  <c r="L86" i="29" s="1"/>
  <c r="I85" i="29"/>
  <c r="L85" i="29" s="1"/>
  <c r="I84" i="29"/>
  <c r="L84" i="29" s="1"/>
  <c r="I83" i="29"/>
  <c r="L83" i="29" s="1"/>
  <c r="I82" i="29"/>
  <c r="L82" i="29" s="1"/>
  <c r="I81" i="29"/>
  <c r="L81" i="29" s="1"/>
  <c r="I80" i="29"/>
  <c r="L80" i="29" s="1"/>
  <c r="I79" i="29"/>
  <c r="L79" i="29" s="1"/>
  <c r="I78" i="29"/>
  <c r="L78" i="29" s="1"/>
  <c r="I17" i="29"/>
  <c r="L17" i="29" s="1"/>
  <c r="I16" i="29"/>
  <c r="L16" i="29" s="1"/>
  <c r="I15" i="29"/>
  <c r="L15" i="29" s="1"/>
  <c r="I14" i="29"/>
  <c r="L14" i="29" s="1"/>
  <c r="I13" i="29"/>
  <c r="L13" i="29" s="1"/>
  <c r="I12" i="29"/>
  <c r="L12" i="29" s="1"/>
  <c r="I11" i="29"/>
  <c r="L11" i="29" s="1"/>
  <c r="I10" i="29"/>
  <c r="L10" i="29" s="1"/>
  <c r="I9" i="29"/>
  <c r="L9" i="29" s="1"/>
  <c r="I8" i="29"/>
  <c r="L8" i="29" s="1"/>
  <c r="I7" i="29"/>
  <c r="L7" i="29" s="1"/>
  <c r="I6" i="29"/>
  <c r="L6" i="29" s="1"/>
  <c r="I5" i="29"/>
  <c r="L5" i="29" s="1"/>
  <c r="I4" i="29"/>
  <c r="L4" i="29" s="1"/>
  <c r="I3" i="29"/>
  <c r="L3" i="29" s="1"/>
  <c r="I2" i="29"/>
  <c r="L2" i="29" s="1"/>
  <c r="I96" i="27"/>
  <c r="L96" i="27" s="1"/>
  <c r="L95" i="27"/>
  <c r="I95" i="27"/>
  <c r="I94" i="27"/>
  <c r="L94" i="27" s="1"/>
  <c r="I84" i="27"/>
  <c r="I93" i="27"/>
  <c r="L93" i="27" s="1"/>
  <c r="I92" i="27"/>
  <c r="L92" i="27" s="1"/>
  <c r="I91" i="27"/>
  <c r="L91" i="27" s="1"/>
  <c r="I90" i="27"/>
  <c r="L90" i="27" s="1"/>
  <c r="I89" i="27"/>
  <c r="L89" i="27" s="1"/>
  <c r="I88" i="27"/>
  <c r="L88" i="27" s="1"/>
  <c r="I87" i="27"/>
  <c r="L87" i="27" s="1"/>
  <c r="I86" i="27"/>
  <c r="L86" i="27" s="1"/>
  <c r="I85" i="27"/>
  <c r="L85" i="27" s="1"/>
  <c r="L84" i="27"/>
  <c r="I83" i="27"/>
  <c r="L83" i="27" s="1"/>
  <c r="I82" i="27"/>
  <c r="L82" i="27" s="1"/>
  <c r="I38" i="27"/>
  <c r="L38" i="27" s="1"/>
  <c r="I37" i="27"/>
  <c r="L37" i="27" s="1"/>
  <c r="I36" i="27"/>
  <c r="L36" i="27" s="1"/>
  <c r="I35" i="27"/>
  <c r="L35" i="27" s="1"/>
  <c r="I32" i="27"/>
  <c r="L32" i="27" s="1"/>
  <c r="I31" i="27"/>
  <c r="L31" i="27" s="1"/>
  <c r="I34" i="27"/>
  <c r="L34" i="27" s="1"/>
  <c r="I33" i="27"/>
  <c r="L33" i="27" s="1"/>
  <c r="I30" i="27"/>
  <c r="L30" i="27" s="1"/>
  <c r="I29" i="27"/>
  <c r="L29" i="27" s="1"/>
  <c r="I28" i="27"/>
  <c r="L28" i="27" s="1"/>
  <c r="I27" i="27"/>
  <c r="L27" i="27" s="1"/>
  <c r="I81" i="27"/>
  <c r="L81" i="27" s="1"/>
  <c r="I80" i="27"/>
  <c r="L80" i="27" s="1"/>
  <c r="I79" i="27"/>
  <c r="L79" i="27" s="1"/>
  <c r="I78" i="27"/>
  <c r="L78" i="27" s="1"/>
  <c r="I77" i="27"/>
  <c r="L77" i="27" s="1"/>
  <c r="I76" i="27"/>
  <c r="L76" i="27" s="1"/>
  <c r="I75" i="27"/>
  <c r="L75" i="27" s="1"/>
  <c r="I74" i="27"/>
  <c r="L74" i="27" s="1"/>
  <c r="I73" i="27"/>
  <c r="L73" i="27" s="1"/>
  <c r="I72" i="27"/>
  <c r="L72" i="27" s="1"/>
  <c r="I71" i="27"/>
  <c r="L71" i="27" s="1"/>
  <c r="I70" i="27"/>
  <c r="L70" i="27" s="1"/>
  <c r="I69" i="27"/>
  <c r="L69" i="27" s="1"/>
  <c r="I68" i="27"/>
  <c r="L68" i="27" s="1"/>
  <c r="I67" i="27"/>
  <c r="L67" i="27" s="1"/>
  <c r="I66" i="27"/>
  <c r="L66" i="27" s="1"/>
  <c r="I65" i="27"/>
  <c r="L65" i="27" s="1"/>
  <c r="I64" i="27"/>
  <c r="L64" i="27" s="1"/>
  <c r="I63" i="27"/>
  <c r="L63" i="27" s="1"/>
  <c r="I62" i="27"/>
  <c r="L62" i="27" s="1"/>
  <c r="I61" i="27"/>
  <c r="L61" i="27" s="1"/>
  <c r="I60" i="27"/>
  <c r="L60" i="27" s="1"/>
  <c r="I59" i="27"/>
  <c r="L59" i="27" s="1"/>
  <c r="I58" i="27"/>
  <c r="L58" i="27" s="1"/>
  <c r="I57" i="27"/>
  <c r="L57" i="27" s="1"/>
  <c r="I56" i="27"/>
  <c r="L56" i="27" s="1"/>
  <c r="I55" i="27"/>
  <c r="L55" i="27" s="1"/>
  <c r="I54" i="27"/>
  <c r="L54" i="27" s="1"/>
  <c r="I53" i="27"/>
  <c r="L53" i="27" s="1"/>
  <c r="I52" i="27"/>
  <c r="L52" i="27" s="1"/>
  <c r="I51" i="27"/>
  <c r="L51" i="27" s="1"/>
  <c r="I50" i="27"/>
  <c r="L50" i="27" s="1"/>
  <c r="I49" i="27"/>
  <c r="L49" i="27" s="1"/>
  <c r="I48" i="27"/>
  <c r="L48" i="27" s="1"/>
  <c r="I47" i="27"/>
  <c r="L47" i="27" s="1"/>
  <c r="I46" i="27"/>
  <c r="L46" i="27" s="1"/>
  <c r="I45" i="27"/>
  <c r="L45" i="27" s="1"/>
  <c r="I44" i="27"/>
  <c r="L44" i="27" s="1"/>
  <c r="I43" i="27"/>
  <c r="L43" i="27" s="1"/>
  <c r="I42" i="27"/>
  <c r="L42" i="27" s="1"/>
  <c r="I41" i="27"/>
  <c r="L41" i="27" s="1"/>
  <c r="I40" i="27"/>
  <c r="L40" i="27" s="1"/>
  <c r="I39" i="27"/>
  <c r="L39" i="27" s="1"/>
  <c r="I26" i="27"/>
  <c r="L26" i="27" s="1"/>
  <c r="I25" i="27"/>
  <c r="L25" i="27" s="1"/>
  <c r="I24" i="27"/>
  <c r="L24" i="27" s="1"/>
  <c r="I23" i="27"/>
  <c r="L23" i="27" s="1"/>
  <c r="I22" i="27"/>
  <c r="L22" i="27" s="1"/>
  <c r="I21" i="27"/>
  <c r="L21" i="27" s="1"/>
  <c r="I20" i="27"/>
  <c r="L20" i="27" s="1"/>
  <c r="I19" i="27"/>
  <c r="L19" i="27" s="1"/>
  <c r="I18" i="27"/>
  <c r="L18" i="27" s="1"/>
  <c r="I15" i="27"/>
  <c r="L15" i="27" s="1"/>
  <c r="I5" i="27"/>
  <c r="L5" i="27" s="1"/>
  <c r="I17" i="27"/>
  <c r="L17" i="27" s="1"/>
  <c r="I16" i="27"/>
  <c r="L16" i="27" s="1"/>
  <c r="I14" i="27"/>
  <c r="L14" i="27" s="1"/>
  <c r="I13" i="27"/>
  <c r="L13" i="27" s="1"/>
  <c r="I12" i="27"/>
  <c r="L12" i="27" s="1"/>
  <c r="I11" i="27"/>
  <c r="L11" i="27" s="1"/>
  <c r="I10" i="27"/>
  <c r="L10" i="27" s="1"/>
  <c r="I9" i="27"/>
  <c r="L9" i="27" s="1"/>
  <c r="I8" i="27"/>
  <c r="L8" i="27" s="1"/>
  <c r="I68" i="23"/>
  <c r="L68" i="23" s="1"/>
  <c r="I77" i="21"/>
  <c r="L77" i="21" s="1"/>
  <c r="I76" i="21"/>
  <c r="L76" i="21" s="1"/>
  <c r="I95" i="20"/>
  <c r="F94" i="20" a="1"/>
  <c r="F94" i="20" s="1"/>
  <c r="F93" i="20" a="1"/>
  <c r="F93" i="20" s="1"/>
  <c r="I7" i="27"/>
  <c r="L7" i="27" s="1"/>
  <c r="I6" i="27"/>
  <c r="L6" i="27" s="1"/>
  <c r="I4" i="27"/>
  <c r="L4" i="27" s="1"/>
  <c r="I3" i="27"/>
  <c r="L3" i="27" s="1"/>
  <c r="I2" i="27"/>
  <c r="L2" i="27" s="1"/>
  <c r="I92" i="23"/>
  <c r="L92" i="23" s="1"/>
  <c r="I80" i="23"/>
  <c r="L80" i="23" s="1"/>
  <c r="I79" i="23"/>
  <c r="L79" i="23" s="1"/>
  <c r="I72" i="23"/>
  <c r="L72" i="23" s="1"/>
  <c r="I132" i="23"/>
  <c r="L132" i="23" s="1"/>
  <c r="I131" i="23"/>
  <c r="L131" i="23" s="1"/>
  <c r="I130" i="23"/>
  <c r="L130" i="23" s="1"/>
  <c r="I129" i="23"/>
  <c r="L129" i="23" s="1"/>
  <c r="I128" i="23"/>
  <c r="L128" i="23" s="1"/>
  <c r="I127" i="23"/>
  <c r="L127" i="23" s="1"/>
  <c r="I126" i="23"/>
  <c r="L126" i="23" s="1"/>
  <c r="I125" i="23"/>
  <c r="L125" i="23" s="1"/>
  <c r="I124" i="23"/>
  <c r="L124" i="23" s="1"/>
  <c r="I123" i="23"/>
  <c r="L123" i="23" s="1"/>
  <c r="I122" i="23"/>
  <c r="L122" i="23" s="1"/>
  <c r="I121" i="23"/>
  <c r="L121" i="23" s="1"/>
  <c r="I120" i="23"/>
  <c r="L120" i="23" s="1"/>
  <c r="I119" i="23"/>
  <c r="L119" i="23" s="1"/>
  <c r="I118" i="23"/>
  <c r="L118" i="23" s="1"/>
  <c r="L93" i="23"/>
  <c r="I91" i="23"/>
  <c r="L91" i="23" s="1"/>
  <c r="I90" i="23"/>
  <c r="L90" i="23" s="1"/>
  <c r="I89" i="23"/>
  <c r="L89" i="23" s="1"/>
  <c r="I88" i="23"/>
  <c r="L88" i="23" s="1"/>
  <c r="I87" i="23"/>
  <c r="L87" i="23" s="1"/>
  <c r="I86" i="23"/>
  <c r="L86" i="23" s="1"/>
  <c r="I85" i="23"/>
  <c r="L85" i="23" s="1"/>
  <c r="I84" i="23"/>
  <c r="L84" i="23" s="1"/>
  <c r="I83" i="23"/>
  <c r="L83" i="23" s="1"/>
  <c r="I82" i="23"/>
  <c r="L82" i="23" s="1"/>
  <c r="I81" i="23"/>
  <c r="L81" i="23" s="1"/>
  <c r="I117" i="23"/>
  <c r="L117" i="23" s="1"/>
  <c r="I116" i="23"/>
  <c r="L116" i="23" s="1"/>
  <c r="I115" i="23"/>
  <c r="L115" i="23" s="1"/>
  <c r="I114" i="23"/>
  <c r="L114" i="23" s="1"/>
  <c r="I113" i="23"/>
  <c r="L113" i="23" s="1"/>
  <c r="I112" i="23"/>
  <c r="L112" i="23" s="1"/>
  <c r="I111" i="23"/>
  <c r="L111" i="23" s="1"/>
  <c r="I110" i="23"/>
  <c r="L110" i="23" s="1"/>
  <c r="I109" i="23"/>
  <c r="L109" i="23" s="1"/>
  <c r="I108" i="23"/>
  <c r="I107" i="23"/>
  <c r="I106" i="23"/>
  <c r="I105" i="23"/>
  <c r="I104" i="23"/>
  <c r="I103" i="23"/>
  <c r="I102" i="23"/>
  <c r="I101" i="23"/>
  <c r="I100" i="23"/>
  <c r="I99" i="23"/>
  <c r="I98" i="23"/>
  <c r="L98" i="23" s="1"/>
  <c r="I97" i="23"/>
  <c r="L97" i="23" s="1"/>
  <c r="I96" i="23"/>
  <c r="L96" i="23" s="1"/>
  <c r="I95" i="23"/>
  <c r="L95" i="23" s="1"/>
  <c r="I94" i="23"/>
  <c r="L94" i="23" s="1"/>
  <c r="I78" i="23"/>
  <c r="L78" i="23" s="1"/>
  <c r="I77" i="23"/>
  <c r="L77" i="23" s="1"/>
  <c r="I76" i="23"/>
  <c r="L76" i="23" s="1"/>
  <c r="I75" i="23"/>
  <c r="L75" i="23" s="1"/>
  <c r="I74" i="23"/>
  <c r="L74" i="23" s="1"/>
  <c r="I73" i="23"/>
  <c r="L73" i="23" s="1"/>
  <c r="I71" i="23"/>
  <c r="L71" i="23" s="1"/>
  <c r="I70" i="23"/>
  <c r="L70" i="23" s="1"/>
  <c r="I69" i="23"/>
  <c r="L69" i="23" s="1"/>
  <c r="I66" i="23"/>
  <c r="L66" i="23" s="1"/>
  <c r="I64" i="23"/>
  <c r="L64" i="23" s="1"/>
  <c r="I67" i="23"/>
  <c r="L67" i="23" s="1"/>
  <c r="I65" i="23"/>
  <c r="L65" i="23" s="1"/>
  <c r="I63" i="23"/>
  <c r="L63" i="23" s="1"/>
  <c r="I62" i="23"/>
  <c r="L62" i="23" s="1"/>
  <c r="I61" i="23"/>
  <c r="L61" i="23" s="1"/>
  <c r="I60" i="23"/>
  <c r="L60" i="23" s="1"/>
  <c r="I59" i="23"/>
  <c r="L59" i="23" s="1"/>
  <c r="I58" i="23"/>
  <c r="L58" i="23" s="1"/>
  <c r="I57" i="23"/>
  <c r="L57" i="23" s="1"/>
  <c r="I56" i="23"/>
  <c r="L56" i="23" s="1"/>
  <c r="I55" i="23"/>
  <c r="L55" i="23" s="1"/>
  <c r="I54" i="23"/>
  <c r="L54" i="23" s="1"/>
  <c r="I53" i="23"/>
  <c r="L53" i="23" s="1"/>
  <c r="I52" i="23"/>
  <c r="L52" i="23" s="1"/>
  <c r="I51" i="23"/>
  <c r="L51" i="23" s="1"/>
  <c r="I50" i="23"/>
  <c r="L50" i="23" s="1"/>
  <c r="I49" i="23"/>
  <c r="L49" i="23" s="1"/>
  <c r="I48" i="23"/>
  <c r="L48" i="23" s="1"/>
  <c r="I47" i="23"/>
  <c r="L47" i="23" s="1"/>
  <c r="I46" i="23"/>
  <c r="L46" i="23" s="1"/>
  <c r="I45" i="23"/>
  <c r="L45" i="23" s="1"/>
  <c r="I44" i="23"/>
  <c r="L44" i="23" s="1"/>
  <c r="I43" i="23"/>
  <c r="L43" i="23" s="1"/>
  <c r="I42" i="23"/>
  <c r="L42" i="23" s="1"/>
  <c r="I41" i="23"/>
  <c r="L41" i="23" s="1"/>
  <c r="I40" i="23"/>
  <c r="L40" i="23" s="1"/>
  <c r="I39" i="23"/>
  <c r="L39" i="23" s="1"/>
  <c r="I38" i="23"/>
  <c r="L38" i="23" s="1"/>
  <c r="I37" i="23"/>
  <c r="L37" i="23" s="1"/>
  <c r="I36" i="23"/>
  <c r="L36" i="23" s="1"/>
  <c r="I35" i="23"/>
  <c r="L35" i="23" s="1"/>
  <c r="I34" i="23"/>
  <c r="L34" i="23" s="1"/>
  <c r="I33" i="23"/>
  <c r="L33" i="23" s="1"/>
  <c r="I32" i="23"/>
  <c r="L32" i="23" s="1"/>
  <c r="I31" i="23"/>
  <c r="L31" i="23" s="1"/>
  <c r="I30" i="23"/>
  <c r="L30" i="23" s="1"/>
  <c r="I29" i="23"/>
  <c r="L29" i="23" s="1"/>
  <c r="I28" i="23"/>
  <c r="L28" i="23" s="1"/>
  <c r="I27" i="23"/>
  <c r="L27" i="23" s="1"/>
  <c r="I26" i="23"/>
  <c r="L26" i="23" s="1"/>
  <c r="I25" i="23"/>
  <c r="L25" i="23" s="1"/>
  <c r="I24" i="23"/>
  <c r="L24" i="23" s="1"/>
  <c r="I23" i="23"/>
  <c r="L23" i="23" s="1"/>
  <c r="I22" i="23"/>
  <c r="L22" i="23" s="1"/>
  <c r="I21" i="23"/>
  <c r="L21" i="23" s="1"/>
  <c r="I20" i="23"/>
  <c r="L20" i="23" s="1"/>
  <c r="I19" i="23"/>
  <c r="L19" i="23" s="1"/>
  <c r="I18" i="23"/>
  <c r="L18" i="23" s="1"/>
  <c r="I17" i="23"/>
  <c r="L17" i="23" s="1"/>
  <c r="I16" i="23"/>
  <c r="L16" i="23" s="1"/>
  <c r="I15" i="23"/>
  <c r="L15" i="23" s="1"/>
  <c r="I14" i="23"/>
  <c r="L14" i="23" s="1"/>
  <c r="I13" i="23"/>
  <c r="L13" i="23" s="1"/>
  <c r="I12" i="23"/>
  <c r="L12" i="23" s="1"/>
  <c r="I11" i="23"/>
  <c r="L11" i="23" s="1"/>
  <c r="I10" i="23"/>
  <c r="L10" i="23" s="1"/>
  <c r="I9" i="23"/>
  <c r="L9" i="23" s="1"/>
  <c r="I8" i="23"/>
  <c r="L8" i="23" s="1"/>
  <c r="I7" i="23"/>
  <c r="L7" i="23" s="1"/>
  <c r="I6" i="23"/>
  <c r="L6" i="23" s="1"/>
  <c r="I5" i="23"/>
  <c r="L5" i="23" s="1"/>
  <c r="I4" i="23"/>
  <c r="L4" i="23" s="1"/>
  <c r="L94" i="25"/>
  <c r="L93" i="25"/>
  <c r="I94" i="25"/>
  <c r="I93" i="25"/>
  <c r="L44" i="25"/>
  <c r="I42" i="25"/>
  <c r="L42" i="25" s="1"/>
  <c r="L36" i="25"/>
  <c r="I36" i="25"/>
  <c r="I35" i="25"/>
  <c r="L35" i="25" s="1"/>
  <c r="L28" i="25"/>
  <c r="I29" i="25"/>
  <c r="L29" i="25" s="1"/>
  <c r="I28" i="25"/>
  <c r="I140" i="25"/>
  <c r="L140" i="25" s="1"/>
  <c r="I139" i="25"/>
  <c r="L139" i="25" s="1"/>
  <c r="I137" i="25"/>
  <c r="L137" i="25" s="1"/>
  <c r="I136" i="25"/>
  <c r="L136" i="25" s="1"/>
  <c r="I135" i="25"/>
  <c r="L135" i="25" s="1"/>
  <c r="I134" i="25"/>
  <c r="L134" i="25" s="1"/>
  <c r="I133" i="25"/>
  <c r="L133" i="25" s="1"/>
  <c r="I132" i="25"/>
  <c r="L132" i="25" s="1"/>
  <c r="I131" i="25"/>
  <c r="L131" i="25" s="1"/>
  <c r="I123" i="25"/>
  <c r="L123" i="25" s="1"/>
  <c r="I122" i="25"/>
  <c r="L122" i="25" s="1"/>
  <c r="I143" i="25"/>
  <c r="L143" i="25" s="1"/>
  <c r="I142" i="25"/>
  <c r="L142" i="25" s="1"/>
  <c r="I141" i="25"/>
  <c r="L141" i="25" s="1"/>
  <c r="I138" i="25"/>
  <c r="L138" i="25" s="1"/>
  <c r="I130" i="25"/>
  <c r="L130" i="25" s="1"/>
  <c r="I129" i="25"/>
  <c r="L129" i="25" s="1"/>
  <c r="I128" i="25"/>
  <c r="L128" i="25" s="1"/>
  <c r="I127" i="25"/>
  <c r="L127" i="25" s="1"/>
  <c r="I126" i="25"/>
  <c r="L126" i="25" s="1"/>
  <c r="I125" i="25"/>
  <c r="L125" i="25" s="1"/>
  <c r="I124" i="25"/>
  <c r="L124" i="25" s="1"/>
  <c r="I121" i="25"/>
  <c r="L121" i="25" s="1"/>
  <c r="I120" i="25"/>
  <c r="L120" i="25" s="1"/>
  <c r="I119" i="25"/>
  <c r="L119" i="25" s="1"/>
  <c r="I118" i="25"/>
  <c r="L118" i="25" s="1"/>
  <c r="I117" i="25"/>
  <c r="L117" i="25" s="1"/>
  <c r="I116" i="25"/>
  <c r="L116" i="25" s="1"/>
  <c r="I115" i="25"/>
  <c r="L115" i="25" s="1"/>
  <c r="I114" i="25"/>
  <c r="L114" i="25" s="1"/>
  <c r="I113" i="25"/>
  <c r="L113" i="25" s="1"/>
  <c r="I112" i="25"/>
  <c r="L112" i="25" s="1"/>
  <c r="I111" i="25"/>
  <c r="L111" i="25" s="1"/>
  <c r="I110" i="25"/>
  <c r="L110" i="25" s="1"/>
  <c r="I109" i="25"/>
  <c r="L109" i="25" s="1"/>
  <c r="I108" i="25"/>
  <c r="L108" i="25" s="1"/>
  <c r="I107" i="25"/>
  <c r="L107" i="25" s="1"/>
  <c r="I106" i="25"/>
  <c r="L106" i="25" s="1"/>
  <c r="I105" i="25"/>
  <c r="L105" i="25" s="1"/>
  <c r="I104" i="25"/>
  <c r="L104" i="25" s="1"/>
  <c r="I103" i="25"/>
  <c r="L103" i="25" s="1"/>
  <c r="I102" i="25"/>
  <c r="L102" i="25" s="1"/>
  <c r="I101" i="25"/>
  <c r="L101" i="25" s="1"/>
  <c r="I100" i="25"/>
  <c r="L100" i="25" s="1"/>
  <c r="I99" i="25"/>
  <c r="L99" i="25" s="1"/>
  <c r="I98" i="25"/>
  <c r="L98" i="25" s="1"/>
  <c r="I97" i="25"/>
  <c r="L97" i="25" s="1"/>
  <c r="I96" i="25"/>
  <c r="L96" i="25" s="1"/>
  <c r="I95" i="25"/>
  <c r="L95" i="25" s="1"/>
  <c r="I92" i="25"/>
  <c r="L92" i="25" s="1"/>
  <c r="I91" i="25"/>
  <c r="L91" i="25" s="1"/>
  <c r="I90" i="25"/>
  <c r="L90" i="25" s="1"/>
  <c r="I89" i="25"/>
  <c r="L89" i="25" s="1"/>
  <c r="I88" i="25"/>
  <c r="L88" i="25" s="1"/>
  <c r="I87" i="25"/>
  <c r="L87" i="25" s="1"/>
  <c r="I86" i="25"/>
  <c r="L86" i="25" s="1"/>
  <c r="I85" i="25"/>
  <c r="L85" i="25" s="1"/>
  <c r="I84" i="25"/>
  <c r="L84" i="25" s="1"/>
  <c r="I83" i="25"/>
  <c r="L83" i="25" s="1"/>
  <c r="I82" i="25"/>
  <c r="L82" i="25" s="1"/>
  <c r="I81" i="25"/>
  <c r="L81" i="25" s="1"/>
  <c r="I80" i="25"/>
  <c r="L80" i="25" s="1"/>
  <c r="I79" i="25"/>
  <c r="L79" i="25" s="1"/>
  <c r="I78" i="25"/>
  <c r="L78" i="25" s="1"/>
  <c r="I77" i="25"/>
  <c r="L77" i="25" s="1"/>
  <c r="I76" i="25"/>
  <c r="L76" i="25" s="1"/>
  <c r="I75" i="25"/>
  <c r="L75" i="25" s="1"/>
  <c r="I74" i="25"/>
  <c r="L74" i="25" s="1"/>
  <c r="I73" i="25"/>
  <c r="L73" i="25" s="1"/>
  <c r="I72" i="25"/>
  <c r="L72" i="25" s="1"/>
  <c r="I71" i="25"/>
  <c r="L71" i="25" s="1"/>
  <c r="I70" i="25"/>
  <c r="L70" i="25" s="1"/>
  <c r="I69" i="25"/>
  <c r="L69" i="25" s="1"/>
  <c r="I68" i="25"/>
  <c r="L68" i="25" s="1"/>
  <c r="I67" i="25"/>
  <c r="L67" i="25" s="1"/>
  <c r="I66" i="25"/>
  <c r="L66" i="25" s="1"/>
  <c r="I65" i="25"/>
  <c r="L65" i="25" s="1"/>
  <c r="I64" i="25"/>
  <c r="L64" i="25" s="1"/>
  <c r="I63" i="25"/>
  <c r="L63" i="25" s="1"/>
  <c r="I62" i="25"/>
  <c r="L62" i="25" s="1"/>
  <c r="I61" i="25"/>
  <c r="L61" i="25" s="1"/>
  <c r="I60" i="25"/>
  <c r="L60" i="25" s="1"/>
  <c r="I59" i="25"/>
  <c r="L59" i="25" s="1"/>
  <c r="I58" i="25"/>
  <c r="L58" i="25" s="1"/>
  <c r="I57" i="25"/>
  <c r="L57" i="25" s="1"/>
  <c r="I56" i="25"/>
  <c r="L56" i="25" s="1"/>
  <c r="I55" i="25"/>
  <c r="L55" i="25" s="1"/>
  <c r="I54" i="25"/>
  <c r="L54" i="25" s="1"/>
  <c r="I53" i="25"/>
  <c r="L53" i="25" s="1"/>
  <c r="I52" i="25"/>
  <c r="L52" i="25" s="1"/>
  <c r="I51" i="25"/>
  <c r="L51" i="25" s="1"/>
  <c r="I50" i="25"/>
  <c r="L50" i="25" s="1"/>
  <c r="I49" i="25"/>
  <c r="L49" i="25" s="1"/>
  <c r="I48" i="25"/>
  <c r="L48" i="25" s="1"/>
  <c r="I47" i="25"/>
  <c r="L47" i="25" s="1"/>
  <c r="I46" i="25"/>
  <c r="L46" i="25" s="1"/>
  <c r="I45" i="25"/>
  <c r="L45" i="25" s="1"/>
  <c r="I44" i="25"/>
  <c r="I43" i="25"/>
  <c r="L43" i="25" s="1"/>
  <c r="I40" i="25"/>
  <c r="L40" i="25" s="1"/>
  <c r="I39" i="25"/>
  <c r="L39" i="25" s="1"/>
  <c r="I38" i="25"/>
  <c r="L38" i="25" s="1"/>
  <c r="I37" i="25"/>
  <c r="L37" i="25" s="1"/>
  <c r="I41" i="25"/>
  <c r="L41" i="25" s="1"/>
  <c r="I30" i="25"/>
  <c r="L30" i="25" s="1"/>
  <c r="I34" i="25"/>
  <c r="L34" i="25" s="1"/>
  <c r="I33" i="25"/>
  <c r="L33" i="25" s="1"/>
  <c r="I32" i="25"/>
  <c r="L32" i="25" s="1"/>
  <c r="I31" i="25"/>
  <c r="L31" i="25" s="1"/>
  <c r="I27" i="25"/>
  <c r="L27" i="25" s="1"/>
  <c r="I26" i="25"/>
  <c r="L26" i="25" s="1"/>
  <c r="I25" i="25"/>
  <c r="L25" i="25" s="1"/>
  <c r="I24" i="25"/>
  <c r="L24" i="25" s="1"/>
  <c r="I23" i="25"/>
  <c r="L23" i="25" s="1"/>
  <c r="I22" i="25"/>
  <c r="L22" i="25" s="1"/>
  <c r="I21" i="25"/>
  <c r="L21" i="25" s="1"/>
  <c r="I20" i="25"/>
  <c r="L20" i="25" s="1"/>
  <c r="I19" i="25"/>
  <c r="L19" i="25" s="1"/>
  <c r="I18" i="25"/>
  <c r="L18" i="25" s="1"/>
  <c r="I17" i="25"/>
  <c r="L17" i="25" s="1"/>
  <c r="I16" i="25"/>
  <c r="L16" i="25" s="1"/>
  <c r="I15" i="25"/>
  <c r="L15" i="25" s="1"/>
  <c r="I14" i="25"/>
  <c r="L14" i="25" s="1"/>
  <c r="I13" i="25"/>
  <c r="L13" i="25" s="1"/>
  <c r="I12" i="25"/>
  <c r="L12" i="25" s="1"/>
  <c r="I11" i="25"/>
  <c r="L11" i="25" s="1"/>
  <c r="I10" i="25"/>
  <c r="L10" i="25" s="1"/>
  <c r="I9" i="25"/>
  <c r="L9" i="25" s="1"/>
  <c r="I8" i="25"/>
  <c r="L8" i="25" s="1"/>
  <c r="I7" i="25"/>
  <c r="L7" i="25" s="1"/>
  <c r="I6" i="25"/>
  <c r="L6" i="25" s="1"/>
  <c r="I5" i="25"/>
  <c r="L5" i="25" s="1"/>
  <c r="I4" i="25"/>
  <c r="L4" i="25" s="1"/>
  <c r="I3" i="25"/>
  <c r="L3" i="25" s="1"/>
  <c r="I2" i="25"/>
  <c r="L2" i="25" s="1"/>
  <c r="I3" i="23"/>
  <c r="L3" i="23" s="1"/>
  <c r="I2" i="23"/>
  <c r="L2" i="23" s="1"/>
  <c r="L126" i="31"/>
  <c r="L158" i="30"/>
  <c r="L142" i="30"/>
  <c r="L141" i="30"/>
  <c r="L98" i="30"/>
  <c r="F194" i="24" a="1"/>
  <c r="F194" i="24" s="1"/>
  <c r="F193" i="24" a="1"/>
  <c r="F193" i="24" s="1"/>
  <c r="F192" i="24" a="1"/>
  <c r="F192" i="24" s="1"/>
  <c r="F188" i="24" a="1"/>
  <c r="F188" i="24" s="1"/>
  <c r="F187" i="24" a="1"/>
  <c r="F187" i="24" s="1"/>
  <c r="F186" i="24" a="1"/>
  <c r="F186" i="24" s="1"/>
  <c r="F185" i="24" a="1"/>
  <c r="F185" i="24" s="1"/>
  <c r="F184" i="24" a="1"/>
  <c r="F184" i="24" s="1"/>
  <c r="F183" i="24" a="1"/>
  <c r="F183" i="24" s="1"/>
  <c r="F179" i="24" a="1"/>
  <c r="F179" i="24" s="1"/>
  <c r="F178" i="24" a="1"/>
  <c r="F178" i="24" s="1"/>
  <c r="F177" i="24" a="1"/>
  <c r="F177" i="24" s="1"/>
  <c r="F176" i="24" a="1"/>
  <c r="F176" i="24" s="1"/>
  <c r="F172" i="24" a="1"/>
  <c r="F172" i="24" s="1"/>
  <c r="F171" i="24" a="1"/>
  <c r="F171" i="24" s="1"/>
  <c r="F170" i="24" a="1"/>
  <c r="F170" i="24" s="1"/>
  <c r="F169" i="24" a="1"/>
  <c r="F169" i="24" s="1"/>
  <c r="F168" i="24" a="1"/>
  <c r="F168" i="24" s="1"/>
  <c r="F167" i="24" a="1"/>
  <c r="F167" i="24" s="1"/>
  <c r="F166" i="24" a="1"/>
  <c r="F166" i="24" s="1"/>
  <c r="F165" i="24" a="1"/>
  <c r="F165" i="24" s="1"/>
  <c r="F164" i="24" a="1"/>
  <c r="F164" i="24" s="1"/>
  <c r="F163" i="24" a="1"/>
  <c r="F163" i="24" s="1"/>
  <c r="F159" i="24" a="1"/>
  <c r="F159" i="24" s="1"/>
  <c r="F158" i="24" a="1"/>
  <c r="F158" i="24" s="1"/>
  <c r="F157" i="24" a="1"/>
  <c r="F157" i="24" s="1"/>
  <c r="F156" i="24" a="1"/>
  <c r="F156" i="24" s="1"/>
  <c r="F155" i="24" a="1"/>
  <c r="F155" i="24" s="1"/>
  <c r="F154" i="24" a="1"/>
  <c r="F154" i="24" s="1"/>
  <c r="F153" i="24" a="1"/>
  <c r="F153" i="24" s="1"/>
  <c r="F152" i="24" a="1"/>
  <c r="F152" i="24" s="1"/>
  <c r="F151" i="24" a="1"/>
  <c r="F151" i="24" s="1"/>
  <c r="F150" i="24" a="1"/>
  <c r="F150" i="24" s="1"/>
  <c r="F146" i="24" a="1"/>
  <c r="F146" i="24" s="1"/>
  <c r="F145" i="24" a="1"/>
  <c r="F145" i="24" s="1"/>
  <c r="F144" i="24" a="1"/>
  <c r="F144" i="24" s="1"/>
  <c r="F143" i="24" a="1"/>
  <c r="F143" i="24" s="1"/>
  <c r="F142" i="24" a="1"/>
  <c r="F142" i="24" s="1"/>
  <c r="F141" i="24" a="1"/>
  <c r="F141" i="24" s="1"/>
  <c r="F140" i="24" a="1"/>
  <c r="F140" i="24" s="1"/>
  <c r="F139" i="24" a="1"/>
  <c r="F139" i="24" s="1"/>
  <c r="F138" i="24" a="1"/>
  <c r="F138" i="24" s="1"/>
  <c r="F137" i="24" a="1"/>
  <c r="F137" i="24" s="1"/>
  <c r="F133" i="24" a="1"/>
  <c r="F133" i="24" s="1"/>
  <c r="F132" i="24" a="1"/>
  <c r="F132" i="24" s="1"/>
  <c r="F131" i="24" a="1"/>
  <c r="F131" i="24" s="1"/>
  <c r="F130" i="24" a="1"/>
  <c r="F130" i="24" s="1"/>
  <c r="F129" i="24" a="1"/>
  <c r="F129" i="24" s="1"/>
  <c r="F128" i="24" a="1"/>
  <c r="F128" i="24" s="1"/>
  <c r="F127" i="24" a="1"/>
  <c r="F127" i="24" s="1"/>
  <c r="F126" i="24" a="1"/>
  <c r="F126" i="24" s="1"/>
  <c r="F125" i="24" a="1"/>
  <c r="F125" i="24" s="1"/>
  <c r="F121" i="24" a="1"/>
  <c r="F121" i="24" s="1"/>
  <c r="F120" i="24" a="1"/>
  <c r="F120" i="24" s="1"/>
  <c r="F119" i="24" a="1"/>
  <c r="F119" i="24" s="1"/>
  <c r="F118" i="24" a="1"/>
  <c r="F118" i="24" s="1"/>
  <c r="F117" i="24" a="1"/>
  <c r="F117" i="24" s="1"/>
  <c r="F116" i="24" a="1"/>
  <c r="F116" i="24" s="1"/>
  <c r="F115" i="24" a="1"/>
  <c r="F115" i="24" s="1"/>
  <c r="F114" i="24" a="1"/>
  <c r="F114" i="24" s="1"/>
  <c r="F113" i="24" a="1"/>
  <c r="F113" i="24" s="1"/>
  <c r="F109" i="24" a="1"/>
  <c r="F109" i="24" s="1"/>
  <c r="F108" i="24" a="1"/>
  <c r="F108" i="24" s="1"/>
  <c r="F107" i="24" a="1"/>
  <c r="F107" i="24" s="1"/>
  <c r="F106" i="24" a="1"/>
  <c r="F106" i="24" s="1"/>
  <c r="F105" i="24" a="1"/>
  <c r="F105" i="24" s="1"/>
  <c r="F104" i="24" a="1"/>
  <c r="F104" i="24" s="1"/>
  <c r="F103" i="24" a="1"/>
  <c r="F103" i="24" s="1"/>
  <c r="F102" i="24" a="1"/>
  <c r="F102" i="24" s="1"/>
  <c r="F101" i="24" a="1"/>
  <c r="F101" i="24" s="1"/>
  <c r="F97" i="24" a="1"/>
  <c r="F97" i="24" s="1"/>
  <c r="F96" i="24" a="1"/>
  <c r="F96" i="24" s="1"/>
  <c r="F95" i="24" a="1"/>
  <c r="F95" i="24" s="1"/>
  <c r="F94" i="24" a="1"/>
  <c r="F94" i="24" s="1"/>
  <c r="F90" i="24" a="1"/>
  <c r="F90" i="24" s="1"/>
  <c r="F89" i="24" a="1"/>
  <c r="F89" i="24" s="1"/>
  <c r="F88" i="24" a="1"/>
  <c r="F88" i="24" s="1"/>
  <c r="F87" i="24" a="1"/>
  <c r="F87" i="24" s="1"/>
  <c r="F86" i="24" a="1"/>
  <c r="F86" i="24" s="1"/>
  <c r="F85" i="24" a="1"/>
  <c r="F85" i="24" s="1"/>
  <c r="F84" i="24" a="1"/>
  <c r="F84" i="24" s="1"/>
  <c r="F80" i="24" a="1"/>
  <c r="F80" i="24" s="1"/>
  <c r="F79" i="24" a="1"/>
  <c r="F79" i="24" s="1"/>
  <c r="F75" i="24" a="1"/>
  <c r="F75" i="24" s="1"/>
  <c r="F74" i="24" a="1"/>
  <c r="F74" i="24" s="1"/>
  <c r="F73" i="24" a="1"/>
  <c r="F73" i="24" s="1"/>
  <c r="F72" i="24" a="1"/>
  <c r="F72" i="24" s="1"/>
  <c r="F71" i="24" a="1"/>
  <c r="F71" i="24" s="1"/>
  <c r="F70" i="24" a="1"/>
  <c r="F70" i="24" s="1"/>
  <c r="F69" i="24" a="1"/>
  <c r="F69" i="24" s="1"/>
  <c r="F68" i="24" a="1"/>
  <c r="F68" i="24" s="1"/>
  <c r="F67" i="24" a="1"/>
  <c r="F67" i="24" s="1"/>
  <c r="F66" i="24" a="1"/>
  <c r="F66" i="24" s="1"/>
  <c r="F65" i="24" a="1"/>
  <c r="F65" i="24" s="1"/>
  <c r="F64" i="24" a="1"/>
  <c r="F64" i="24" s="1"/>
  <c r="F63" i="24" a="1"/>
  <c r="F63" i="24" s="1"/>
  <c r="F62" i="24" a="1"/>
  <c r="F62" i="24" s="1"/>
  <c r="F61" i="24" a="1"/>
  <c r="F61" i="24" s="1"/>
  <c r="F60" i="24" a="1"/>
  <c r="F60" i="24" s="1"/>
  <c r="F59" i="24" a="1"/>
  <c r="F59" i="24" s="1"/>
  <c r="F58" i="24" a="1"/>
  <c r="F58" i="24" s="1"/>
  <c r="F57" i="24" a="1"/>
  <c r="F57" i="24" s="1"/>
  <c r="F56" i="24" a="1"/>
  <c r="F56" i="24" s="1"/>
  <c r="F55" i="24" a="1"/>
  <c r="F55" i="24" s="1"/>
  <c r="F50" i="24" a="1"/>
  <c r="F50" i="24" s="1"/>
  <c r="F49" i="24" a="1"/>
  <c r="F49" i="24" s="1"/>
  <c r="F48" i="24" a="1"/>
  <c r="F48" i="24" s="1"/>
  <c r="F47" i="24" a="1"/>
  <c r="F47" i="24" s="1"/>
  <c r="F46" i="24" a="1"/>
  <c r="F46" i="24" s="1"/>
  <c r="F45" i="24" a="1"/>
  <c r="F45" i="24" s="1"/>
  <c r="F44" i="24" a="1"/>
  <c r="F44" i="24" s="1"/>
  <c r="F43" i="24" a="1"/>
  <c r="F43" i="24" s="1"/>
  <c r="L42" i="24"/>
  <c r="F42" i="24" a="1"/>
  <c r="F42" i="24" s="1"/>
  <c r="F41" i="24" a="1"/>
  <c r="F41" i="24" s="1"/>
  <c r="F40" i="24" a="1"/>
  <c r="F40" i="24" s="1"/>
  <c r="F36" i="24" a="1"/>
  <c r="F36" i="24" s="1"/>
  <c r="F35" i="24" a="1"/>
  <c r="F35" i="24" s="1"/>
  <c r="F34" i="24" a="1"/>
  <c r="F34" i="24" s="1"/>
  <c r="F33" i="24" a="1"/>
  <c r="F33" i="24" s="1"/>
  <c r="F32" i="24" a="1"/>
  <c r="F32" i="24" s="1"/>
  <c r="F31" i="24" a="1"/>
  <c r="F31" i="24" s="1"/>
  <c r="F27" i="24" a="1"/>
  <c r="F27" i="24" s="1"/>
  <c r="F26" i="24" a="1"/>
  <c r="F26" i="24" s="1"/>
  <c r="F25" i="24" a="1"/>
  <c r="F25" i="24" s="1"/>
  <c r="F24" i="24" a="1"/>
  <c r="F24" i="24" s="1"/>
  <c r="F23" i="24" a="1"/>
  <c r="F23" i="24" s="1"/>
  <c r="F22" i="24" a="1"/>
  <c r="F22" i="24" s="1"/>
  <c r="F21" i="24" a="1"/>
  <c r="F21" i="24" s="1"/>
  <c r="F20" i="24" a="1"/>
  <c r="F20" i="24" s="1"/>
  <c r="F16" i="24" a="1"/>
  <c r="F16" i="24" s="1"/>
  <c r="F15" i="24" a="1"/>
  <c r="F15" i="24" s="1"/>
  <c r="F14" i="24" a="1"/>
  <c r="F14" i="24" s="1"/>
  <c r="F13" i="24" a="1"/>
  <c r="F13" i="24" s="1"/>
  <c r="F12" i="24" a="1"/>
  <c r="F12" i="24" s="1"/>
  <c r="F11" i="24" a="1"/>
  <c r="F11" i="24" s="1"/>
  <c r="F7" i="24" a="1"/>
  <c r="F7" i="24" s="1"/>
  <c r="F6" i="24" a="1"/>
  <c r="F6" i="24" s="1"/>
  <c r="F5" i="24" a="1"/>
  <c r="F5" i="24" s="1"/>
  <c r="F4" i="24" a="1"/>
  <c r="F4" i="24" s="1"/>
  <c r="J108" i="23"/>
  <c r="J107" i="23"/>
  <c r="J106" i="23"/>
  <c r="J105" i="23"/>
  <c r="J104" i="23"/>
  <c r="J103" i="23"/>
  <c r="J102" i="23"/>
  <c r="J101" i="23"/>
  <c r="J100" i="23"/>
  <c r="J99" i="23"/>
  <c r="F207" i="22" a="1"/>
  <c r="F207" i="22" s="1"/>
  <c r="F206" i="22" a="1"/>
  <c r="F206" i="22" s="1"/>
  <c r="F205" i="22" a="1"/>
  <c r="F205" i="22" s="1"/>
  <c r="F204" i="22" a="1"/>
  <c r="F204" i="22" s="1"/>
  <c r="F203" i="22" a="1"/>
  <c r="F203" i="22" s="1"/>
  <c r="F202" i="22" a="1"/>
  <c r="F202" i="22" s="1"/>
  <c r="F201" i="22" a="1"/>
  <c r="F201" i="22" s="1"/>
  <c r="F200" i="22" a="1"/>
  <c r="F200" i="22" s="1"/>
  <c r="F199" i="22" a="1"/>
  <c r="F199" i="22" s="1"/>
  <c r="F198" i="22" a="1"/>
  <c r="F198" i="22" s="1"/>
  <c r="F197" i="22" a="1"/>
  <c r="F197" i="22" s="1"/>
  <c r="F196" i="22" a="1"/>
  <c r="F196" i="22" s="1"/>
  <c r="F195" i="22" a="1"/>
  <c r="F195" i="22" s="1"/>
  <c r="F194" i="22" a="1"/>
  <c r="F194" i="22" s="1"/>
  <c r="F193" i="22" a="1"/>
  <c r="F193" i="22" s="1"/>
  <c r="F189" i="22" a="1"/>
  <c r="F189" i="22" s="1"/>
  <c r="F187" i="22" a="1"/>
  <c r="F187" i="22" s="1"/>
  <c r="F186" i="22" a="1"/>
  <c r="F186" i="22" s="1"/>
  <c r="F185" i="22" a="1"/>
  <c r="F185" i="22" s="1"/>
  <c r="F184" i="22" a="1"/>
  <c r="F184" i="22" s="1"/>
  <c r="F183" i="22" a="1"/>
  <c r="F183" i="22" s="1"/>
  <c r="F182" i="22" a="1"/>
  <c r="F182" i="22" s="1"/>
  <c r="F181" i="22" a="1"/>
  <c r="F181" i="22" s="1"/>
  <c r="F180" i="22" a="1"/>
  <c r="F180" i="22" s="1"/>
  <c r="G176" i="22"/>
  <c r="G175" i="22"/>
  <c r="G174" i="22"/>
  <c r="G173" i="22"/>
  <c r="G172" i="22"/>
  <c r="G171" i="22"/>
  <c r="G170" i="22"/>
  <c r="G169" i="22"/>
  <c r="G168" i="22"/>
  <c r="G167" i="22"/>
  <c r="F162" i="22" a="1"/>
  <c r="F162" i="22" s="1"/>
  <c r="F161" i="22" a="1"/>
  <c r="F161" i="22" s="1"/>
  <c r="F160" i="22" a="1"/>
  <c r="F160" i="22" s="1"/>
  <c r="F154" i="22" a="1"/>
  <c r="F154" i="22" s="1"/>
  <c r="F153" i="22" a="1"/>
  <c r="F153" i="22" s="1"/>
  <c r="F152" i="22" a="1"/>
  <c r="F152" i="22" s="1"/>
  <c r="F151" i="22" a="1"/>
  <c r="F151" i="22" s="1"/>
  <c r="F150" i="22" a="1"/>
  <c r="F150" i="22" s="1"/>
  <c r="F149" i="22" a="1"/>
  <c r="F149" i="22" s="1"/>
  <c r="F148" i="22" a="1"/>
  <c r="F148" i="22" s="1"/>
  <c r="F147" i="22" a="1"/>
  <c r="F147" i="22" s="1"/>
  <c r="F146" i="22" a="1"/>
  <c r="F146" i="22" s="1"/>
  <c r="F145" i="22" a="1"/>
  <c r="F145" i="22" s="1"/>
  <c r="F144" i="22" a="1"/>
  <c r="F144" i="22" s="1"/>
  <c r="F143" i="22" a="1"/>
  <c r="F143" i="22" s="1"/>
  <c r="F142" i="22" a="1"/>
  <c r="F142" i="22" s="1"/>
  <c r="F141" i="22" a="1"/>
  <c r="F141" i="22" s="1"/>
  <c r="F140" i="22" a="1"/>
  <c r="F140" i="22" s="1"/>
  <c r="F139" i="22" a="1"/>
  <c r="F139" i="22" s="1"/>
  <c r="F138" i="22" a="1"/>
  <c r="F138" i="22" s="1"/>
  <c r="F134" i="22" a="1"/>
  <c r="F134" i="22" s="1"/>
  <c r="F133" i="22" a="1"/>
  <c r="F133" i="22" s="1"/>
  <c r="F132" i="22" a="1"/>
  <c r="F132" i="22" s="1"/>
  <c r="F131" i="22" a="1"/>
  <c r="F131" i="22" s="1"/>
  <c r="F130" i="22" a="1"/>
  <c r="F130" i="22" s="1"/>
  <c r="F129" i="22" a="1"/>
  <c r="F129" i="22" s="1"/>
  <c r="F128" i="22" a="1"/>
  <c r="F128" i="22" s="1"/>
  <c r="F127" i="22" a="1"/>
  <c r="F127" i="22" s="1"/>
  <c r="F119" i="22" a="1"/>
  <c r="F119" i="22" s="1"/>
  <c r="F118" i="22" a="1"/>
  <c r="F118" i="22" s="1"/>
  <c r="F117" i="22" a="1"/>
  <c r="F117" i="22" s="1"/>
  <c r="F116" i="22" a="1"/>
  <c r="F116" i="22" s="1"/>
  <c r="F115" i="22" a="1"/>
  <c r="F115" i="22" s="1"/>
  <c r="F114" i="22" a="1"/>
  <c r="F114" i="22" s="1"/>
  <c r="F113" i="22" a="1"/>
  <c r="F113" i="22" s="1"/>
  <c r="F112" i="22" a="1"/>
  <c r="F112" i="22" s="1"/>
  <c r="F111" i="22" a="1"/>
  <c r="F111" i="22" s="1"/>
  <c r="F110" i="22" a="1"/>
  <c r="F110" i="22" s="1"/>
  <c r="F109" i="22" a="1"/>
  <c r="F109" i="22" s="1"/>
  <c r="F108" i="22" a="1"/>
  <c r="F108" i="22" s="1"/>
  <c r="F107" i="22" a="1"/>
  <c r="F107" i="22" s="1"/>
  <c r="F106" i="22" a="1"/>
  <c r="F106" i="22" s="1"/>
  <c r="F105" i="22" a="1"/>
  <c r="F105" i="22" s="1"/>
  <c r="F104" i="22" a="1"/>
  <c r="F104" i="22" s="1"/>
  <c r="F103" i="22" a="1"/>
  <c r="F103" i="22" s="1"/>
  <c r="F102" i="22" a="1"/>
  <c r="F102" i="22" s="1"/>
  <c r="F101" i="22" a="1"/>
  <c r="F101" i="22" s="1"/>
  <c r="F100" i="22" a="1"/>
  <c r="F100" i="22" s="1"/>
  <c r="F99" i="22" a="1"/>
  <c r="F99" i="22" s="1"/>
  <c r="F98" i="22" a="1"/>
  <c r="F98" i="22" s="1"/>
  <c r="F97" i="22" a="1"/>
  <c r="F97" i="22" s="1"/>
  <c r="F90" i="22" a="1"/>
  <c r="F90" i="22" s="1"/>
  <c r="F89" i="22" a="1"/>
  <c r="F89" i="22" s="1"/>
  <c r="F88" i="22" a="1"/>
  <c r="F88" i="22" s="1"/>
  <c r="F83" i="22" a="1"/>
  <c r="F83" i="22" s="1"/>
  <c r="F82" i="22" a="1"/>
  <c r="F82" i="22" s="1"/>
  <c r="F81" i="22" a="1"/>
  <c r="F81" i="22" s="1"/>
  <c r="F74" i="22" a="1"/>
  <c r="F74" i="22" s="1"/>
  <c r="F73" i="22" a="1"/>
  <c r="F73" i="22" s="1"/>
  <c r="F72" i="22" a="1"/>
  <c r="F72" i="22" s="1"/>
  <c r="F71" i="22" a="1"/>
  <c r="F71" i="22" s="1"/>
  <c r="F66" i="22" a="1"/>
  <c r="F66" i="22" s="1"/>
  <c r="F65" i="22" a="1"/>
  <c r="F65" i="22" s="1"/>
  <c r="F64" i="22" a="1"/>
  <c r="F64" i="22" s="1"/>
  <c r="F59" i="22" a="1"/>
  <c r="F59" i="22" s="1"/>
  <c r="F58" i="22" a="1"/>
  <c r="F58" i="22" s="1"/>
  <c r="F57" i="22" a="1"/>
  <c r="F57" i="22" s="1"/>
  <c r="F53" i="22" a="1"/>
  <c r="F53" i="22" s="1"/>
  <c r="F52" i="22" a="1"/>
  <c r="F52" i="22" s="1"/>
  <c r="F51" i="22" a="1"/>
  <c r="F51" i="22" s="1"/>
  <c r="F50" i="22" a="1"/>
  <c r="F50" i="22" s="1"/>
  <c r="F49" i="22" a="1"/>
  <c r="F49" i="22" s="1"/>
  <c r="F48" i="22" a="1"/>
  <c r="F48" i="22" s="1"/>
  <c r="F43" i="22" a="1"/>
  <c r="F43" i="22" s="1"/>
  <c r="F42" i="22" a="1"/>
  <c r="F42" i="22" s="1"/>
  <c r="F41" i="22" a="1"/>
  <c r="F41" i="22" s="1"/>
  <c r="F40" i="22" a="1"/>
  <c r="F40" i="22" s="1"/>
  <c r="F35" i="22" a="1"/>
  <c r="F35" i="22" s="1"/>
  <c r="F34" i="22" a="1"/>
  <c r="F34" i="22" s="1"/>
  <c r="F33" i="22" a="1"/>
  <c r="F33" i="22" s="1"/>
  <c r="F32" i="22" a="1"/>
  <c r="F32" i="22" s="1"/>
  <c r="F26" i="22" a="1"/>
  <c r="F26" i="22" s="1"/>
  <c r="F25" i="22" a="1"/>
  <c r="F25" i="22" s="1"/>
  <c r="F24" i="22" a="1"/>
  <c r="F24" i="22" s="1"/>
  <c r="F23" i="22" a="1"/>
  <c r="F23" i="22" s="1"/>
  <c r="F18" i="22" a="1"/>
  <c r="F18" i="22" s="1"/>
  <c r="F17" i="22" a="1"/>
  <c r="F17" i="22" s="1"/>
  <c r="F16" i="22" a="1"/>
  <c r="F16" i="22" s="1"/>
  <c r="F15" i="22" a="1"/>
  <c r="F15" i="22" s="1"/>
  <c r="F10" i="22" a="1"/>
  <c r="F10" i="22" s="1"/>
  <c r="F9" i="22" a="1"/>
  <c r="F9" i="22" s="1"/>
  <c r="F8" i="22" a="1"/>
  <c r="F8" i="22" s="1"/>
  <c r="F7" i="22" a="1"/>
  <c r="F7" i="22" s="1"/>
  <c r="F6" i="22" a="1"/>
  <c r="F6" i="22" s="1"/>
  <c r="F5" i="22" a="1"/>
  <c r="F5" i="22" s="1"/>
  <c r="F4" i="22" a="1"/>
  <c r="F4" i="22" s="1"/>
  <c r="I75" i="21"/>
  <c r="L75" i="21" s="1"/>
  <c r="G74" i="21"/>
  <c r="I74" i="21" s="1"/>
  <c r="L74" i="21" s="1"/>
  <c r="I73" i="21"/>
  <c r="L73" i="21" s="1"/>
  <c r="I72" i="21"/>
  <c r="L72" i="21" s="1"/>
  <c r="I71" i="21"/>
  <c r="L71" i="21" s="1"/>
  <c r="I70" i="21"/>
  <c r="L70" i="21" s="1"/>
  <c r="I69" i="21"/>
  <c r="L69" i="21" s="1"/>
  <c r="I68" i="21"/>
  <c r="L68" i="21" s="1"/>
  <c r="I67" i="21"/>
  <c r="L67" i="21" s="1"/>
  <c r="I66" i="21"/>
  <c r="L66" i="21" s="1"/>
  <c r="I65" i="21"/>
  <c r="L65" i="21" s="1"/>
  <c r="I64" i="21"/>
  <c r="L64" i="21" s="1"/>
  <c r="I63" i="21"/>
  <c r="L63" i="21" s="1"/>
  <c r="I62" i="21"/>
  <c r="L62" i="21" s="1"/>
  <c r="I61" i="21"/>
  <c r="L61" i="21" s="1"/>
  <c r="I60" i="21"/>
  <c r="L60" i="21" s="1"/>
  <c r="I59" i="21"/>
  <c r="L59" i="21" s="1"/>
  <c r="I58" i="21"/>
  <c r="L58" i="21" s="1"/>
  <c r="I57" i="21"/>
  <c r="L57" i="21" s="1"/>
  <c r="I56" i="21"/>
  <c r="L56" i="21" s="1"/>
  <c r="I55" i="21"/>
  <c r="L55" i="21" s="1"/>
  <c r="I54" i="21"/>
  <c r="L54" i="21" s="1"/>
  <c r="I53" i="21"/>
  <c r="L53" i="21" s="1"/>
  <c r="I52" i="21"/>
  <c r="L52" i="21" s="1"/>
  <c r="I51" i="21"/>
  <c r="L51" i="21" s="1"/>
  <c r="I50" i="21"/>
  <c r="L50" i="21" s="1"/>
  <c r="I49" i="21"/>
  <c r="L49" i="21" s="1"/>
  <c r="I48" i="21"/>
  <c r="L48" i="21" s="1"/>
  <c r="I47" i="21"/>
  <c r="L47" i="21" s="1"/>
  <c r="I46" i="21"/>
  <c r="L46" i="21" s="1"/>
  <c r="I45" i="21"/>
  <c r="L45" i="21" s="1"/>
  <c r="I44" i="21"/>
  <c r="L44" i="21" s="1"/>
  <c r="I43" i="21"/>
  <c r="L43" i="21" s="1"/>
  <c r="I42" i="21"/>
  <c r="L42" i="21" s="1"/>
  <c r="I41" i="21"/>
  <c r="L41" i="21" s="1"/>
  <c r="I40" i="21"/>
  <c r="L40" i="21" s="1"/>
  <c r="I39" i="21"/>
  <c r="L39" i="21" s="1"/>
  <c r="I38" i="21"/>
  <c r="L38" i="21" s="1"/>
  <c r="I37" i="21"/>
  <c r="L37" i="21" s="1"/>
  <c r="I36" i="21"/>
  <c r="L36" i="21" s="1"/>
  <c r="I35" i="21"/>
  <c r="L35" i="21" s="1"/>
  <c r="I34" i="21"/>
  <c r="L34" i="21" s="1"/>
  <c r="I33" i="21"/>
  <c r="L33" i="21" s="1"/>
  <c r="I32" i="21"/>
  <c r="L32" i="21" s="1"/>
  <c r="I31" i="21"/>
  <c r="L31" i="21" s="1"/>
  <c r="I30" i="21"/>
  <c r="L30" i="21" s="1"/>
  <c r="I29" i="21"/>
  <c r="L29" i="21" s="1"/>
  <c r="I28" i="21"/>
  <c r="L28" i="21" s="1"/>
  <c r="I27" i="21"/>
  <c r="L27" i="21" s="1"/>
  <c r="I26" i="21"/>
  <c r="L26" i="21" s="1"/>
  <c r="I25" i="21"/>
  <c r="L25" i="21" s="1"/>
  <c r="I24" i="21"/>
  <c r="L24" i="21" s="1"/>
  <c r="I23" i="21"/>
  <c r="L23" i="21" s="1"/>
  <c r="I22" i="21"/>
  <c r="L22" i="21" s="1"/>
  <c r="I21" i="21"/>
  <c r="L21" i="21" s="1"/>
  <c r="I20" i="21"/>
  <c r="L20" i="21" s="1"/>
  <c r="I19" i="21"/>
  <c r="L19" i="21" s="1"/>
  <c r="I18" i="21"/>
  <c r="L18" i="21" s="1"/>
  <c r="I17" i="21"/>
  <c r="L17" i="21" s="1"/>
  <c r="I16" i="21"/>
  <c r="L16" i="21" s="1"/>
  <c r="I15" i="21"/>
  <c r="L15" i="21" s="1"/>
  <c r="I14" i="21"/>
  <c r="L14" i="21" s="1"/>
  <c r="I13" i="21"/>
  <c r="L13" i="21" s="1"/>
  <c r="I12" i="21"/>
  <c r="L12" i="21" s="1"/>
  <c r="I11" i="21"/>
  <c r="L11" i="21" s="1"/>
  <c r="I10" i="21"/>
  <c r="L10" i="21" s="1"/>
  <c r="I9" i="21"/>
  <c r="L9" i="21" s="1"/>
  <c r="I8" i="21"/>
  <c r="L8" i="21" s="1"/>
  <c r="I7" i="21"/>
  <c r="L7" i="21" s="1"/>
  <c r="I6" i="21"/>
  <c r="L6" i="21" s="1"/>
  <c r="I5" i="21"/>
  <c r="L5" i="21" s="1"/>
  <c r="I4" i="21"/>
  <c r="L4" i="21" s="1"/>
  <c r="I3" i="21"/>
  <c r="L3" i="21" s="1"/>
  <c r="I2" i="21"/>
  <c r="L2" i="21" s="1"/>
  <c r="L104" i="20"/>
  <c r="I104" i="20"/>
  <c r="I108" i="20"/>
  <c r="L108" i="20" s="1"/>
  <c r="I107" i="20"/>
  <c r="L107" i="20" s="1"/>
  <c r="I106" i="20"/>
  <c r="L106" i="20" s="1"/>
  <c r="I105" i="20"/>
  <c r="L105" i="20" s="1"/>
  <c r="I103" i="20"/>
  <c r="L103" i="20" s="1"/>
  <c r="I102" i="20"/>
  <c r="L102" i="20" s="1"/>
  <c r="I101" i="20"/>
  <c r="L101" i="20" s="1"/>
  <c r="I100" i="20"/>
  <c r="L100" i="20" s="1"/>
  <c r="I99" i="20"/>
  <c r="L99" i="20" s="1"/>
  <c r="I98" i="20"/>
  <c r="L98" i="20" s="1"/>
  <c r="I97" i="20"/>
  <c r="L97" i="20" s="1"/>
  <c r="I96" i="20"/>
  <c r="L96" i="20" s="1"/>
  <c r="I94" i="20"/>
  <c r="L94" i="20" s="1"/>
  <c r="I93" i="20"/>
  <c r="L93" i="20" s="1"/>
  <c r="I92" i="20"/>
  <c r="L92" i="20" s="1"/>
  <c r="I91" i="20"/>
  <c r="L91" i="20" s="1"/>
  <c r="I83" i="20"/>
  <c r="L83" i="20" s="1"/>
  <c r="I82" i="20"/>
  <c r="L82" i="20" s="1"/>
  <c r="L81" i="20"/>
  <c r="I81" i="20"/>
  <c r="I80" i="20"/>
  <c r="L80" i="20" s="1"/>
  <c r="I79" i="20"/>
  <c r="L79" i="20" s="1"/>
  <c r="I78" i="20"/>
  <c r="L78" i="20" s="1"/>
  <c r="I77" i="20"/>
  <c r="L77" i="20" s="1"/>
  <c r="I76" i="20"/>
  <c r="L76" i="20" s="1"/>
  <c r="I75" i="20"/>
  <c r="L75" i="20" s="1"/>
  <c r="I74" i="20"/>
  <c r="L74" i="20" s="1"/>
  <c r="I73" i="20"/>
  <c r="L73" i="20" s="1"/>
  <c r="I72" i="20"/>
  <c r="L72" i="20" s="1"/>
  <c r="I71" i="20"/>
  <c r="L71" i="20" s="1"/>
  <c r="I70" i="20"/>
  <c r="L70" i="20" s="1"/>
  <c r="I69" i="20"/>
  <c r="L69" i="20" s="1"/>
  <c r="I64" i="20"/>
  <c r="L64" i="20" s="1"/>
  <c r="L63" i="20"/>
  <c r="I63" i="20"/>
  <c r="L59" i="20"/>
  <c r="L58" i="20"/>
  <c r="L57" i="20"/>
  <c r="L56" i="20"/>
  <c r="L55" i="20"/>
  <c r="L54" i="20"/>
  <c r="L53" i="20"/>
  <c r="L52" i="20"/>
  <c r="L51" i="20"/>
  <c r="L50" i="20"/>
  <c r="L49" i="20"/>
  <c r="L48" i="20"/>
  <c r="L47" i="20"/>
  <c r="L46" i="20"/>
  <c r="L45" i="20"/>
  <c r="L44" i="20"/>
  <c r="L43" i="20"/>
  <c r="L42" i="20"/>
  <c r="L41" i="20"/>
  <c r="L40" i="20"/>
  <c r="L39" i="20"/>
  <c r="I59" i="20"/>
  <c r="I58" i="20"/>
  <c r="I57" i="20"/>
  <c r="I56" i="20"/>
  <c r="I55" i="20"/>
  <c r="I54" i="20"/>
  <c r="I53" i="20"/>
  <c r="I52" i="20"/>
  <c r="I51" i="20"/>
  <c r="I50" i="20"/>
  <c r="I49" i="20"/>
  <c r="I48" i="20"/>
  <c r="I47" i="20"/>
  <c r="I46" i="20"/>
  <c r="I45" i="20"/>
  <c r="I44" i="20"/>
  <c r="I43" i="20"/>
  <c r="I42" i="20"/>
  <c r="I41" i="20"/>
  <c r="I40" i="20"/>
  <c r="I39" i="20"/>
  <c r="L35" i="20"/>
  <c r="L34" i="20"/>
  <c r="L33" i="20"/>
  <c r="L32" i="20"/>
  <c r="L31" i="20"/>
  <c r="L30" i="20"/>
  <c r="L29" i="20"/>
  <c r="L28" i="20"/>
  <c r="L27" i="20"/>
  <c r="L26" i="20"/>
  <c r="L25" i="20"/>
  <c r="L24" i="20"/>
  <c r="L23" i="20"/>
  <c r="L22" i="20"/>
  <c r="L21" i="20"/>
  <c r="L20" i="20"/>
  <c r="L19" i="20"/>
  <c r="L18" i="20"/>
  <c r="I35" i="20"/>
  <c r="I34" i="20"/>
  <c r="I33" i="20"/>
  <c r="I32" i="20"/>
  <c r="I31" i="20"/>
  <c r="I30" i="20"/>
  <c r="I29" i="20"/>
  <c r="I28" i="20"/>
  <c r="I27" i="20"/>
  <c r="I26" i="20"/>
  <c r="I25" i="20"/>
  <c r="I24" i="20"/>
  <c r="I23" i="20"/>
  <c r="I22" i="20"/>
  <c r="I21" i="20"/>
  <c r="I20" i="20"/>
  <c r="I19" i="20"/>
  <c r="I18" i="20"/>
  <c r="L14" i="20"/>
  <c r="L13" i="20"/>
  <c r="L12" i="20"/>
  <c r="L11" i="20"/>
  <c r="L10" i="20"/>
  <c r="L9" i="20"/>
  <c r="L8" i="20"/>
  <c r="L7" i="20"/>
  <c r="L6" i="20"/>
  <c r="L5" i="20"/>
  <c r="I14" i="20"/>
  <c r="I13" i="20"/>
  <c r="I12" i="20"/>
  <c r="I11" i="20"/>
  <c r="I10" i="20"/>
  <c r="I9" i="20"/>
  <c r="I8" i="20"/>
  <c r="I7" i="20"/>
  <c r="I6" i="20"/>
  <c r="I5" i="20"/>
  <c r="L4" i="20"/>
  <c r="I4" i="20"/>
  <c r="F108" i="20" a="1"/>
  <c r="F108" i="20" s="1"/>
  <c r="G107" i="20"/>
  <c r="F107" i="20" a="1"/>
  <c r="F107" i="20" s="1"/>
  <c r="F106" i="20" a="1"/>
  <c r="F106" i="20" s="1"/>
  <c r="F105" i="20" a="1"/>
  <c r="F105" i="20" s="1"/>
  <c r="F104" i="20" a="1"/>
  <c r="F104" i="20" s="1"/>
  <c r="F103" i="20" a="1"/>
  <c r="F103" i="20" s="1"/>
  <c r="F102" i="20" a="1"/>
  <c r="F102" i="20" s="1"/>
  <c r="F101" i="20" a="1"/>
  <c r="F101" i="20" s="1"/>
  <c r="F100" i="20" a="1"/>
  <c r="F100" i="20" s="1"/>
  <c r="F99" i="20" a="1"/>
  <c r="F99" i="20" s="1"/>
  <c r="F98" i="20" a="1"/>
  <c r="F98" i="20" s="1"/>
  <c r="F97" i="20" a="1"/>
  <c r="F97" i="20" s="1"/>
  <c r="F96" i="20" a="1"/>
  <c r="F96" i="20" s="1"/>
  <c r="F95" i="20" a="1"/>
  <c r="F95" i="20" s="1"/>
  <c r="F92" i="20" a="1"/>
  <c r="F92" i="20" s="1"/>
  <c r="F91" i="20" a="1"/>
  <c r="F91" i="20" s="1"/>
  <c r="F83" i="20" a="1"/>
  <c r="F83" i="20" s="1"/>
  <c r="F82" i="20" a="1"/>
  <c r="F82" i="20" s="1"/>
  <c r="F81" i="20" a="1"/>
  <c r="F81" i="20" s="1"/>
  <c r="F80" i="20" a="1"/>
  <c r="F80" i="20" s="1"/>
  <c r="F79" i="20" a="1"/>
  <c r="F79" i="20" s="1"/>
  <c r="F77" i="20" a="1"/>
  <c r="F77" i="20" s="1"/>
  <c r="F76" i="20" a="1"/>
  <c r="F76" i="20" s="1"/>
  <c r="F75" i="20" a="1"/>
  <c r="F75" i="20" s="1"/>
  <c r="F74" i="20" a="1"/>
  <c r="F74" i="20" s="1"/>
  <c r="F73" i="20" a="1"/>
  <c r="F73" i="20" s="1"/>
  <c r="F72" i="20" a="1"/>
  <c r="F72" i="20" s="1"/>
  <c r="F71" i="20" a="1"/>
  <c r="F71" i="20" s="1"/>
  <c r="F70" i="20" a="1"/>
  <c r="F70" i="20" s="1"/>
  <c r="F69" i="20" a="1"/>
  <c r="F69" i="20" s="1"/>
  <c r="F64" i="20" a="1"/>
  <c r="F64" i="20" s="1"/>
  <c r="F63" i="20" a="1"/>
  <c r="F63" i="20" s="1"/>
  <c r="F59" i="20" a="1"/>
  <c r="F59" i="20" s="1"/>
  <c r="F58" i="20" a="1"/>
  <c r="F58" i="20" s="1"/>
  <c r="F57" i="20" a="1"/>
  <c r="F57" i="20" s="1"/>
  <c r="F56" i="20" a="1"/>
  <c r="F56" i="20" s="1"/>
  <c r="F55" i="20" a="1"/>
  <c r="F55" i="20" s="1"/>
  <c r="F54" i="20" a="1"/>
  <c r="F54" i="20" s="1"/>
  <c r="F53" i="20" a="1"/>
  <c r="F53" i="20" s="1"/>
  <c r="F52" i="20" a="1"/>
  <c r="F52" i="20" s="1"/>
  <c r="F51" i="20" a="1"/>
  <c r="F51" i="20" s="1"/>
  <c r="F50" i="20" a="1"/>
  <c r="F50" i="20" s="1"/>
  <c r="F49" i="20" a="1"/>
  <c r="F49" i="20" s="1"/>
  <c r="F48" i="20" a="1"/>
  <c r="F48" i="20" s="1"/>
  <c r="F47" i="20" a="1"/>
  <c r="F47" i="20" s="1"/>
  <c r="F46" i="20" a="1"/>
  <c r="F46" i="20" s="1"/>
  <c r="F45" i="20" a="1"/>
  <c r="F45" i="20" s="1"/>
  <c r="F44" i="20" a="1"/>
  <c r="F44" i="20" s="1"/>
  <c r="F43" i="20" a="1"/>
  <c r="F43" i="20" s="1"/>
  <c r="F42" i="20" a="1"/>
  <c r="F42" i="20" s="1"/>
  <c r="F41" i="20" a="1"/>
  <c r="F41" i="20" s="1"/>
  <c r="F40" i="20" a="1"/>
  <c r="F40" i="20" s="1"/>
  <c r="F39" i="20" a="1"/>
  <c r="F39" i="20" s="1"/>
  <c r="F35" i="20" a="1"/>
  <c r="F35" i="20" s="1"/>
  <c r="F34" i="20" a="1"/>
  <c r="F34" i="20" s="1"/>
  <c r="F33" i="20" a="1"/>
  <c r="F33" i="20" s="1"/>
  <c r="F32" i="20" a="1"/>
  <c r="F32" i="20" s="1"/>
  <c r="F31" i="20" a="1"/>
  <c r="F31" i="20" s="1"/>
  <c r="F30" i="20" a="1"/>
  <c r="F30" i="20" s="1"/>
  <c r="F29" i="20" a="1"/>
  <c r="F29" i="20" s="1"/>
  <c r="F28" i="20" a="1"/>
  <c r="F28" i="20" s="1"/>
  <c r="F27" i="20" a="1"/>
  <c r="F27" i="20" s="1"/>
  <c r="F26" i="20" a="1"/>
  <c r="F26" i="20" s="1"/>
  <c r="F25" i="20" a="1"/>
  <c r="F25" i="20" s="1"/>
  <c r="F24" i="20" a="1"/>
  <c r="F24" i="20" s="1"/>
  <c r="F23" i="20" a="1"/>
  <c r="F23" i="20" s="1"/>
  <c r="F22" i="20" a="1"/>
  <c r="F22" i="20" s="1"/>
  <c r="F21" i="20" a="1"/>
  <c r="F21" i="20" s="1"/>
  <c r="F20" i="20" a="1"/>
  <c r="F20" i="20" s="1"/>
  <c r="F19" i="20" a="1"/>
  <c r="F19" i="20" s="1"/>
  <c r="F18" i="20" a="1"/>
  <c r="F18" i="20" s="1"/>
  <c r="F14" i="20" a="1"/>
  <c r="F14" i="20" s="1"/>
  <c r="F13" i="20" a="1"/>
  <c r="F13" i="20" s="1"/>
  <c r="F12" i="20" a="1"/>
  <c r="F12" i="20" s="1"/>
  <c r="F11" i="20" a="1"/>
  <c r="F11" i="20" s="1"/>
  <c r="F10" i="20" a="1"/>
  <c r="F10" i="20" s="1"/>
  <c r="F9" i="20" a="1"/>
  <c r="F9" i="20" s="1"/>
  <c r="F8" i="20" a="1"/>
  <c r="F8" i="20" s="1"/>
  <c r="F7" i="20" a="1"/>
  <c r="F7" i="20" s="1"/>
  <c r="F6" i="20" a="1"/>
  <c r="F6" i="20" s="1"/>
  <c r="F5" i="20" a="1"/>
  <c r="F5" i="20" s="1"/>
  <c r="F4" i="20" a="1"/>
  <c r="F4" i="20" s="1"/>
  <c r="D108" i="17" a="1"/>
  <c r="D108" i="17" s="1"/>
  <c r="D107" i="17" a="1"/>
  <c r="D107" i="17" s="1"/>
  <c r="D106" i="17" a="1"/>
  <c r="D106" i="17" s="1"/>
  <c r="D105" i="17" a="1"/>
  <c r="D105" i="17" s="1"/>
  <c r="D104" i="17" a="1"/>
  <c r="D104" i="17" s="1"/>
  <c r="D103" i="17" a="1"/>
  <c r="D103" i="17" s="1"/>
  <c r="D102" i="17" a="1"/>
  <c r="D102" i="17" s="1"/>
  <c r="D101" i="17" a="1"/>
  <c r="D101" i="17" s="1"/>
  <c r="D100" i="17" a="1"/>
  <c r="D100" i="17" s="1"/>
  <c r="D99" i="17" a="1"/>
  <c r="D99" i="17" s="1"/>
  <c r="D98" i="17" a="1"/>
  <c r="D98" i="17" s="1"/>
  <c r="D97" i="17" a="1"/>
  <c r="D97" i="17" s="1"/>
  <c r="D96" i="17" a="1"/>
  <c r="D96" i="17" s="1"/>
  <c r="D95" i="17" a="1"/>
  <c r="D95" i="17" s="1"/>
  <c r="D93" i="17" a="1"/>
  <c r="D93" i="17" s="1"/>
  <c r="D92" i="17" a="1"/>
  <c r="D92" i="17" s="1"/>
  <c r="D91" i="17" a="1"/>
  <c r="D91" i="17" s="1"/>
  <c r="D83" i="17" a="1"/>
  <c r="D83" i="17" s="1"/>
  <c r="D82" i="17" a="1"/>
  <c r="D82" i="17" s="1"/>
  <c r="D81" i="17" a="1"/>
  <c r="D81" i="17" s="1"/>
  <c r="D80" i="17" a="1"/>
  <c r="D80" i="17" s="1"/>
  <c r="D79" i="17" a="1"/>
  <c r="D79" i="17" s="1"/>
  <c r="D77" i="17" a="1"/>
  <c r="D77" i="17" s="1"/>
  <c r="D76" i="17" a="1"/>
  <c r="D76" i="17" s="1"/>
  <c r="D75" i="17" a="1"/>
  <c r="D75" i="17" s="1"/>
  <c r="D74" i="17" a="1"/>
  <c r="D74" i="17" s="1"/>
  <c r="D73" i="17" a="1"/>
  <c r="D73" i="17" s="1"/>
  <c r="D72" i="17" a="1"/>
  <c r="D72" i="17" s="1"/>
  <c r="D71" i="17" a="1"/>
  <c r="D71" i="17" s="1"/>
  <c r="D70" i="17" a="1"/>
  <c r="D70" i="17" s="1"/>
  <c r="D69" i="17" a="1"/>
  <c r="D69" i="17" s="1"/>
  <c r="D64" i="17" a="1"/>
  <c r="D64" i="17" s="1"/>
  <c r="D63" i="17" a="1"/>
  <c r="D63" i="17" s="1"/>
  <c r="D59" i="17" a="1"/>
  <c r="D59" i="17" s="1"/>
  <c r="D58" i="17" a="1"/>
  <c r="D58" i="17" s="1"/>
  <c r="D57" i="17" a="1"/>
  <c r="D57" i="17" s="1"/>
  <c r="D56" i="17" a="1"/>
  <c r="D56" i="17" s="1"/>
  <c r="D55" i="17" a="1"/>
  <c r="D55" i="17" s="1"/>
  <c r="D54" i="17" a="1"/>
  <c r="D54" i="17" s="1"/>
  <c r="D53" i="17" a="1"/>
  <c r="D53" i="17" s="1"/>
  <c r="D52" i="17" a="1"/>
  <c r="D52" i="17" s="1"/>
  <c r="D51" i="17" a="1"/>
  <c r="D51" i="17" s="1"/>
  <c r="D50" i="17" a="1"/>
  <c r="D50" i="17" s="1"/>
  <c r="D49" i="17" a="1"/>
  <c r="D49" i="17" s="1"/>
  <c r="D48" i="17" a="1"/>
  <c r="D48" i="17" s="1"/>
  <c r="D47" i="17" a="1"/>
  <c r="D47" i="17" s="1"/>
  <c r="D46" i="17" a="1"/>
  <c r="D46" i="17" s="1"/>
  <c r="D45" i="17" a="1"/>
  <c r="D45" i="17" s="1"/>
  <c r="D44" i="17" a="1"/>
  <c r="D44" i="17" s="1"/>
  <c r="D43" i="17" a="1"/>
  <c r="D43" i="17" s="1"/>
  <c r="D42" i="17" a="1"/>
  <c r="D42" i="17" s="1"/>
  <c r="D41" i="17" a="1"/>
  <c r="D41" i="17" s="1"/>
  <c r="D40" i="17" a="1"/>
  <c r="D40" i="17" s="1"/>
  <c r="D39" i="17" a="1"/>
  <c r="D39" i="17" s="1"/>
  <c r="D35" i="17" a="1"/>
  <c r="D35" i="17" s="1"/>
  <c r="D34" i="17" a="1"/>
  <c r="D34" i="17" s="1"/>
  <c r="D33" i="17" a="1"/>
  <c r="D33" i="17" s="1"/>
  <c r="D32" i="17" a="1"/>
  <c r="D32" i="17" s="1"/>
  <c r="D31" i="17" a="1"/>
  <c r="D31" i="17" s="1"/>
  <c r="D30" i="17" a="1"/>
  <c r="D30" i="17" s="1"/>
  <c r="D29" i="17" a="1"/>
  <c r="D29" i="17" s="1"/>
  <c r="D28" i="17" a="1"/>
  <c r="D28" i="17" s="1"/>
  <c r="D27" i="17" a="1"/>
  <c r="D27" i="17" s="1"/>
  <c r="D26" i="17" a="1"/>
  <c r="D26" i="17" s="1"/>
  <c r="D25" i="17" a="1"/>
  <c r="D25" i="17" s="1"/>
  <c r="D24" i="17" a="1"/>
  <c r="D24" i="17" s="1"/>
  <c r="D23" i="17" a="1"/>
  <c r="D23" i="17" s="1"/>
  <c r="D22" i="17" a="1"/>
  <c r="D22" i="17" s="1"/>
  <c r="D21" i="17" a="1"/>
  <c r="D21" i="17" s="1"/>
  <c r="D20" i="17" a="1"/>
  <c r="D20" i="17" s="1"/>
  <c r="D19" i="17" a="1"/>
  <c r="D19" i="17" s="1"/>
  <c r="D18" i="17" a="1"/>
  <c r="D18" i="17" s="1"/>
  <c r="D14" i="17" a="1"/>
  <c r="D14" i="17" s="1"/>
  <c r="D13" i="17" a="1"/>
  <c r="D13" i="17" s="1"/>
  <c r="D12" i="17" a="1"/>
  <c r="D12" i="17" s="1"/>
  <c r="D11" i="17" a="1"/>
  <c r="D11" i="17" s="1"/>
  <c r="D10" i="17" a="1"/>
  <c r="D10" i="17" s="1"/>
  <c r="D9" i="17" a="1"/>
  <c r="D9" i="17" s="1"/>
  <c r="D8" i="17" a="1"/>
  <c r="D8" i="17" s="1"/>
  <c r="D7" i="17" a="1"/>
  <c r="D7" i="17" s="1"/>
  <c r="D6" i="17" a="1"/>
  <c r="D6" i="17" s="1"/>
  <c r="D5" i="17" a="1"/>
  <c r="D5" i="17" s="1"/>
  <c r="D4" i="17" a="1"/>
  <c r="D4" i="17" s="1"/>
  <c r="D207" i="12" a="1"/>
  <c r="D207" i="12" s="1"/>
  <c r="D206" i="12" a="1"/>
  <c r="D206" i="12" s="1"/>
  <c r="D205" i="12" a="1"/>
  <c r="D205" i="12" s="1"/>
  <c r="D204" i="12" a="1"/>
  <c r="D204" i="12" s="1"/>
  <c r="D203" i="12" a="1"/>
  <c r="D203" i="12" s="1"/>
  <c r="D202" i="12" a="1"/>
  <c r="D202" i="12" s="1"/>
  <c r="D201" i="12" a="1"/>
  <c r="D201" i="12" s="1"/>
  <c r="D200" i="12" a="1"/>
  <c r="D200" i="12" s="1"/>
  <c r="D199" i="12" a="1"/>
  <c r="D199" i="12" s="1"/>
  <c r="D198" i="12" a="1"/>
  <c r="D198" i="12" s="1"/>
  <c r="D197" i="12" a="1"/>
  <c r="D197" i="12" s="1"/>
  <c r="D196" i="12" a="1"/>
  <c r="D196" i="12" s="1"/>
  <c r="D195" i="12" a="1"/>
  <c r="D195" i="12" s="1"/>
  <c r="D194" i="12" a="1"/>
  <c r="D194" i="12" s="1"/>
  <c r="D193" i="12" a="1"/>
  <c r="D193" i="12" s="1"/>
  <c r="D189" i="12" a="1"/>
  <c r="D189" i="12" s="1"/>
  <c r="D187" i="12" a="1"/>
  <c r="D187" i="12" s="1"/>
  <c r="D186" i="12" a="1"/>
  <c r="D186" i="12" s="1"/>
  <c r="D185" i="12" a="1"/>
  <c r="D185" i="12" s="1"/>
  <c r="D184" i="12" a="1"/>
  <c r="D184" i="12" s="1"/>
  <c r="D183" i="12" a="1"/>
  <c r="D183" i="12" s="1"/>
  <c r="D182" i="12" a="1"/>
  <c r="D182" i="12" s="1"/>
  <c r="D181" i="12" a="1"/>
  <c r="D181" i="12" s="1"/>
  <c r="D180" i="12" a="1"/>
  <c r="D180" i="12" s="1"/>
  <c r="D162" i="12" a="1"/>
  <c r="D162" i="12" s="1"/>
  <c r="D161" i="12" a="1"/>
  <c r="D161" i="12" s="1"/>
  <c r="D160" i="12" a="1"/>
  <c r="D160" i="12" s="1"/>
  <c r="D154" i="12" a="1"/>
  <c r="D154" i="12" s="1"/>
  <c r="D153" i="12" a="1"/>
  <c r="D153" i="12" s="1"/>
  <c r="D152" i="12" a="1"/>
  <c r="D152" i="12" s="1"/>
  <c r="D151" i="12" a="1"/>
  <c r="D151" i="12" s="1"/>
  <c r="D150" i="12" a="1"/>
  <c r="D150" i="12" s="1"/>
  <c r="D149" i="12" a="1"/>
  <c r="D149" i="12" s="1"/>
  <c r="D148" i="12" a="1"/>
  <c r="D148" i="12" s="1"/>
  <c r="D147" i="12" a="1"/>
  <c r="D147" i="12" s="1"/>
  <c r="D146" i="12" a="1"/>
  <c r="D146" i="12" s="1"/>
  <c r="D145" i="12" a="1"/>
  <c r="D145" i="12" s="1"/>
  <c r="D144" i="12" a="1"/>
  <c r="D144" i="12" s="1"/>
  <c r="D143" i="12" a="1"/>
  <c r="D143" i="12" s="1"/>
  <c r="D142" i="12" a="1"/>
  <c r="D142" i="12" s="1"/>
  <c r="D141" i="12" a="1"/>
  <c r="D141" i="12" s="1"/>
  <c r="D140" i="12" a="1"/>
  <c r="D140" i="12" s="1"/>
  <c r="D139" i="12" a="1"/>
  <c r="D139" i="12" s="1"/>
  <c r="D138" i="12" a="1"/>
  <c r="D138" i="12" s="1"/>
  <c r="D134" i="12" a="1"/>
  <c r="D134" i="12" s="1"/>
  <c r="D133" i="12" a="1"/>
  <c r="D133" i="12" s="1"/>
  <c r="D132" i="12" a="1"/>
  <c r="D132" i="12" s="1"/>
  <c r="D131" i="12" a="1"/>
  <c r="D131" i="12" s="1"/>
  <c r="D130" i="12" a="1"/>
  <c r="D130" i="12" s="1"/>
  <c r="D129" i="12" a="1"/>
  <c r="D129" i="12" s="1"/>
  <c r="D128" i="12" a="1"/>
  <c r="D128" i="12" s="1"/>
  <c r="D127" i="12" a="1"/>
  <c r="D127" i="12" s="1"/>
  <c r="D119" i="12" a="1"/>
  <c r="D119" i="12" s="1"/>
  <c r="D118" i="12" a="1"/>
  <c r="D118" i="12" s="1"/>
  <c r="D117" i="12" a="1"/>
  <c r="D117" i="12" s="1"/>
  <c r="D116" i="12" a="1"/>
  <c r="D116" i="12" s="1"/>
  <c r="D115" i="12" a="1"/>
  <c r="D115" i="12" s="1"/>
  <c r="D114" i="12" a="1"/>
  <c r="D114" i="12" s="1"/>
  <c r="D113" i="12" a="1"/>
  <c r="D113" i="12" s="1"/>
  <c r="D112" i="12" a="1"/>
  <c r="D112" i="12" s="1"/>
  <c r="D111" i="12" a="1"/>
  <c r="D111" i="12" s="1"/>
  <c r="D110" i="12" a="1"/>
  <c r="D110" i="12" s="1"/>
  <c r="D109" i="12" a="1"/>
  <c r="D109" i="12" s="1"/>
  <c r="D108" i="12" a="1"/>
  <c r="D108" i="12" s="1"/>
  <c r="D107" i="12" a="1"/>
  <c r="D107" i="12" s="1"/>
  <c r="D106" i="12" a="1"/>
  <c r="D106" i="12" s="1"/>
  <c r="D105" i="12" a="1"/>
  <c r="D105" i="12" s="1"/>
  <c r="D104" i="12" a="1"/>
  <c r="D104" i="12" s="1"/>
  <c r="D103" i="12" a="1"/>
  <c r="D103" i="12" s="1"/>
  <c r="D102" i="12" a="1"/>
  <c r="D102" i="12" s="1"/>
  <c r="D101" i="12" a="1"/>
  <c r="D101" i="12" s="1"/>
  <c r="D100" i="12" a="1"/>
  <c r="D100" i="12" s="1"/>
  <c r="D99" i="12" a="1"/>
  <c r="D99" i="12" s="1"/>
  <c r="D98" i="12" a="1"/>
  <c r="D98" i="12" s="1"/>
  <c r="D97" i="12" a="1"/>
  <c r="D97" i="12" s="1"/>
  <c r="D90" i="12" a="1"/>
  <c r="D90" i="12" s="1"/>
  <c r="D89" i="12" a="1"/>
  <c r="D89" i="12" s="1"/>
  <c r="D88" i="12" a="1"/>
  <c r="D88" i="12" s="1"/>
  <c r="D83" i="12" a="1"/>
  <c r="D83" i="12" s="1"/>
  <c r="D82" i="12" a="1"/>
  <c r="D82" i="12" s="1"/>
  <c r="D81" i="12" a="1"/>
  <c r="D81" i="12" s="1"/>
  <c r="D74" i="12" a="1"/>
  <c r="D74" i="12" s="1"/>
  <c r="D73" i="12" a="1"/>
  <c r="D73" i="12" s="1"/>
  <c r="D72" i="12" a="1"/>
  <c r="D72" i="12" s="1"/>
  <c r="D71" i="12" a="1"/>
  <c r="D71" i="12" s="1"/>
  <c r="D66" i="12" a="1"/>
  <c r="D66" i="12" s="1"/>
  <c r="D65" i="12" a="1"/>
  <c r="D65" i="12" s="1"/>
  <c r="D64" i="12" a="1"/>
  <c r="D64" i="12" s="1"/>
  <c r="D59" i="12" a="1"/>
  <c r="D59" i="12" s="1"/>
  <c r="D58" i="12" a="1"/>
  <c r="D58" i="12" s="1"/>
  <c r="D57" i="12" a="1"/>
  <c r="D57" i="12" s="1"/>
  <c r="D53" i="12" a="1"/>
  <c r="D53" i="12" s="1"/>
  <c r="D52" i="12" a="1"/>
  <c r="D52" i="12" s="1"/>
  <c r="D51" i="12" a="1"/>
  <c r="D51" i="12" s="1"/>
  <c r="D50" i="12" a="1"/>
  <c r="D50" i="12" s="1"/>
  <c r="D49" i="12" a="1"/>
  <c r="D49" i="12" s="1"/>
  <c r="D48" i="12" a="1"/>
  <c r="D48" i="12" s="1"/>
  <c r="D43" i="12" a="1"/>
  <c r="D43" i="12" s="1"/>
  <c r="D42" i="12" a="1"/>
  <c r="D42" i="12" s="1"/>
  <c r="D41" i="12" a="1"/>
  <c r="D41" i="12" s="1"/>
  <c r="D40" i="12" a="1"/>
  <c r="D40" i="12" s="1"/>
  <c r="D35" i="12" a="1"/>
  <c r="D35" i="12" s="1"/>
  <c r="D34" i="12" a="1"/>
  <c r="D34" i="12" s="1"/>
  <c r="D33" i="12" a="1"/>
  <c r="D33" i="12" s="1"/>
  <c r="D32" i="12" a="1"/>
  <c r="D32" i="12" s="1"/>
  <c r="D26" i="12" a="1"/>
  <c r="D26" i="12" s="1"/>
  <c r="D25" i="12" a="1"/>
  <c r="D25" i="12" s="1"/>
  <c r="D24" i="12" a="1"/>
  <c r="D24" i="12" s="1"/>
  <c r="D23" i="12" a="1"/>
  <c r="D23" i="12" s="1"/>
  <c r="D18" i="12" a="1"/>
  <c r="D18" i="12" s="1"/>
  <c r="D17" i="12" a="1"/>
  <c r="D17" i="12" s="1"/>
  <c r="D16" i="12" a="1"/>
  <c r="D16" i="12" s="1"/>
  <c r="D15" i="12" a="1"/>
  <c r="D15" i="12" s="1"/>
  <c r="D10" i="12" a="1"/>
  <c r="D10" i="12" s="1"/>
  <c r="D9" i="12" a="1"/>
  <c r="D9" i="12" s="1"/>
  <c r="D8" i="12" a="1"/>
  <c r="D8" i="12" s="1"/>
  <c r="D7" i="12" a="1"/>
  <c r="D7" i="12" s="1"/>
  <c r="D6" i="12" a="1"/>
  <c r="D6" i="12" s="1"/>
  <c r="D5" i="12" a="1"/>
  <c r="D5" i="12" s="1"/>
  <c r="D4" i="12" a="1"/>
  <c r="D4" i="12" s="1"/>
  <c r="D194" i="18" a="1"/>
  <c r="D194" i="18" s="1"/>
  <c r="D193" i="18" a="1"/>
  <c r="D193" i="18" s="1"/>
  <c r="D192" i="18" a="1"/>
  <c r="D192" i="18" s="1"/>
  <c r="D188" i="18" a="1"/>
  <c r="D188" i="18" s="1"/>
  <c r="D187" i="18" a="1"/>
  <c r="D187" i="18" s="1"/>
  <c r="D186" i="18" a="1"/>
  <c r="D186" i="18" s="1"/>
  <c r="D185" i="18" a="1"/>
  <c r="D185" i="18" s="1"/>
  <c r="D184" i="18" a="1"/>
  <c r="D184" i="18" s="1"/>
  <c r="D183" i="18" a="1"/>
  <c r="D183" i="18" s="1"/>
  <c r="D179" i="18" a="1"/>
  <c r="D179" i="18" s="1"/>
  <c r="D178" i="18" a="1"/>
  <c r="D178" i="18" s="1"/>
  <c r="D177" i="18" a="1"/>
  <c r="D177" i="18" s="1"/>
  <c r="D176" i="18" a="1"/>
  <c r="D176" i="18" s="1"/>
  <c r="D172" i="18" a="1"/>
  <c r="D172" i="18" s="1"/>
  <c r="D171" i="18" a="1"/>
  <c r="D171" i="18" s="1"/>
  <c r="D170" i="18" a="1"/>
  <c r="D170" i="18" s="1"/>
  <c r="D169" i="18" a="1"/>
  <c r="D169" i="18" s="1"/>
  <c r="D168" i="18" a="1"/>
  <c r="D168" i="18" s="1"/>
  <c r="D167" i="18" a="1"/>
  <c r="D167" i="18" s="1"/>
  <c r="D166" i="18" a="1"/>
  <c r="D166" i="18" s="1"/>
  <c r="D165" i="18" a="1"/>
  <c r="D165" i="18" s="1"/>
  <c r="D164" i="18" a="1"/>
  <c r="D164" i="18" s="1"/>
  <c r="D163" i="18" a="1"/>
  <c r="D163" i="18" s="1"/>
  <c r="D159" i="18" a="1"/>
  <c r="D159" i="18" s="1"/>
  <c r="D158" i="18" a="1"/>
  <c r="D158" i="18" s="1"/>
  <c r="D157" i="18" a="1"/>
  <c r="D157" i="18" s="1"/>
  <c r="D156" i="18" a="1"/>
  <c r="D156" i="18" s="1"/>
  <c r="D155" i="18" a="1"/>
  <c r="D155" i="18" s="1"/>
  <c r="D154" i="18" a="1"/>
  <c r="D154" i="18" s="1"/>
  <c r="D153" i="18" a="1"/>
  <c r="D153" i="18" s="1"/>
  <c r="D152" i="18" a="1"/>
  <c r="D152" i="18" s="1"/>
  <c r="D151" i="18" a="1"/>
  <c r="D151" i="18" s="1"/>
  <c r="D150" i="18" a="1"/>
  <c r="D150" i="18" s="1"/>
  <c r="D146" i="18" a="1"/>
  <c r="D146" i="18" s="1"/>
  <c r="D145" i="18" a="1"/>
  <c r="D145" i="18" s="1"/>
  <c r="D144" i="18" a="1"/>
  <c r="D144" i="18" s="1"/>
  <c r="D143" i="18" a="1"/>
  <c r="D143" i="18" s="1"/>
  <c r="D142" i="18" a="1"/>
  <c r="D142" i="18" s="1"/>
  <c r="D141" i="18" a="1"/>
  <c r="D141" i="18" s="1"/>
  <c r="D140" i="18" a="1"/>
  <c r="D140" i="18" s="1"/>
  <c r="D139" i="18" a="1"/>
  <c r="D139" i="18" s="1"/>
  <c r="D138" i="18" a="1"/>
  <c r="D138" i="18" s="1"/>
  <c r="D137" i="18" a="1"/>
  <c r="D137" i="18" s="1"/>
  <c r="D133" i="18" a="1"/>
  <c r="D133" i="18" s="1"/>
  <c r="D132" i="18" a="1"/>
  <c r="D132" i="18" s="1"/>
  <c r="D131" i="18" a="1"/>
  <c r="D131" i="18" s="1"/>
  <c r="D130" i="18" a="1"/>
  <c r="D130" i="18" s="1"/>
  <c r="D129" i="18" a="1"/>
  <c r="D129" i="18" s="1"/>
  <c r="D128" i="18" a="1"/>
  <c r="D128" i="18" s="1"/>
  <c r="D127" i="18" a="1"/>
  <c r="D127" i="18" s="1"/>
  <c r="D126" i="18" a="1"/>
  <c r="D126" i="18" s="1"/>
  <c r="D125" i="18" a="1"/>
  <c r="D125" i="18" s="1"/>
  <c r="D121" i="18" a="1"/>
  <c r="D121" i="18" s="1"/>
  <c r="D120" i="18" a="1"/>
  <c r="D120" i="18" s="1"/>
  <c r="D119" i="18" a="1"/>
  <c r="D119" i="18" s="1"/>
  <c r="D118" i="18" a="1"/>
  <c r="D118" i="18" s="1"/>
  <c r="D117" i="18" a="1"/>
  <c r="D117" i="18" s="1"/>
  <c r="D116" i="18" a="1"/>
  <c r="D116" i="18" s="1"/>
  <c r="D115" i="18" a="1"/>
  <c r="D115" i="18" s="1"/>
  <c r="D114" i="18" a="1"/>
  <c r="D114" i="18" s="1"/>
  <c r="D113" i="18" a="1"/>
  <c r="D113" i="18" s="1"/>
  <c r="D109" i="18" a="1"/>
  <c r="D109" i="18" s="1"/>
  <c r="D108" i="18" a="1"/>
  <c r="D108" i="18" s="1"/>
  <c r="D107" i="18" a="1"/>
  <c r="D107" i="18" s="1"/>
  <c r="D106" i="18" a="1"/>
  <c r="D106" i="18" s="1"/>
  <c r="D105" i="18" a="1"/>
  <c r="D105" i="18" s="1"/>
  <c r="D104" i="18" a="1"/>
  <c r="D104" i="18" s="1"/>
  <c r="D103" i="18" a="1"/>
  <c r="D103" i="18" s="1"/>
  <c r="D102" i="18" a="1"/>
  <c r="D102" i="18" s="1"/>
  <c r="D101" i="18" a="1"/>
  <c r="D101" i="18" s="1"/>
  <c r="D97" i="18" a="1"/>
  <c r="D97" i="18" s="1"/>
  <c r="D96" i="18" a="1"/>
  <c r="D96" i="18" s="1"/>
  <c r="D95" i="18" a="1"/>
  <c r="D95" i="18" s="1"/>
  <c r="D94" i="18" a="1"/>
  <c r="D94" i="18" s="1"/>
  <c r="D90" i="18" a="1"/>
  <c r="D90" i="18" s="1"/>
  <c r="D89" i="18" a="1"/>
  <c r="D89" i="18" s="1"/>
  <c r="D88" i="18" a="1"/>
  <c r="D88" i="18" s="1"/>
  <c r="D87" i="18" a="1"/>
  <c r="D87" i="18" s="1"/>
  <c r="D86" i="18" a="1"/>
  <c r="D86" i="18" s="1"/>
  <c r="D85" i="18" a="1"/>
  <c r="D85" i="18" s="1"/>
  <c r="D84" i="18" a="1"/>
  <c r="D84" i="18" s="1"/>
  <c r="D80" i="18"/>
  <c r="D80" i="18" a="1"/>
  <c r="D79" i="18"/>
  <c r="D79" i="18" a="1"/>
  <c r="D75" i="18" a="1"/>
  <c r="D75" i="18" s="1"/>
  <c r="D74" i="18" a="1"/>
  <c r="D74" i="18" s="1"/>
  <c r="D73" i="18" a="1"/>
  <c r="D73" i="18" s="1"/>
  <c r="D72" i="18" a="1"/>
  <c r="D72" i="18" s="1"/>
  <c r="D71" i="18" a="1"/>
  <c r="D71" i="18" s="1"/>
  <c r="D70" i="18" a="1"/>
  <c r="D70" i="18" s="1"/>
  <c r="D69" i="18" a="1"/>
  <c r="D69" i="18" s="1"/>
  <c r="D68" i="18" a="1"/>
  <c r="D68" i="18" s="1"/>
  <c r="D67" i="18" a="1"/>
  <c r="D67" i="18" s="1"/>
  <c r="D66" i="18" a="1"/>
  <c r="D66" i="18" s="1"/>
  <c r="D65" i="18" a="1"/>
  <c r="D65" i="18" s="1"/>
  <c r="D64" i="18" a="1"/>
  <c r="D64" i="18" s="1"/>
  <c r="D63" i="18" a="1"/>
  <c r="D63" i="18" s="1"/>
  <c r="D62" i="18" a="1"/>
  <c r="D62" i="18" s="1"/>
  <c r="D61" i="18" a="1"/>
  <c r="D61" i="18" s="1"/>
  <c r="D60" i="18" a="1"/>
  <c r="D60" i="18" s="1"/>
  <c r="D59" i="18" a="1"/>
  <c r="D59" i="18" s="1"/>
  <c r="D58" i="18" a="1"/>
  <c r="D58" i="18" s="1"/>
  <c r="D57" i="18" a="1"/>
  <c r="D57" i="18" s="1"/>
  <c r="D56" i="18" a="1"/>
  <c r="D56" i="18" s="1"/>
  <c r="D55" i="18" a="1"/>
  <c r="D55" i="18" s="1"/>
  <c r="D50" i="18" a="1"/>
  <c r="D50" i="18" s="1"/>
  <c r="D49" i="18" a="1"/>
  <c r="D49" i="18" s="1"/>
  <c r="D48" i="18" a="1"/>
  <c r="D48" i="18" s="1"/>
  <c r="D47" i="18" a="1"/>
  <c r="D47" i="18" s="1"/>
  <c r="D46" i="18" a="1"/>
  <c r="D46" i="18" s="1"/>
  <c r="D45" i="18" a="1"/>
  <c r="D45" i="18" s="1"/>
  <c r="D44" i="18" a="1"/>
  <c r="D44" i="18" s="1"/>
  <c r="D43" i="18" a="1"/>
  <c r="D43" i="18" s="1"/>
  <c r="D42" i="18" a="1"/>
  <c r="D42" i="18" s="1"/>
  <c r="D41" i="18" a="1"/>
  <c r="D41" i="18" s="1"/>
  <c r="D40" i="18" a="1"/>
  <c r="D40" i="18" s="1"/>
  <c r="D36" i="18" a="1"/>
  <c r="D36" i="18" s="1"/>
  <c r="D35" i="18" a="1"/>
  <c r="D35" i="18" s="1"/>
  <c r="D34" i="18" a="1"/>
  <c r="D34" i="18" s="1"/>
  <c r="D33" i="18" a="1"/>
  <c r="D33" i="18" s="1"/>
  <c r="D32" i="18" a="1"/>
  <c r="D32" i="18" s="1"/>
  <c r="D31" i="18" a="1"/>
  <c r="D31" i="18" s="1"/>
  <c r="D27" i="18" a="1"/>
  <c r="D27" i="18" s="1"/>
  <c r="D26" i="18" a="1"/>
  <c r="D26" i="18" s="1"/>
  <c r="D25" i="18" a="1"/>
  <c r="D25" i="18" s="1"/>
  <c r="D24" i="18" a="1"/>
  <c r="D24" i="18" s="1"/>
  <c r="D23" i="18" a="1"/>
  <c r="D23" i="18" s="1"/>
  <c r="D22" i="18" a="1"/>
  <c r="D22" i="18" s="1"/>
  <c r="D21" i="18" a="1"/>
  <c r="D21" i="18" s="1"/>
  <c r="D20" i="18" a="1"/>
  <c r="D20" i="18" s="1"/>
  <c r="D16" i="18" a="1"/>
  <c r="D16" i="18" s="1"/>
  <c r="D15" i="18" a="1"/>
  <c r="D15" i="18" s="1"/>
  <c r="D14" i="18" a="1"/>
  <c r="D14" i="18" s="1"/>
  <c r="D13" i="18" a="1"/>
  <c r="D13" i="18" s="1"/>
  <c r="D12" i="18" a="1"/>
  <c r="D12" i="18" s="1"/>
  <c r="D11" i="18" a="1"/>
  <c r="D11" i="18" s="1"/>
  <c r="D7" i="18" a="1"/>
  <c r="D7" i="18" s="1"/>
  <c r="D6" i="18" a="1"/>
  <c r="D6" i="18" s="1"/>
  <c r="D5" i="18" a="1"/>
  <c r="D5" i="18" s="1"/>
  <c r="D4" i="18" a="1"/>
  <c r="D4" i="18" s="1"/>
  <c r="D232" i="15" a="1"/>
  <c r="D232" i="15" s="1"/>
  <c r="D231" i="15" a="1"/>
  <c r="D231" i="15" s="1"/>
  <c r="D230" i="15" a="1"/>
  <c r="D230" i="15" s="1"/>
  <c r="D229" i="15" a="1"/>
  <c r="D229" i="15" s="1"/>
  <c r="D228" i="15" a="1"/>
  <c r="D228" i="15" s="1"/>
  <c r="D227" i="15" a="1"/>
  <c r="D227" i="15" s="1"/>
  <c r="D226" i="15" a="1"/>
  <c r="D226" i="15" s="1"/>
  <c r="D225" i="15" a="1"/>
  <c r="D225" i="15" s="1"/>
  <c r="D224" i="15" a="1"/>
  <c r="D224" i="15" s="1"/>
  <c r="D223" i="15" a="1"/>
  <c r="D223" i="15" s="1"/>
  <c r="D222" i="15" a="1"/>
  <c r="D222" i="15" s="1"/>
  <c r="D221" i="15" a="1"/>
  <c r="D221" i="15" s="1"/>
  <c r="D220" i="15" a="1"/>
  <c r="D220" i="15" s="1"/>
  <c r="D219" i="15" a="1"/>
  <c r="D219" i="15" s="1"/>
  <c r="D218" i="15" a="1"/>
  <c r="D218" i="15" s="1"/>
  <c r="D217" i="15" a="1"/>
  <c r="D217" i="15" s="1"/>
  <c r="D216" i="15" a="1"/>
  <c r="D216" i="15" s="1"/>
  <c r="D215" i="15" a="1"/>
  <c r="D215" i="15" s="1"/>
  <c r="D210" i="15" a="1"/>
  <c r="D210" i="15" s="1"/>
  <c r="D209" i="15" a="1"/>
  <c r="D209" i="15" s="1"/>
  <c r="D208" i="15" a="1"/>
  <c r="D208" i="15" s="1"/>
  <c r="D207" i="15" a="1"/>
  <c r="D207" i="15" s="1"/>
  <c r="D206" i="15" a="1"/>
  <c r="D206" i="15" s="1"/>
  <c r="D205" i="15" a="1"/>
  <c r="D205" i="15" s="1"/>
  <c r="D200" i="15" a="1"/>
  <c r="D200" i="15" s="1"/>
  <c r="D199" i="15" a="1"/>
  <c r="D199" i="15" s="1"/>
  <c r="D198" i="15" a="1"/>
  <c r="D198" i="15" s="1"/>
  <c r="D197" i="15" a="1"/>
  <c r="D197" i="15" s="1"/>
  <c r="D196" i="15" a="1"/>
  <c r="D196" i="15" s="1"/>
  <c r="D195" i="15" a="1"/>
  <c r="D195" i="15" s="1"/>
  <c r="D194" i="15" a="1"/>
  <c r="D194" i="15" s="1"/>
  <c r="D189" i="15" a="1"/>
  <c r="D189" i="15" s="1"/>
  <c r="D188" i="15" a="1"/>
  <c r="D188" i="15" s="1"/>
  <c r="D184" i="15" a="1"/>
  <c r="D184" i="15" s="1"/>
  <c r="D183" i="15" a="1"/>
  <c r="D183" i="15" s="1"/>
  <c r="D182" i="15" a="1"/>
  <c r="D182" i="15" s="1"/>
  <c r="D181" i="15" a="1"/>
  <c r="D181" i="15" s="1"/>
  <c r="D180" i="15" a="1"/>
  <c r="D180" i="15" s="1"/>
  <c r="D179" i="15" a="1"/>
  <c r="D179" i="15" s="1"/>
  <c r="D178" i="15" a="1"/>
  <c r="D178" i="15" s="1"/>
  <c r="D177" i="15" a="1"/>
  <c r="D177" i="15" s="1"/>
  <c r="D176" i="15" a="1"/>
  <c r="D176" i="15" s="1"/>
  <c r="D175" i="15" a="1"/>
  <c r="D175" i="15" s="1"/>
  <c r="D174" i="15" a="1"/>
  <c r="D174" i="15" s="1"/>
  <c r="D173" i="15" a="1"/>
  <c r="D173" i="15" s="1"/>
  <c r="D172" i="15" a="1"/>
  <c r="D172" i="15" s="1"/>
  <c r="D171" i="15" a="1"/>
  <c r="D171" i="15" s="1"/>
  <c r="D166" i="15" a="1"/>
  <c r="D166" i="15" s="1"/>
  <c r="D165" i="15" a="1"/>
  <c r="D165" i="15" s="1"/>
  <c r="D164" i="15" a="1"/>
  <c r="D164" i="15" s="1"/>
  <c r="D163" i="15" a="1"/>
  <c r="D163" i="15" s="1"/>
  <c r="D162" i="15" a="1"/>
  <c r="D162" i="15" s="1"/>
  <c r="D161" i="15" a="1"/>
  <c r="D161" i="15" s="1"/>
  <c r="D160" i="15" a="1"/>
  <c r="D160" i="15" s="1"/>
  <c r="D159" i="15" a="1"/>
  <c r="D159" i="15" s="1"/>
  <c r="D158" i="15" a="1"/>
  <c r="D158" i="15" s="1"/>
  <c r="D157" i="15" a="1"/>
  <c r="D157" i="15" s="1"/>
  <c r="D156" i="15" a="1"/>
  <c r="D156" i="15" s="1"/>
  <c r="D155" i="15" a="1"/>
  <c r="D155" i="15" s="1"/>
  <c r="D154" i="15" a="1"/>
  <c r="D154" i="15" s="1"/>
  <c r="D153" i="15" a="1"/>
  <c r="D153" i="15" s="1"/>
  <c r="D152" i="15" a="1"/>
  <c r="D152" i="15" s="1"/>
  <c r="D151" i="15" a="1"/>
  <c r="D151" i="15" s="1"/>
  <c r="D150" i="15" a="1"/>
  <c r="D150" i="15" s="1"/>
  <c r="D149" i="15" a="1"/>
  <c r="D149" i="15" s="1"/>
  <c r="D148" i="15" a="1"/>
  <c r="D148" i="15" s="1"/>
  <c r="D147" i="15" a="1"/>
  <c r="D147" i="15" s="1"/>
  <c r="D142" i="15" a="1"/>
  <c r="D142" i="15" s="1"/>
  <c r="D141" i="15" a="1"/>
  <c r="D141" i="15" s="1"/>
  <c r="D140" i="15" a="1"/>
  <c r="D140" i="15" s="1"/>
  <c r="D139" i="15" a="1"/>
  <c r="D139" i="15" s="1"/>
  <c r="D134" i="15" a="1"/>
  <c r="D134" i="15" s="1"/>
  <c r="D133" i="15" a="1"/>
  <c r="D133" i="15" s="1"/>
  <c r="D132" i="15" a="1"/>
  <c r="D132" i="15" s="1"/>
  <c r="D131" i="15" a="1"/>
  <c r="D131" i="15" s="1"/>
  <c r="D130" i="15" a="1"/>
  <c r="D130" i="15" s="1"/>
  <c r="D129" i="15" a="1"/>
  <c r="D129" i="15" s="1"/>
  <c r="D128" i="15" a="1"/>
  <c r="D128" i="15" s="1"/>
  <c r="D109" i="15" a="1"/>
  <c r="D109" i="15" s="1"/>
  <c r="D123" i="15" a="1"/>
  <c r="D123" i="15" s="1"/>
  <c r="D122" i="15" a="1"/>
  <c r="D122" i="15" s="1"/>
  <c r="D121" i="15" a="1"/>
  <c r="D121" i="15" s="1"/>
  <c r="D120" i="15" a="1"/>
  <c r="D120" i="15" s="1"/>
  <c r="D119" i="15" a="1"/>
  <c r="D119" i="15" s="1"/>
  <c r="D118" i="15" a="1"/>
  <c r="D118" i="15" s="1"/>
  <c r="D117" i="15" a="1"/>
  <c r="D117" i="15" s="1"/>
  <c r="D116" i="15" a="1"/>
  <c r="D116" i="15" s="1"/>
  <c r="D115" i="15" a="1"/>
  <c r="D115" i="15" s="1"/>
  <c r="D114" i="15" a="1"/>
  <c r="D114" i="15" s="1"/>
  <c r="D113" i="15" a="1"/>
  <c r="D113" i="15" s="1"/>
  <c r="D112" i="15" a="1"/>
  <c r="D112" i="15" s="1"/>
  <c r="D111" i="15" a="1"/>
  <c r="D111" i="15" s="1"/>
  <c r="D110" i="15" a="1"/>
  <c r="D110" i="15" s="1"/>
  <c r="D108" i="15" a="1"/>
  <c r="D108" i="15" s="1"/>
  <c r="D107" i="15" a="1"/>
  <c r="D107" i="15" s="1"/>
  <c r="D106" i="15" a="1"/>
  <c r="D106" i="15" s="1"/>
  <c r="D101" i="15" a="1"/>
  <c r="D101" i="15" s="1"/>
  <c r="D100" i="15" a="1"/>
  <c r="D100" i="15" s="1"/>
  <c r="D99" i="15" a="1"/>
  <c r="D99" i="15" s="1"/>
  <c r="D98" i="15" a="1"/>
  <c r="D98" i="15" s="1"/>
  <c r="D97" i="15" a="1"/>
  <c r="D97" i="15" s="1"/>
  <c r="D96" i="15" a="1"/>
  <c r="D96" i="15" s="1"/>
  <c r="D95" i="15" a="1"/>
  <c r="D95" i="15" s="1"/>
  <c r="D94" i="15" a="1"/>
  <c r="D94" i="15" s="1"/>
  <c r="D93" i="15" a="1"/>
  <c r="D93" i="15" s="1"/>
  <c r="D92" i="15" a="1"/>
  <c r="D92" i="15" s="1"/>
  <c r="D91" i="15" a="1"/>
  <c r="D91" i="15" s="1"/>
  <c r="D90" i="15" a="1"/>
  <c r="D90" i="15" s="1"/>
  <c r="D89" i="15" a="1"/>
  <c r="D89" i="15" s="1"/>
  <c r="D88" i="15" a="1"/>
  <c r="D88" i="15" s="1"/>
  <c r="D87" i="15" a="1"/>
  <c r="D87" i="15" s="1"/>
  <c r="D86" i="15" a="1"/>
  <c r="D86" i="15" s="1"/>
  <c r="D85" i="15" a="1"/>
  <c r="D85" i="15" s="1"/>
  <c r="D84" i="15" a="1"/>
  <c r="D84" i="15" s="1"/>
  <c r="D83" i="15" a="1"/>
  <c r="D83" i="15" s="1"/>
  <c r="D82" i="15" a="1"/>
  <c r="D82" i="15" s="1"/>
  <c r="D78" i="15" a="1"/>
  <c r="D78" i="15" s="1"/>
  <c r="D77" i="15" a="1"/>
  <c r="D77" i="15" s="1"/>
  <c r="D76" i="15" a="1"/>
  <c r="D76" i="15" s="1"/>
  <c r="D75" i="15" a="1"/>
  <c r="D75" i="15" s="1"/>
  <c r="D74" i="15" a="1"/>
  <c r="D74" i="15" s="1"/>
  <c r="D73" i="15" a="1"/>
  <c r="D73" i="15" s="1"/>
  <c r="D72" i="15" a="1"/>
  <c r="D72" i="15" s="1"/>
  <c r="D71" i="15" a="1"/>
  <c r="D71" i="15" s="1"/>
  <c r="D70" i="15" a="1"/>
  <c r="D70" i="15" s="1"/>
  <c r="D69" i="15" a="1"/>
  <c r="D69" i="15" s="1"/>
  <c r="D68" i="15" a="1"/>
  <c r="D68" i="15" s="1"/>
  <c r="D67" i="15" a="1"/>
  <c r="D67" i="15" s="1"/>
  <c r="D66" i="15" a="1"/>
  <c r="D66" i="15" s="1"/>
  <c r="D65" i="15" a="1"/>
  <c r="D65" i="15" s="1"/>
  <c r="D61" i="15" a="1"/>
  <c r="D61" i="15" s="1"/>
  <c r="D60" i="15" a="1"/>
  <c r="D60" i="15" s="1"/>
  <c r="D59" i="15" a="1"/>
  <c r="D59" i="15" s="1"/>
  <c r="D55" i="15" a="1"/>
  <c r="D55" i="15" s="1"/>
  <c r="D54" i="15" a="1"/>
  <c r="D54" i="15" s="1"/>
  <c r="D53" i="15" a="1"/>
  <c r="D53" i="15" s="1"/>
  <c r="D52" i="15" a="1"/>
  <c r="D52" i="15" s="1"/>
  <c r="D51" i="15" a="1"/>
  <c r="D51" i="15" s="1"/>
  <c r="D50" i="15" a="1"/>
  <c r="D50" i="15" s="1"/>
  <c r="D49" i="15" a="1"/>
  <c r="D49" i="15" s="1"/>
  <c r="D48" i="15" a="1"/>
  <c r="D48" i="15" s="1"/>
  <c r="D47" i="15" a="1"/>
  <c r="D47" i="15" s="1"/>
  <c r="D46" i="15" a="1"/>
  <c r="D46" i="15" s="1"/>
  <c r="D45" i="15" a="1"/>
  <c r="D45" i="15" s="1"/>
  <c r="D44" i="15" a="1"/>
  <c r="D44" i="15" s="1"/>
  <c r="D43" i="15" a="1"/>
  <c r="D43" i="15" s="1"/>
  <c r="D42" i="15" a="1"/>
  <c r="D42" i="15" s="1"/>
  <c r="D41" i="15" a="1"/>
  <c r="D41" i="15" s="1"/>
  <c r="D40" i="15" a="1"/>
  <c r="D40" i="15" s="1"/>
  <c r="D39" i="15" a="1"/>
  <c r="D39" i="15" s="1"/>
  <c r="D38" i="15" a="1"/>
  <c r="D38" i="15" s="1"/>
  <c r="D37" i="15" a="1"/>
  <c r="D37" i="15" s="1"/>
  <c r="D36" i="15" a="1"/>
  <c r="D36" i="15" s="1"/>
  <c r="D35" i="15" a="1"/>
  <c r="D35" i="15" s="1"/>
  <c r="D34" i="15" a="1"/>
  <c r="D34" i="15" s="1"/>
  <c r="D33" i="15" a="1"/>
  <c r="D33" i="15" s="1"/>
  <c r="D32" i="15" a="1"/>
  <c r="D32" i="15" s="1"/>
  <c r="D31" i="15" a="1"/>
  <c r="D31" i="15" s="1"/>
  <c r="D30" i="15" a="1"/>
  <c r="D30" i="15" s="1"/>
  <c r="D29" i="15" a="1"/>
  <c r="D29" i="15" s="1"/>
  <c r="D28" i="15" a="1"/>
  <c r="D28" i="15" s="1"/>
  <c r="D27" i="15" a="1"/>
  <c r="D27" i="15" s="1"/>
  <c r="D26" i="15" a="1"/>
  <c r="D26" i="15" s="1"/>
  <c r="D25" i="15" a="1"/>
  <c r="D25" i="15" s="1"/>
  <c r="D24" i="15" a="1"/>
  <c r="D24" i="15" s="1"/>
  <c r="D23" i="15" a="1"/>
  <c r="D23" i="15" s="1"/>
  <c r="D22" i="15" a="1"/>
  <c r="D22" i="15" s="1"/>
  <c r="D21" i="15" a="1"/>
  <c r="D21" i="15" s="1"/>
  <c r="D16" i="15" a="1"/>
  <c r="D16" i="15" s="1"/>
  <c r="D15" i="15" a="1"/>
  <c r="D15" i="15" s="1"/>
  <c r="D14" i="15" a="1"/>
  <c r="D14" i="15" s="1"/>
  <c r="D13" i="15" a="1"/>
  <c r="D13" i="15" s="1"/>
  <c r="D12" i="15" a="1"/>
  <c r="D12" i="15" s="1"/>
  <c r="D11" i="15" a="1"/>
  <c r="D11" i="15" s="1"/>
  <c r="D10" i="15" a="1"/>
  <c r="D10" i="15" s="1"/>
  <c r="D9" i="15" a="1"/>
  <c r="D9" i="15" s="1"/>
  <c r="D8" i="15" a="1"/>
  <c r="D8" i="15" s="1"/>
  <c r="D7" i="15" a="1"/>
  <c r="D7" i="15" s="1"/>
  <c r="D6" i="15" a="1"/>
  <c r="D6" i="15" s="1"/>
  <c r="D5" i="15" a="1"/>
  <c r="D5" i="15" s="1"/>
  <c r="D4" i="15" a="1"/>
  <c r="D4" i="15" s="1"/>
  <c r="D247" i="16" a="1"/>
  <c r="D247" i="16" s="1"/>
  <c r="D246" i="16" a="1"/>
  <c r="D246" i="16" s="1"/>
  <c r="D245" i="16" a="1"/>
  <c r="D245" i="16" s="1"/>
  <c r="D244" i="16" a="1"/>
  <c r="D244" i="16" s="1"/>
  <c r="D243" i="16" a="1"/>
  <c r="D243" i="16" s="1"/>
  <c r="D242" i="16" a="1"/>
  <c r="D242" i="16" s="1"/>
  <c r="D241" i="16" a="1"/>
  <c r="D241" i="16" s="1"/>
  <c r="D240" i="16" a="1"/>
  <c r="D240" i="16" s="1"/>
  <c r="D236" i="16" a="1"/>
  <c r="D236" i="16" s="1"/>
  <c r="D235" i="16" a="1"/>
  <c r="D235" i="16" s="1"/>
  <c r="D234" i="16" a="1"/>
  <c r="D234" i="16" s="1"/>
  <c r="D233" i="16" a="1"/>
  <c r="D233" i="16" s="1"/>
  <c r="D232" i="16" a="1"/>
  <c r="D232" i="16" s="1"/>
  <c r="D231" i="16" a="1"/>
  <c r="D231" i="16" s="1"/>
  <c r="D230" i="16" a="1"/>
  <c r="D230" i="16" s="1"/>
  <c r="D229" i="16" a="1"/>
  <c r="D229" i="16" s="1"/>
  <c r="D228" i="16" a="1"/>
  <c r="D228" i="16" s="1"/>
  <c r="D227" i="16" a="1"/>
  <c r="D227" i="16" s="1"/>
  <c r="D226" i="16" a="1"/>
  <c r="D226" i="16" s="1"/>
  <c r="D225" i="16" a="1"/>
  <c r="D225" i="16" s="1"/>
  <c r="D220" i="16" a="1"/>
  <c r="D220" i="16" s="1"/>
  <c r="D219" i="16" a="1"/>
  <c r="D219" i="16" s="1"/>
  <c r="D218" i="16" a="1"/>
  <c r="D218" i="16" s="1"/>
  <c r="D217" i="16" a="1"/>
  <c r="D217" i="16" s="1"/>
  <c r="D216" i="16" a="1"/>
  <c r="D216" i="16" s="1"/>
  <c r="D215" i="16" a="1"/>
  <c r="D215" i="16" s="1"/>
  <c r="D214" i="16" a="1"/>
  <c r="D214" i="16" s="1"/>
  <c r="D213" i="16" a="1"/>
  <c r="D213" i="16" s="1"/>
  <c r="D208" i="16" a="1"/>
  <c r="D208" i="16" s="1"/>
  <c r="D207" i="16" a="1"/>
  <c r="D207" i="16" s="1"/>
  <c r="D206" i="16" a="1"/>
  <c r="D206" i="16" s="1"/>
  <c r="D205" i="16" a="1"/>
  <c r="D205" i="16" s="1"/>
  <c r="D204" i="16" a="1"/>
  <c r="D204" i="16" s="1"/>
  <c r="D203" i="16" a="1"/>
  <c r="D203" i="16" s="1"/>
  <c r="D202" i="16" a="1"/>
  <c r="D202" i="16" s="1"/>
  <c r="D197" i="16" a="1"/>
  <c r="D197" i="16" s="1"/>
  <c r="D193" i="16" a="1"/>
  <c r="D193" i="16" s="1"/>
  <c r="D192" i="16" a="1"/>
  <c r="D192" i="16" s="1"/>
  <c r="D191" i="16" a="1"/>
  <c r="D191" i="16" s="1"/>
  <c r="D187" i="16"/>
  <c r="D187" i="16" a="1"/>
  <c r="D186" i="16"/>
  <c r="D186" i="16" a="1"/>
  <c r="D185" i="16"/>
  <c r="D185" i="16" a="1"/>
  <c r="D184" i="16"/>
  <c r="D184" i="16" a="1"/>
  <c r="D183" i="16"/>
  <c r="D183" i="16" a="1"/>
  <c r="D182" i="16"/>
  <c r="D182" i="16" a="1"/>
  <c r="D181" i="16"/>
  <c r="D181" i="16" a="1"/>
  <c r="D180" i="16"/>
  <c r="D180" i="16" a="1"/>
  <c r="D176" i="16"/>
  <c r="D176" i="16" a="1"/>
  <c r="D175" i="16"/>
  <c r="D175" i="16" a="1"/>
  <c r="D174" i="16"/>
  <c r="D174" i="16" a="1"/>
  <c r="D173" i="16"/>
  <c r="D173" i="16" a="1"/>
  <c r="D172" i="16"/>
  <c r="D172" i="16" a="1"/>
  <c r="D168" i="16"/>
  <c r="D168" i="16" a="1"/>
  <c r="D167" i="16"/>
  <c r="D167" i="16" a="1"/>
  <c r="D166" i="16" a="1"/>
  <c r="D166" i="16" s="1"/>
  <c r="D165" i="16"/>
  <c r="D165" i="16" a="1"/>
  <c r="D161" i="16" a="1"/>
  <c r="D161" i="16" s="1"/>
  <c r="D160" i="16" a="1"/>
  <c r="D160" i="16" s="1"/>
  <c r="D159" i="16" a="1"/>
  <c r="D159" i="16" s="1"/>
  <c r="D158" i="16" a="1"/>
  <c r="D158" i="16" s="1"/>
  <c r="D153" i="16" a="1"/>
  <c r="D153" i="16" s="1"/>
  <c r="D152" i="16" a="1"/>
  <c r="D152" i="16" s="1"/>
  <c r="D151" i="16" a="1"/>
  <c r="D151" i="16" s="1"/>
  <c r="D150" i="16" a="1"/>
  <c r="D150" i="16" s="1"/>
  <c r="D149" i="16" a="1"/>
  <c r="D149" i="16" s="1"/>
  <c r="D148" i="16" a="1"/>
  <c r="D148" i="16" s="1"/>
  <c r="D147" i="16" a="1"/>
  <c r="D147" i="16" s="1"/>
  <c r="D146" i="16" a="1"/>
  <c r="D146" i="16" s="1"/>
  <c r="D145" i="16" a="1"/>
  <c r="D145" i="16" s="1"/>
  <c r="D144" i="16" a="1"/>
  <c r="D144" i="16" s="1"/>
  <c r="D143" i="16" a="1"/>
  <c r="D143" i="16" s="1"/>
  <c r="D142" i="16" a="1"/>
  <c r="D142" i="16" s="1"/>
  <c r="D141" i="16" a="1"/>
  <c r="D141" i="16" s="1"/>
  <c r="D140" i="16" a="1"/>
  <c r="D140" i="16" s="1"/>
  <c r="D139" i="16" a="1"/>
  <c r="D139" i="16" s="1"/>
  <c r="D138" i="16" a="1"/>
  <c r="D138" i="16" s="1"/>
  <c r="D137" i="16" a="1"/>
  <c r="D137" i="16" s="1"/>
  <c r="D136" i="16" a="1"/>
  <c r="D136" i="16" s="1"/>
  <c r="D135" i="16" a="1"/>
  <c r="D135" i="16" s="1"/>
  <c r="D134" i="16" a="1"/>
  <c r="D134" i="16" s="1"/>
  <c r="D133" i="16" a="1"/>
  <c r="D133" i="16" s="1"/>
  <c r="D132" i="16" a="1"/>
  <c r="D132" i="16" s="1"/>
  <c r="D131" i="16" a="1"/>
  <c r="D131" i="16" s="1"/>
  <c r="D130" i="16" a="1"/>
  <c r="D130" i="16" s="1"/>
  <c r="D129" i="16" a="1"/>
  <c r="D129" i="16" s="1"/>
  <c r="D124" i="16" a="1"/>
  <c r="D124" i="16" s="1"/>
  <c r="D123" i="16" a="1"/>
  <c r="D123" i="16" s="1"/>
  <c r="D118" i="16" a="1"/>
  <c r="D118" i="16" s="1"/>
  <c r="D114" i="16" a="1"/>
  <c r="D114" i="16" s="1"/>
  <c r="D113" i="16" a="1"/>
  <c r="D113" i="16" s="1"/>
  <c r="D109" i="16" a="1"/>
  <c r="D109" i="16" s="1"/>
  <c r="D108" i="16" a="1"/>
  <c r="D108" i="16" s="1"/>
  <c r="D107" i="16" a="1"/>
  <c r="D107" i="16" s="1"/>
  <c r="D106" i="16" a="1"/>
  <c r="D106" i="16" s="1"/>
  <c r="D102" i="16" a="1"/>
  <c r="D102" i="16" s="1"/>
  <c r="D101" i="16" a="1"/>
  <c r="D101" i="16" s="1"/>
  <c r="D100" i="16" a="1"/>
  <c r="D100" i="16" s="1"/>
  <c r="D99" i="16" a="1"/>
  <c r="D99" i="16" s="1"/>
  <c r="D98" i="16" a="1"/>
  <c r="D98" i="16" s="1"/>
  <c r="D97" i="16" a="1"/>
  <c r="D97" i="16" s="1"/>
  <c r="D96" i="16" a="1"/>
  <c r="D96" i="16" s="1"/>
  <c r="D92" i="16" a="1"/>
  <c r="D92" i="16" s="1"/>
  <c r="D91" i="16" a="1"/>
  <c r="D91" i="16" s="1"/>
  <c r="D90" i="16" a="1"/>
  <c r="D90" i="16" s="1"/>
  <c r="D89" i="16" a="1"/>
  <c r="D89" i="16" s="1"/>
  <c r="D88" i="16" a="1"/>
  <c r="D88" i="16" s="1"/>
  <c r="D87" i="16" a="1"/>
  <c r="D87" i="16" s="1"/>
  <c r="D86" i="16" a="1"/>
  <c r="D86" i="16" s="1"/>
  <c r="D82" i="16" a="1"/>
  <c r="D82" i="16" s="1"/>
  <c r="D81" i="16" a="1"/>
  <c r="D81" i="16" s="1"/>
  <c r="D80" i="16" a="1"/>
  <c r="D80" i="16" s="1"/>
  <c r="D79" i="16" a="1"/>
  <c r="D79" i="16" s="1"/>
  <c r="D75" i="16" a="1"/>
  <c r="D75" i="16" s="1"/>
  <c r="D74" i="16" a="1"/>
  <c r="D74" i="16" s="1"/>
  <c r="D73" i="16" a="1"/>
  <c r="D73" i="16" s="1"/>
  <c r="D72" i="16" a="1"/>
  <c r="D72" i="16" s="1"/>
  <c r="D71" i="16" a="1"/>
  <c r="D71" i="16" s="1"/>
  <c r="D67" i="16" a="1"/>
  <c r="D67" i="16" s="1"/>
  <c r="D66" i="16" a="1"/>
  <c r="D66" i="16" s="1"/>
  <c r="D65" i="16" a="1"/>
  <c r="D65" i="16" s="1"/>
  <c r="D64" i="16" a="1"/>
  <c r="D64" i="16" s="1"/>
  <c r="D63" i="16" a="1"/>
  <c r="D63" i="16" s="1"/>
  <c r="D57" i="16" a="1"/>
  <c r="D57" i="16" s="1"/>
  <c r="D56" i="16" a="1"/>
  <c r="D56" i="16" s="1"/>
  <c r="D55" i="16" a="1"/>
  <c r="D55" i="16" s="1"/>
  <c r="D54" i="16" a="1"/>
  <c r="D54" i="16" s="1"/>
  <c r="D53" i="16" a="1"/>
  <c r="D53" i="16" s="1"/>
  <c r="D52" i="16" a="1"/>
  <c r="D52" i="16" s="1"/>
  <c r="D51" i="16" a="1"/>
  <c r="D51" i="16" s="1"/>
  <c r="D50" i="16" a="1"/>
  <c r="D50" i="16" s="1"/>
  <c r="D46" i="16" a="1"/>
  <c r="D46" i="16" s="1"/>
  <c r="D45" i="16" a="1"/>
  <c r="D45" i="16" s="1"/>
  <c r="D44" i="16" a="1"/>
  <c r="D44" i="16" s="1"/>
  <c r="D43" i="16" a="1"/>
  <c r="D43" i="16" s="1"/>
  <c r="D42" i="16" a="1"/>
  <c r="D42" i="16" s="1"/>
  <c r="D38" i="16" a="1"/>
  <c r="D38" i="16" s="1"/>
  <c r="D37" i="16" a="1"/>
  <c r="D37" i="16" s="1"/>
  <c r="D33" i="16" a="1"/>
  <c r="D33" i="16" s="1"/>
  <c r="D32" i="16" a="1"/>
  <c r="D32" i="16" s="1"/>
  <c r="D31" i="16" a="1"/>
  <c r="D31" i="16" s="1"/>
  <c r="D30" i="16" a="1"/>
  <c r="D30" i="16" s="1"/>
  <c r="D29" i="16" a="1"/>
  <c r="D29" i="16" s="1"/>
  <c r="D28" i="16" a="1"/>
  <c r="D28" i="16" s="1"/>
  <c r="D24" i="16" a="1"/>
  <c r="D24" i="16" s="1"/>
  <c r="D23" i="16" a="1"/>
  <c r="D23" i="16" s="1"/>
  <c r="D22" i="16" a="1"/>
  <c r="D22" i="16" s="1"/>
  <c r="D21" i="16" a="1"/>
  <c r="D21" i="16" s="1"/>
  <c r="D20" i="16" a="1"/>
  <c r="D20" i="16" s="1"/>
  <c r="D19" i="16" a="1"/>
  <c r="D19" i="16" s="1"/>
  <c r="D18" i="16" a="1"/>
  <c r="D18" i="16" s="1"/>
  <c r="D17" i="16" a="1"/>
  <c r="D17" i="16" s="1"/>
  <c r="D16" i="16" a="1"/>
  <c r="D16" i="16" s="1"/>
  <c r="D12" i="16" a="1"/>
  <c r="D12" i="16" s="1"/>
  <c r="D11" i="16" a="1"/>
  <c r="D11" i="16" s="1"/>
  <c r="D7" i="16" a="1"/>
  <c r="D7" i="16" s="1"/>
  <c r="D6" i="16" a="1"/>
  <c r="D6" i="16" s="1"/>
  <c r="D5" i="16" a="1"/>
  <c r="D5" i="16" s="1"/>
  <c r="D4" i="16" a="1"/>
  <c r="D4" i="16" s="1"/>
  <c r="J42" i="18"/>
  <c r="E107" i="17"/>
  <c r="E167" i="12"/>
  <c r="E168" i="12"/>
  <c r="E169" i="12"/>
  <c r="E170" i="12"/>
  <c r="E171" i="12"/>
  <c r="E172" i="12"/>
  <c r="E173" i="12"/>
  <c r="E174" i="12"/>
  <c r="E175" i="12"/>
  <c r="E176" i="12"/>
  <c r="J158" i="15"/>
  <c r="J142" i="15"/>
  <c r="J141" i="15"/>
  <c r="J98" i="15"/>
  <c r="L101" i="23" l="1"/>
  <c r="L105" i="23"/>
  <c r="L102" i="23"/>
  <c r="L106" i="23"/>
  <c r="L99" i="23"/>
  <c r="L103" i="23"/>
  <c r="L107" i="23"/>
  <c r="L100" i="23"/>
  <c r="L104" i="23"/>
  <c r="L108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Ortega</author>
  </authors>
  <commentList>
    <comment ref="D188" authorId="0" shapeId="0" xr:uid="{79E0C2BF-3AAB-4E28-A972-905D2D8A766B}">
      <text>
        <r>
          <rPr>
            <b/>
            <sz val="9"/>
            <color indexed="81"/>
            <rFont val="Tahoma"/>
            <charset val="1"/>
          </rPr>
          <t>Victoria Ortega:</t>
        </r>
        <r>
          <rPr>
            <sz val="9"/>
            <color indexed="81"/>
            <rFont val="Tahoma"/>
            <charset val="1"/>
          </rPr>
          <t xml:space="preserve">
diferente nombre 
entra en el codigo 7034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Ortega</author>
  </authors>
  <commentList>
    <comment ref="D51" authorId="0" shapeId="0" xr:uid="{BE66D2AF-963E-40E7-BF57-62495F3F2151}">
      <text>
        <r>
          <rPr>
            <b/>
            <sz val="9"/>
            <color indexed="81"/>
            <rFont val="Tahoma"/>
            <charset val="1"/>
          </rPr>
          <t>Victoria Ortega:</t>
        </r>
        <r>
          <rPr>
            <sz val="9"/>
            <color indexed="81"/>
            <rFont val="Tahoma"/>
            <charset val="1"/>
          </rPr>
          <t xml:space="preserve">
ES BLANCO</t>
        </r>
      </text>
    </comment>
    <comment ref="D52" authorId="0" shapeId="0" xr:uid="{A5AF1EDA-86C1-4A02-8009-0394A6684A0D}">
      <text>
        <r>
          <rPr>
            <b/>
            <sz val="9"/>
            <color indexed="81"/>
            <rFont val="Tahoma"/>
            <charset val="1"/>
          </rPr>
          <t>Victoria Ortega:</t>
        </r>
        <r>
          <rPr>
            <sz val="9"/>
            <color indexed="81"/>
            <rFont val="Tahoma"/>
            <charset val="1"/>
          </rPr>
          <t xml:space="preserve">
ES PRETU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Ortega</author>
  </authors>
  <commentList>
    <comment ref="C38" authorId="0" shapeId="0" xr:uid="{D0714DDF-9BE0-4112-B79B-591777F9E5A9}">
      <text>
        <r>
          <rPr>
            <b/>
            <sz val="9"/>
            <color indexed="81"/>
            <rFont val="Tahoma"/>
            <family val="2"/>
          </rPr>
          <t>Victoria Ortega:</t>
        </r>
        <r>
          <rPr>
            <sz val="9"/>
            <color indexed="81"/>
            <rFont val="Tahoma"/>
            <family val="2"/>
          </rPr>
          <t xml:space="preserve">
puede ser 1533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Ortega</author>
  </authors>
  <commentList>
    <comment ref="F188" authorId="0" shapeId="0" xr:uid="{7DC37C31-19F2-4E38-8E5C-72EEBD95BFE8}">
      <text>
        <r>
          <rPr>
            <b/>
            <sz val="9"/>
            <color indexed="81"/>
            <rFont val="Tahoma"/>
            <charset val="1"/>
          </rPr>
          <t>Victoria Ortega:</t>
        </r>
        <r>
          <rPr>
            <sz val="9"/>
            <color indexed="81"/>
            <rFont val="Tahoma"/>
            <charset val="1"/>
          </rPr>
          <t xml:space="preserve">
diferente nombre 
entra en el codigo 7034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Ortega</author>
  </authors>
  <commentList>
    <comment ref="F51" authorId="0" shapeId="0" xr:uid="{DC456D23-C61D-410D-84C3-D61BFFDE6FD0}">
      <text>
        <r>
          <rPr>
            <b/>
            <sz val="9"/>
            <color indexed="81"/>
            <rFont val="Tahoma"/>
            <charset val="1"/>
          </rPr>
          <t>Victoria Ortega:</t>
        </r>
        <r>
          <rPr>
            <sz val="9"/>
            <color indexed="81"/>
            <rFont val="Tahoma"/>
            <charset val="1"/>
          </rPr>
          <t xml:space="preserve">
ES BLANCO</t>
        </r>
      </text>
    </comment>
    <comment ref="F52" authorId="0" shapeId="0" xr:uid="{4E637DCA-2046-46A1-9262-EF98E24EF400}">
      <text>
        <r>
          <rPr>
            <b/>
            <sz val="9"/>
            <color indexed="81"/>
            <rFont val="Tahoma"/>
            <charset val="1"/>
          </rPr>
          <t>Victoria Ortega:</t>
        </r>
        <r>
          <rPr>
            <sz val="9"/>
            <color indexed="81"/>
            <rFont val="Tahoma"/>
            <charset val="1"/>
          </rPr>
          <t xml:space="preserve">
ES PRETU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Ortega</author>
  </authors>
  <commentList>
    <comment ref="E38" authorId="0" shapeId="0" xr:uid="{CFDE2FB0-3926-4185-A445-0536163260DE}">
      <text>
        <r>
          <rPr>
            <b/>
            <sz val="9"/>
            <color indexed="81"/>
            <rFont val="Tahoma"/>
            <family val="2"/>
          </rPr>
          <t>Victoria Ortega:</t>
        </r>
        <r>
          <rPr>
            <sz val="9"/>
            <color indexed="81"/>
            <rFont val="Tahoma"/>
            <family val="2"/>
          </rPr>
          <t xml:space="preserve">
puede ser 1533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Ortega</author>
  </authors>
  <commentList>
    <comment ref="F20" authorId="0" shapeId="0" xr:uid="{A0D99654-6F75-4061-9D70-598CBD3B9AE8}">
      <text>
        <r>
          <rPr>
            <b/>
            <sz val="9"/>
            <color indexed="81"/>
            <rFont val="Tahoma"/>
            <charset val="1"/>
          </rPr>
          <t>Victoria Ortega:</t>
        </r>
        <r>
          <rPr>
            <sz val="9"/>
            <color indexed="81"/>
            <rFont val="Tahoma"/>
            <charset val="1"/>
          </rPr>
          <t xml:space="preserve">
ES PRETU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Ortega</author>
  </authors>
  <commentList>
    <comment ref="E29" authorId="0" shapeId="0" xr:uid="{22084264-4000-472A-AC70-73741C3EB90C}">
      <text>
        <r>
          <rPr>
            <b/>
            <sz val="9"/>
            <color indexed="81"/>
            <rFont val="Tahoma"/>
            <family val="2"/>
          </rPr>
          <t>Victoria Ortega:</t>
        </r>
        <r>
          <rPr>
            <sz val="9"/>
            <color indexed="81"/>
            <rFont val="Tahoma"/>
            <family val="2"/>
          </rPr>
          <t xml:space="preserve">
puede ser 1533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<sst xmlns="http://schemas.openxmlformats.org/spreadsheetml/2006/main" count="22609" uniqueCount="5106">
  <si>
    <t xml:space="preserve">Description                   </t>
  </si>
  <si>
    <t xml:space="preserve">0101                </t>
  </si>
  <si>
    <t xml:space="preserve">VD DRAAD 1.5 mm  ZWART        </t>
  </si>
  <si>
    <t>__________</t>
  </si>
  <si>
    <t>___________</t>
  </si>
  <si>
    <t xml:space="preserve">0102                </t>
  </si>
  <si>
    <t xml:space="preserve">VD DRAAD 2.5 mm  BRUIN        </t>
  </si>
  <si>
    <t xml:space="preserve">0103                </t>
  </si>
  <si>
    <t xml:space="preserve">VD DRAAD 2.5 mm  BLAUW        </t>
  </si>
  <si>
    <t xml:space="preserve">0104                </t>
  </si>
  <si>
    <t xml:space="preserve">VD DRAAD 2.5 mm  GR/GL        </t>
  </si>
  <si>
    <t xml:space="preserve">0106                </t>
  </si>
  <si>
    <t xml:space="preserve">0107                </t>
  </si>
  <si>
    <t xml:space="preserve">VD DRAAD  4  mm  GL/GR        </t>
  </si>
  <si>
    <t xml:space="preserve">0108                </t>
  </si>
  <si>
    <t xml:space="preserve">VD DRAAD  6  mm  ZWART        </t>
  </si>
  <si>
    <t xml:space="preserve">0109                </t>
  </si>
  <si>
    <t xml:space="preserve">VD DRAAD  6  mm  BLAUW        </t>
  </si>
  <si>
    <t xml:space="preserve">0110                </t>
  </si>
  <si>
    <t xml:space="preserve">VD DRAAD  6  mm  GR/GL        </t>
  </si>
  <si>
    <t xml:space="preserve">0111                </t>
  </si>
  <si>
    <t xml:space="preserve">VD DRAAD 10  mm  ZWART        </t>
  </si>
  <si>
    <t xml:space="preserve">0112                </t>
  </si>
  <si>
    <t xml:space="preserve">VD DRAAD 10  mm  BLAUW        </t>
  </si>
  <si>
    <t xml:space="preserve">0113                </t>
  </si>
  <si>
    <t xml:space="preserve">VD DRAAD 10  mm  GR/GL        </t>
  </si>
  <si>
    <t xml:space="preserve">0114                </t>
  </si>
  <si>
    <t xml:space="preserve">VD DRAAD 16  mm  ZWART        </t>
  </si>
  <si>
    <t xml:space="preserve">0115                </t>
  </si>
  <si>
    <t xml:space="preserve">VD DRAAD 16  mm  BLAUW        </t>
  </si>
  <si>
    <t xml:space="preserve">0116                </t>
  </si>
  <si>
    <t xml:space="preserve">VD DRAAD 16  mm  GR/GL        </t>
  </si>
  <si>
    <t xml:space="preserve">0117                </t>
  </si>
  <si>
    <t xml:space="preserve">VD DRAAD 25  mm  ZWART        </t>
  </si>
  <si>
    <t xml:space="preserve">0118                </t>
  </si>
  <si>
    <t xml:space="preserve">VD DRAAD 25  mm  BLAUW        </t>
  </si>
  <si>
    <t xml:space="preserve">0119                </t>
  </si>
  <si>
    <t xml:space="preserve">VD DRAAD 25  mm  GR/GL        </t>
  </si>
  <si>
    <t xml:space="preserve">0124                </t>
  </si>
  <si>
    <t xml:space="preserve">VD DRAAD 35  mm  GR/GL        </t>
  </si>
  <si>
    <t xml:space="preserve">0125                </t>
  </si>
  <si>
    <t xml:space="preserve">VD DRAAD 50  mm  GR/GL        </t>
  </si>
  <si>
    <t xml:space="preserve">0128                </t>
  </si>
  <si>
    <t xml:space="preserve">VD DRAAD 70  mm  GR/GL        </t>
  </si>
  <si>
    <t xml:space="preserve">0129                </t>
  </si>
  <si>
    <t xml:space="preserve">VD DRAAD 95mm H07V-R GR/GL    </t>
  </si>
  <si>
    <t xml:space="preserve">0130                </t>
  </si>
  <si>
    <t xml:space="preserve">VDS DRAAD FLEX  1.5mm ZWART   </t>
  </si>
  <si>
    <t xml:space="preserve">0131                </t>
  </si>
  <si>
    <t xml:space="preserve">VDS DRAAD FLEX  1.5 mm BLAUW  </t>
  </si>
  <si>
    <t xml:space="preserve">0132                </t>
  </si>
  <si>
    <t xml:space="preserve">VDS DRAAD FLEX  1.5 mm GR/GL  </t>
  </si>
  <si>
    <t xml:space="preserve">0135                </t>
  </si>
  <si>
    <t xml:space="preserve">VDS DRAAD FLEX  6 mm ZWART    </t>
  </si>
  <si>
    <t xml:space="preserve">0136                </t>
  </si>
  <si>
    <t xml:space="preserve">VDS DRAAD FLEX  6 mm BLAUW    </t>
  </si>
  <si>
    <t xml:space="preserve">0137                </t>
  </si>
  <si>
    <t xml:space="preserve">VDS DRAAD FLEX 10 mm ZWART    </t>
  </si>
  <si>
    <t xml:space="preserve">0138                </t>
  </si>
  <si>
    <t xml:space="preserve">VDS DRAAD FLEX 10 mm BLAUW    </t>
  </si>
  <si>
    <t xml:space="preserve">0139                </t>
  </si>
  <si>
    <t xml:space="preserve">VDS DRAAD FLEX 16 mm ZWART    </t>
  </si>
  <si>
    <t xml:space="preserve">0140                </t>
  </si>
  <si>
    <t xml:space="preserve">VDS DRAAD FLEX 16 mm BLAUW    </t>
  </si>
  <si>
    <t xml:space="preserve">0141                </t>
  </si>
  <si>
    <t xml:space="preserve">VDS DRAAD FLEX 16mm GR/GL     </t>
  </si>
  <si>
    <t xml:space="preserve">0142                </t>
  </si>
  <si>
    <t xml:space="preserve">VDS DRAAD FLEX 25 mm ZWART    </t>
  </si>
  <si>
    <t xml:space="preserve">0143                </t>
  </si>
  <si>
    <t xml:space="preserve">VDS DRAAD FLEX 25 mm BLAUW    </t>
  </si>
  <si>
    <t xml:space="preserve">0144                </t>
  </si>
  <si>
    <t xml:space="preserve">VDS DRAAD FLEX 25 mm GR/GL-K  </t>
  </si>
  <si>
    <t xml:space="preserve">0145                </t>
  </si>
  <si>
    <t xml:space="preserve">VDS DRAAD FLEX 35 mm ZWART    </t>
  </si>
  <si>
    <t xml:space="preserve">0146                </t>
  </si>
  <si>
    <t xml:space="preserve">VDS DRAAD FLEX 35 mm BLAUW    </t>
  </si>
  <si>
    <t xml:space="preserve">0147                </t>
  </si>
  <si>
    <t xml:space="preserve">VDS DRAAD FLEX 35 mm GR/GL    </t>
  </si>
  <si>
    <t xml:space="preserve">0148                </t>
  </si>
  <si>
    <t xml:space="preserve">VDS DRAAD FLEX 50 mm ZWART    </t>
  </si>
  <si>
    <t xml:space="preserve">0149                </t>
  </si>
  <si>
    <t xml:space="preserve">VDS DRAAD FLEX 2.5mm ZWART    </t>
  </si>
  <si>
    <t xml:space="preserve">0150                </t>
  </si>
  <si>
    <t xml:space="preserve">VDS DRAAD FLEX 2.5mm BLAUW    </t>
  </si>
  <si>
    <t xml:space="preserve">0151                </t>
  </si>
  <si>
    <t xml:space="preserve">VDS DRAAD FLEX 2.5mm GR/GL    </t>
  </si>
  <si>
    <t xml:space="preserve">0152                </t>
  </si>
  <si>
    <t xml:space="preserve">VDS DRAAD FLEX 4mm ZWART      </t>
  </si>
  <si>
    <t xml:space="preserve">0153                </t>
  </si>
  <si>
    <t xml:space="preserve">VDS DRAAD FLEX 4mm BLAUW      </t>
  </si>
  <si>
    <t xml:space="preserve">0154                </t>
  </si>
  <si>
    <t xml:space="preserve">VDS DRAAD FLEX 4mm GR/GL      </t>
  </si>
  <si>
    <t xml:space="preserve">0155                </t>
  </si>
  <si>
    <t xml:space="preserve">VDS DRAAD FLEX 2.5mm ROOD     </t>
  </si>
  <si>
    <t xml:space="preserve">0156                </t>
  </si>
  <si>
    <t xml:space="preserve">VDS DRAAD FLEX 95 mm ZWART    </t>
  </si>
  <si>
    <t xml:space="preserve">0157                </t>
  </si>
  <si>
    <t xml:space="preserve">VDS DRAAD FLEX 95 mm BLAUW    </t>
  </si>
  <si>
    <t xml:space="preserve">0158                </t>
  </si>
  <si>
    <t xml:space="preserve">VDS DRAAD FLEX 95 mm GL/GR    </t>
  </si>
  <si>
    <t xml:space="preserve">0159                </t>
  </si>
  <si>
    <t xml:space="preserve">VDS H07V-K FLEX 50 mm BLAUW   </t>
  </si>
  <si>
    <t xml:space="preserve">0160                </t>
  </si>
  <si>
    <t xml:space="preserve">KABEL 1x4x0,8 PP PA dlwd      </t>
  </si>
  <si>
    <t xml:space="preserve">0196                </t>
  </si>
  <si>
    <t xml:space="preserve">KABEL RWPK H07RN-F 5X6 mm     </t>
  </si>
  <si>
    <t xml:space="preserve">0197                </t>
  </si>
  <si>
    <t xml:space="preserve">KABEL RWPK H07RN-F 4X2.5mm    </t>
  </si>
  <si>
    <t xml:space="preserve">0198                </t>
  </si>
  <si>
    <t xml:space="preserve">KABEL RWPK H07RN-F 1X95mm     </t>
  </si>
  <si>
    <t xml:space="preserve">0199                </t>
  </si>
  <si>
    <t xml:space="preserve">NYY-J 1x50MM2                 </t>
  </si>
  <si>
    <t xml:space="preserve">0200                </t>
  </si>
  <si>
    <t xml:space="preserve">KABEL YMvK 1x150mm 0,6/1kV    </t>
  </si>
  <si>
    <t xml:space="preserve">0201                </t>
  </si>
  <si>
    <t xml:space="preserve">KABEL YMvK 3G2.5mm rol/100mtr </t>
  </si>
  <si>
    <t xml:space="preserve">0202                </t>
  </si>
  <si>
    <t xml:space="preserve">KABEL XMVK 3X2.5mm            </t>
  </si>
  <si>
    <t xml:space="preserve">0203                </t>
  </si>
  <si>
    <t xml:space="preserve">KABEL YMvK 1x35 mm            </t>
  </si>
  <si>
    <t xml:space="preserve">0204                </t>
  </si>
  <si>
    <t xml:space="preserve">KABEL YMvK 1x95 mm            </t>
  </si>
  <si>
    <t xml:space="preserve">0205                </t>
  </si>
  <si>
    <t xml:space="preserve">KABEL YMvK 1x120 mm           </t>
  </si>
  <si>
    <t xml:space="preserve">0206                </t>
  </si>
  <si>
    <t xml:space="preserve">KABEL YMvK 1x240 mm           </t>
  </si>
  <si>
    <t xml:space="preserve">0207                </t>
  </si>
  <si>
    <t xml:space="preserve">KABEL YMvK 1X185 mm           </t>
  </si>
  <si>
    <t xml:space="preserve">0208                </t>
  </si>
  <si>
    <t xml:space="preserve">KABEL YMvK mb 2x2,5 mm        </t>
  </si>
  <si>
    <t xml:space="preserve">0209                </t>
  </si>
  <si>
    <t xml:space="preserve">KABEL YMvK 2x4mm              </t>
  </si>
  <si>
    <t xml:space="preserve">0210                </t>
  </si>
  <si>
    <t xml:space="preserve">KABEL YMvK 3G2.5 mm           </t>
  </si>
  <si>
    <t xml:space="preserve">0211                </t>
  </si>
  <si>
    <t xml:space="preserve">KABEL YMvK 4G2.5 mm           </t>
  </si>
  <si>
    <t xml:space="preserve">0212                </t>
  </si>
  <si>
    <t xml:space="preserve">KABEL YMvK 5G2.5 mm           </t>
  </si>
  <si>
    <t xml:space="preserve">0213                </t>
  </si>
  <si>
    <t xml:space="preserve">KABEL YMvK 3G 4  mm           </t>
  </si>
  <si>
    <t xml:space="preserve">0214                </t>
  </si>
  <si>
    <t xml:space="preserve">KABEL YMvK 4x 4  mm           </t>
  </si>
  <si>
    <t xml:space="preserve">02141               </t>
  </si>
  <si>
    <t xml:space="preserve">KABEL YMVK 5G4 mm             </t>
  </si>
  <si>
    <t xml:space="preserve">0215                </t>
  </si>
  <si>
    <t xml:space="preserve">KABEL YMvK 4x6  mm            </t>
  </si>
  <si>
    <t xml:space="preserve">0216                </t>
  </si>
  <si>
    <t xml:space="preserve">KABEL  YMvK 5G6 mm            </t>
  </si>
  <si>
    <t xml:space="preserve">0217                </t>
  </si>
  <si>
    <t xml:space="preserve">KABEL YMvK 4x10  mm           </t>
  </si>
  <si>
    <t xml:space="preserve">0218                </t>
  </si>
  <si>
    <t xml:space="preserve">KABEL YMvK 5G10  mm           </t>
  </si>
  <si>
    <t xml:space="preserve">0219                </t>
  </si>
  <si>
    <t xml:space="preserve">KABEL YMvK 4x16  mm           </t>
  </si>
  <si>
    <t xml:space="preserve">0220                </t>
  </si>
  <si>
    <t xml:space="preserve">KABEL YMvK 5G16  mm           </t>
  </si>
  <si>
    <t xml:space="preserve">0221                </t>
  </si>
  <si>
    <t xml:space="preserve">KABEL YMvK 4x25  mm           </t>
  </si>
  <si>
    <t xml:space="preserve">0222                </t>
  </si>
  <si>
    <t xml:space="preserve">KABEL YMvK 5G25  mm           </t>
  </si>
  <si>
    <t xml:space="preserve">02221               </t>
  </si>
  <si>
    <t xml:space="preserve">KABEL YMvK 5G35mm             </t>
  </si>
  <si>
    <t xml:space="preserve">0223                </t>
  </si>
  <si>
    <t xml:space="preserve">KABEL YMvK 4x50  mm           </t>
  </si>
  <si>
    <t xml:space="preserve">0224                </t>
  </si>
  <si>
    <t xml:space="preserve">KABEL YMvK 5G50 mm            </t>
  </si>
  <si>
    <t xml:space="preserve">0225                </t>
  </si>
  <si>
    <t xml:space="preserve">KABEL YMvK 4x70  mm           </t>
  </si>
  <si>
    <t xml:space="preserve">0226                </t>
  </si>
  <si>
    <t xml:space="preserve">KABEL YMvK 4x95 mm            </t>
  </si>
  <si>
    <t xml:space="preserve">0227                </t>
  </si>
  <si>
    <t xml:space="preserve">KABEL YMvK 4x35 mm            </t>
  </si>
  <si>
    <t xml:space="preserve">02271               </t>
  </si>
  <si>
    <t xml:space="preserve">KABEL YMvK 4G120mm            </t>
  </si>
  <si>
    <t xml:space="preserve">0228                </t>
  </si>
  <si>
    <t xml:space="preserve">KABEL YMvK 5X70 mm            </t>
  </si>
  <si>
    <t xml:space="preserve">0229                </t>
  </si>
  <si>
    <t xml:space="preserve">KABEL YMvK 5G95 mm            </t>
  </si>
  <si>
    <t xml:space="preserve">02290               </t>
  </si>
  <si>
    <t xml:space="preserve">KABEL YMvK 5G150mm            </t>
  </si>
  <si>
    <t xml:space="preserve">02291               </t>
  </si>
  <si>
    <t xml:space="preserve">KABEL YMvK 5G120mm            </t>
  </si>
  <si>
    <t xml:space="preserve">02292               </t>
  </si>
  <si>
    <t xml:space="preserve">KABEL YMvK 5G185mm            </t>
  </si>
  <si>
    <t xml:space="preserve">0230                </t>
  </si>
  <si>
    <t xml:space="preserve">KABEL YMvKAS 3x2.5 mm         </t>
  </si>
  <si>
    <t xml:space="preserve">0231                </t>
  </si>
  <si>
    <t xml:space="preserve">KABEL YMvKAS 4x2.5 mm         </t>
  </si>
  <si>
    <t xml:space="preserve">02311               </t>
  </si>
  <si>
    <t xml:space="preserve">KABEL YMvKAS 5x2.5 mm         </t>
  </si>
  <si>
    <t xml:space="preserve">0232                </t>
  </si>
  <si>
    <t xml:space="preserve">KABEL YMVKAS 2x2.5mm          </t>
  </si>
  <si>
    <t xml:space="preserve">0234                </t>
  </si>
  <si>
    <t xml:space="preserve">KABEL YMvKAS 4x 4  mm         </t>
  </si>
  <si>
    <t xml:space="preserve">0235                </t>
  </si>
  <si>
    <t xml:space="preserve">KABEL YMVKAS 4X6 mm           </t>
  </si>
  <si>
    <t xml:space="preserve">0236                </t>
  </si>
  <si>
    <t xml:space="preserve">KABEL YMvKAS 4x10  mm         </t>
  </si>
  <si>
    <t xml:space="preserve">0237                </t>
  </si>
  <si>
    <t xml:space="preserve">KABEL YMvKAS 4x16  mm         </t>
  </si>
  <si>
    <t xml:space="preserve">0238                </t>
  </si>
  <si>
    <t xml:space="preserve">KABEL YMvKAS 4x25  mm         </t>
  </si>
  <si>
    <t xml:space="preserve">0239                </t>
  </si>
  <si>
    <t xml:space="preserve">KABEL YMvKAS 4x50  mm         </t>
  </si>
  <si>
    <t xml:space="preserve">0240                </t>
  </si>
  <si>
    <t xml:space="preserve">KABEL YMvKAS 4x70  mm         </t>
  </si>
  <si>
    <t xml:space="preserve">0241                </t>
  </si>
  <si>
    <t xml:space="preserve">KABEL YMvKAS 4x95  mm         </t>
  </si>
  <si>
    <t xml:space="preserve">0242                </t>
  </si>
  <si>
    <t xml:space="preserve">KABEL YMvKAS 4x120 mm         </t>
  </si>
  <si>
    <t xml:space="preserve">0243                </t>
  </si>
  <si>
    <t xml:space="preserve">KABEL YMvKAS 4x35 mm          </t>
  </si>
  <si>
    <t xml:space="preserve">0244                </t>
  </si>
  <si>
    <t xml:space="preserve">VMVL  H05 V V-F 2x2.5   mm    </t>
  </si>
  <si>
    <t xml:space="preserve">0245                </t>
  </si>
  <si>
    <t xml:space="preserve">VMVL  H05 V V-F 2x0.75  mm    </t>
  </si>
  <si>
    <t xml:space="preserve">0246                </t>
  </si>
  <si>
    <t xml:space="preserve">VMvL H05 V V-F 3G0.75  mm     </t>
  </si>
  <si>
    <t xml:space="preserve">0247                </t>
  </si>
  <si>
    <t xml:space="preserve">VMvL H05 V V-F 2x1.5   mm     </t>
  </si>
  <si>
    <t xml:space="preserve">0248                </t>
  </si>
  <si>
    <t xml:space="preserve">VMvL H05 V V-F 3G1.5   mm     </t>
  </si>
  <si>
    <t xml:space="preserve">0249                </t>
  </si>
  <si>
    <t xml:space="preserve">VMvL H05 V V-F 3G2.5   mm     </t>
  </si>
  <si>
    <t xml:space="preserve">0250                </t>
  </si>
  <si>
    <t xml:space="preserve">VMvL H05 V V-F 4G2.5   mm     </t>
  </si>
  <si>
    <t xml:space="preserve">02501               </t>
  </si>
  <si>
    <t xml:space="preserve">VMvL H05 V V-F 5G2.5   mm     </t>
  </si>
  <si>
    <t xml:space="preserve">02502               </t>
  </si>
  <si>
    <t xml:space="preserve">KABEL RWPK H07RN-F 2X2.5mm    </t>
  </si>
  <si>
    <t xml:space="preserve">0251                </t>
  </si>
  <si>
    <t xml:space="preserve">KABEL RWPK H07RN-F 3X2.5mm    </t>
  </si>
  <si>
    <t xml:space="preserve">0252                </t>
  </si>
  <si>
    <t xml:space="preserve">KABEL RWPK H07RN-F 4X4 mm     </t>
  </si>
  <si>
    <t xml:space="preserve">0253                </t>
  </si>
  <si>
    <t xml:space="preserve">KABEL RWPK H07RN-F 4X6 mm     </t>
  </si>
  <si>
    <t xml:space="preserve">0254                </t>
  </si>
  <si>
    <t xml:space="preserve">KABEL RWPK H07RN-F 4X10 mm    </t>
  </si>
  <si>
    <t xml:space="preserve">0255                </t>
  </si>
  <si>
    <t xml:space="preserve">KABEL RWPK H07RN-F 5X10 mm    </t>
  </si>
  <si>
    <t xml:space="preserve">0256                </t>
  </si>
  <si>
    <t xml:space="preserve">KABEL RWPK H07RN-F 3X1.5mm    </t>
  </si>
  <si>
    <t xml:space="preserve">0257                </t>
  </si>
  <si>
    <t xml:space="preserve">Newlink STP Cat 6 pair4 Gray  </t>
  </si>
  <si>
    <t xml:space="preserve">0258                </t>
  </si>
  <si>
    <t xml:space="preserve">UTP Cat 6 PVC  1000ft Blue    </t>
  </si>
  <si>
    <t xml:space="preserve">0259                </t>
  </si>
  <si>
    <t xml:space="preserve">FTP Cat 5e 4-pair PVC Gray    </t>
  </si>
  <si>
    <t xml:space="preserve">0260                </t>
  </si>
  <si>
    <t>UTP Cat 5e 4-pair PVC CMR GRAY</t>
  </si>
  <si>
    <t xml:space="preserve">0261                </t>
  </si>
  <si>
    <t>UTP Cat 6 4- pair PVC CMR GRAY</t>
  </si>
  <si>
    <t xml:space="preserve">0262                </t>
  </si>
  <si>
    <t xml:space="preserve">COAX RG6 60% 18AWG            </t>
  </si>
  <si>
    <t xml:space="preserve">0263                </t>
  </si>
  <si>
    <t xml:space="preserve">VG YMvKas 4x150 AL            </t>
  </si>
  <si>
    <t xml:space="preserve">0264                </t>
  </si>
  <si>
    <t xml:space="preserve">VMVL H05 V V-F 2X2.5MM2 ROL   </t>
  </si>
  <si>
    <t xml:space="preserve">0265                </t>
  </si>
  <si>
    <t xml:space="preserve">VMVL H05 V V-F 3G0.75MM2 ROL  </t>
  </si>
  <si>
    <t xml:space="preserve">0266                </t>
  </si>
  <si>
    <t xml:space="preserve">VMVL H05 V V-F 3G1.5MM2 ROL   </t>
  </si>
  <si>
    <t xml:space="preserve">0267                </t>
  </si>
  <si>
    <t xml:space="preserve">VMVL H05 V V-F 3G2.5MM2 ROL   </t>
  </si>
  <si>
    <t xml:space="preserve">0270                </t>
  </si>
  <si>
    <t xml:space="preserve">KABELBAAN 15X 50mm  L - 2 mtr </t>
  </si>
  <si>
    <t xml:space="preserve">0271                </t>
  </si>
  <si>
    <t xml:space="preserve">KABELBAAN 15x100mm  L- 2 mtr  </t>
  </si>
  <si>
    <t xml:space="preserve">0273                </t>
  </si>
  <si>
    <t xml:space="preserve">KABELBAAN 15x150mm  L- 2 mtr  </t>
  </si>
  <si>
    <t xml:space="preserve">0274                </t>
  </si>
  <si>
    <t xml:space="preserve">KABELBAAN 15x200mm  L- 2 mtr  </t>
  </si>
  <si>
    <t xml:space="preserve">0275                </t>
  </si>
  <si>
    <t xml:space="preserve">KABELBAAN 15x250mm  L- 2 mtr  </t>
  </si>
  <si>
    <t xml:space="preserve">0276                </t>
  </si>
  <si>
    <t xml:space="preserve">KABELBAAN 15x300mm  L- 2 mtr  </t>
  </si>
  <si>
    <t xml:space="preserve">0278                </t>
  </si>
  <si>
    <t xml:space="preserve">KABELGOOT 100x40 mm           </t>
  </si>
  <si>
    <t xml:space="preserve">0279                </t>
  </si>
  <si>
    <t xml:space="preserve">KABELGOOT 80x40 mm            </t>
  </si>
  <si>
    <t xml:space="preserve">0280                </t>
  </si>
  <si>
    <t xml:space="preserve">KABELGOOT 40x17 mm            </t>
  </si>
  <si>
    <t xml:space="preserve">0281                </t>
  </si>
  <si>
    <t xml:space="preserve">KABELGOOT 15x17 mm   1517B    </t>
  </si>
  <si>
    <t xml:space="preserve">0282                </t>
  </si>
  <si>
    <t xml:space="preserve">KABELGOOT 25x17 mm   2517B    </t>
  </si>
  <si>
    <t xml:space="preserve">0283                </t>
  </si>
  <si>
    <t xml:space="preserve">KABELGOOT 40x40 mm   4040B    </t>
  </si>
  <si>
    <t xml:space="preserve">0284                </t>
  </si>
  <si>
    <t xml:space="preserve">KABELGOOT 60x40 mm            </t>
  </si>
  <si>
    <t xml:space="preserve">0285                </t>
  </si>
  <si>
    <t xml:space="preserve">KABELGOOT 10x8 mm             </t>
  </si>
  <si>
    <t xml:space="preserve">0286                </t>
  </si>
  <si>
    <t xml:space="preserve">KABELGOOT 15x10 mm            </t>
  </si>
  <si>
    <t xml:space="preserve">0287                </t>
  </si>
  <si>
    <t xml:space="preserve">KABELGOOT 20x10 mm            </t>
  </si>
  <si>
    <t xml:space="preserve">0288                </t>
  </si>
  <si>
    <t xml:space="preserve">KABELGOOT 70x40 mm            </t>
  </si>
  <si>
    <t xml:space="preserve">0289                </t>
  </si>
  <si>
    <t xml:space="preserve">KABELGOOT 70x60 mm            </t>
  </si>
  <si>
    <t xml:space="preserve">0290                </t>
  </si>
  <si>
    <t xml:space="preserve">KABELGOOT 100x60 mm           </t>
  </si>
  <si>
    <t xml:space="preserve">0291                </t>
  </si>
  <si>
    <t xml:space="preserve">KABELGOOT  DEKSEL70x40 mm     </t>
  </si>
  <si>
    <t xml:space="preserve">0292                </t>
  </si>
  <si>
    <t xml:space="preserve">KABELGOOT DEKSEL 70x60 mm     </t>
  </si>
  <si>
    <t xml:space="preserve">0293                </t>
  </si>
  <si>
    <t xml:space="preserve">KABELGOOT DEKSEL 100x60 mm    </t>
  </si>
  <si>
    <t xml:space="preserve">0299                </t>
  </si>
  <si>
    <t xml:space="preserve">WIJMAPLAST 100 gram           </t>
  </si>
  <si>
    <t xml:space="preserve">0300                </t>
  </si>
  <si>
    <t xml:space="preserve">PVC-LIJM 250 ml               </t>
  </si>
  <si>
    <t xml:space="preserve">0301                </t>
  </si>
  <si>
    <t xml:space="preserve">PVC-BUIS 5/8"                 </t>
  </si>
  <si>
    <t xml:space="preserve">0302                </t>
  </si>
  <si>
    <t xml:space="preserve">PVC-BUIS 3/4"                 </t>
  </si>
  <si>
    <t xml:space="preserve">0303                </t>
  </si>
  <si>
    <t xml:space="preserve">PVC-BUIS 1"                   </t>
  </si>
  <si>
    <t xml:space="preserve">0304                </t>
  </si>
  <si>
    <t xml:space="preserve"> HOSTALIT BUIS 5/8 Grijs      </t>
  </si>
  <si>
    <t xml:space="preserve">03041               </t>
  </si>
  <si>
    <t xml:space="preserve">HOSTALIT BUIS 3/4 Grijs       </t>
  </si>
  <si>
    <t xml:space="preserve">0305                </t>
  </si>
  <si>
    <t xml:space="preserve">HOSTALIT MOF 5/8 Grijs        </t>
  </si>
  <si>
    <t xml:space="preserve">03051               </t>
  </si>
  <si>
    <t xml:space="preserve">HOSTALIT MOF 3/4 Grijs        </t>
  </si>
  <si>
    <t xml:space="preserve">0306                </t>
  </si>
  <si>
    <t xml:space="preserve">FLEXIBELE BUIS 5/8            </t>
  </si>
  <si>
    <t xml:space="preserve">0307                </t>
  </si>
  <si>
    <t xml:space="preserve">FLEXIBELE BUIS 3/4            </t>
  </si>
  <si>
    <t xml:space="preserve">0308                </t>
  </si>
  <si>
    <t xml:space="preserve">PVC-BUIS 1,5"                 </t>
  </si>
  <si>
    <t xml:space="preserve">0309                </t>
  </si>
  <si>
    <t xml:space="preserve">PVC-BUIS 2"                   </t>
  </si>
  <si>
    <t xml:space="preserve">0310                </t>
  </si>
  <si>
    <t xml:space="preserve">FLEXIBELE BUIS 1DUIM          </t>
  </si>
  <si>
    <t xml:space="preserve">03101               </t>
  </si>
  <si>
    <t xml:space="preserve">FLEXIBELE BUIS 1 1/4DUIM      </t>
  </si>
  <si>
    <t xml:space="preserve">0311                </t>
  </si>
  <si>
    <t xml:space="preserve">MOFFEN   5/8"                 </t>
  </si>
  <si>
    <t xml:space="preserve">0312                </t>
  </si>
  <si>
    <t xml:space="preserve">MOFFEN   3/4"                 </t>
  </si>
  <si>
    <t xml:space="preserve">0313                </t>
  </si>
  <si>
    <t xml:space="preserve">MOFFEN   1"                   </t>
  </si>
  <si>
    <t xml:space="preserve">0314                </t>
  </si>
  <si>
    <t xml:space="preserve">MOFFEN 1,5"                   </t>
  </si>
  <si>
    <t xml:space="preserve">0315                </t>
  </si>
  <si>
    <t xml:space="preserve">MOFFEN 2''                    </t>
  </si>
  <si>
    <t xml:space="preserve">0316                </t>
  </si>
  <si>
    <t xml:space="preserve">BOCHT 1"                      </t>
  </si>
  <si>
    <t xml:space="preserve">0317                </t>
  </si>
  <si>
    <t xml:space="preserve">BOCHT 1,5"                    </t>
  </si>
  <si>
    <t xml:space="preserve">0318                </t>
  </si>
  <si>
    <t xml:space="preserve">BOCHT 2"                      </t>
  </si>
  <si>
    <t xml:space="preserve">0319                </t>
  </si>
  <si>
    <t xml:space="preserve">BUISBEVESTIGING 2" POLFIX     </t>
  </si>
  <si>
    <t xml:space="preserve">0320                </t>
  </si>
  <si>
    <t xml:space="preserve">BUISBEVESTIGING 5/8"POLFIX    </t>
  </si>
  <si>
    <t xml:space="preserve">0321                </t>
  </si>
  <si>
    <t xml:space="preserve">BUISBEVESTIGING 3/4"POLFIX    </t>
  </si>
  <si>
    <t xml:space="preserve">0322                </t>
  </si>
  <si>
    <t xml:space="preserve">BUISBEVESTIGING 1.5" POLFIX   </t>
  </si>
  <si>
    <t xml:space="preserve">0323                </t>
  </si>
  <si>
    <t xml:space="preserve">BUISBEVESTIGING 1" POLFIX     </t>
  </si>
  <si>
    <t xml:space="preserve">0324                </t>
  </si>
  <si>
    <t xml:space="preserve">BOCHT PVC  5/8 CRÈME          </t>
  </si>
  <si>
    <t xml:space="preserve">0325                </t>
  </si>
  <si>
    <t xml:space="preserve">BOCHT PVC  3/4 CRÈME          </t>
  </si>
  <si>
    <t xml:space="preserve">0326                </t>
  </si>
  <si>
    <t xml:space="preserve">POLFIX 5/8" SLAGVAST GRIJS    </t>
  </si>
  <si>
    <t xml:space="preserve">0327                </t>
  </si>
  <si>
    <t xml:space="preserve">POLFIX 3/4" SLAGVAST GRIJS    </t>
  </si>
  <si>
    <t xml:space="preserve">0328                </t>
  </si>
  <si>
    <t xml:space="preserve">PVC-BUIS 2" GRIJS 5 MTR       </t>
  </si>
  <si>
    <t xml:space="preserve">0329                </t>
  </si>
  <si>
    <t xml:space="preserve">PVC-BUIS 3" GRIJS 5 MTR       </t>
  </si>
  <si>
    <t xml:space="preserve">0330                </t>
  </si>
  <si>
    <t xml:space="preserve">PVC-BUIS 1 1/4" GRIJS 5 MTR   </t>
  </si>
  <si>
    <t xml:space="preserve">0331                </t>
  </si>
  <si>
    <t xml:space="preserve">CADDY KAB-CLIPS 2 -4mm 15-18  </t>
  </si>
  <si>
    <t xml:space="preserve">0332                </t>
  </si>
  <si>
    <t xml:space="preserve">CADDY KAB-CLIPS 2- 4mm 19-24  </t>
  </si>
  <si>
    <t xml:space="preserve">0333                </t>
  </si>
  <si>
    <t xml:space="preserve">CADDY KAB-CLIPS 4 -7mm 15-18  </t>
  </si>
  <si>
    <t xml:space="preserve">0334                </t>
  </si>
  <si>
    <t xml:space="preserve">CADDY KAB-CLIPS 4 -7mm 19-24  </t>
  </si>
  <si>
    <t xml:space="preserve">0335                </t>
  </si>
  <si>
    <t xml:space="preserve">CADDY KAB-CLIPS 8-12mm 15-18  </t>
  </si>
  <si>
    <t xml:space="preserve">0336                </t>
  </si>
  <si>
    <t xml:space="preserve">CADDY KAB-CLIPS 8-12mm 19-24  </t>
  </si>
  <si>
    <t xml:space="preserve">0339                </t>
  </si>
  <si>
    <t xml:space="preserve">ZADELS 5/8" - 15-16mm Wit     </t>
  </si>
  <si>
    <t xml:space="preserve">0340                </t>
  </si>
  <si>
    <t>ZADELS 5/8" - 15-16mm gemenied</t>
  </si>
  <si>
    <t xml:space="preserve">0341                </t>
  </si>
  <si>
    <t>ZADELS 3/4" 19-20mm roodgemeni</t>
  </si>
  <si>
    <t xml:space="preserve">0342                </t>
  </si>
  <si>
    <t xml:space="preserve">ZADELS 2x5/8"                 </t>
  </si>
  <si>
    <t xml:space="preserve">0343                </t>
  </si>
  <si>
    <t xml:space="preserve">ZADELS 3x5/8"                 </t>
  </si>
  <si>
    <t xml:space="preserve">0344                </t>
  </si>
  <si>
    <t xml:space="preserve">ZADELS 4x5/8"                 </t>
  </si>
  <si>
    <t xml:space="preserve">0345                </t>
  </si>
  <si>
    <t xml:space="preserve">ZADELS 9-10 mm VERT           </t>
  </si>
  <si>
    <t xml:space="preserve">0346                </t>
  </si>
  <si>
    <t xml:space="preserve">ZADELS 11- 12 mm VERT         </t>
  </si>
  <si>
    <t xml:space="preserve">0347                </t>
  </si>
  <si>
    <t xml:space="preserve">ZADELS 12 mm VERT             </t>
  </si>
  <si>
    <t xml:space="preserve">0348                </t>
  </si>
  <si>
    <t xml:space="preserve">ZADELS 13 mm VERT             </t>
  </si>
  <si>
    <t xml:space="preserve">0349                </t>
  </si>
  <si>
    <t xml:space="preserve">ZADELS 14 mm VERT             </t>
  </si>
  <si>
    <t xml:space="preserve">0350                </t>
  </si>
  <si>
    <t xml:space="preserve">ZADELS 15 mm VERT             </t>
  </si>
  <si>
    <t xml:space="preserve">0351                </t>
  </si>
  <si>
    <t xml:space="preserve">ZADELS 15-16 mm VERT          </t>
  </si>
  <si>
    <t xml:space="preserve">0352                </t>
  </si>
  <si>
    <t xml:space="preserve">BC  ZADEL  2.5mm ZINC         </t>
  </si>
  <si>
    <t xml:space="preserve">0353                </t>
  </si>
  <si>
    <t xml:space="preserve">ZADELS ROOD 25mm (1duim)      </t>
  </si>
  <si>
    <t xml:space="preserve">0354                </t>
  </si>
  <si>
    <t xml:space="preserve">ZADELS ROOD 38mm (1½duim)     </t>
  </si>
  <si>
    <t xml:space="preserve">0355                </t>
  </si>
  <si>
    <t xml:space="preserve">ZADELS ROOD 50mm (2 duim)     </t>
  </si>
  <si>
    <t xml:space="preserve">0360                </t>
  </si>
  <si>
    <t xml:space="preserve">CABLE CLIPS  5-7mm            </t>
  </si>
  <si>
    <t xml:space="preserve">0361                </t>
  </si>
  <si>
    <t xml:space="preserve">CABLE CLIPS   4  mm           </t>
  </si>
  <si>
    <t xml:space="preserve">0362                </t>
  </si>
  <si>
    <t xml:space="preserve">CABLE CLIPS   5  mm           </t>
  </si>
  <si>
    <t xml:space="preserve">0363                </t>
  </si>
  <si>
    <t xml:space="preserve">CABLE CLIPS   6  mm           </t>
  </si>
  <si>
    <t xml:space="preserve">0364                </t>
  </si>
  <si>
    <t xml:space="preserve">CABLE CLIPS   7  mm           </t>
  </si>
  <si>
    <t xml:space="preserve">0365                </t>
  </si>
  <si>
    <t xml:space="preserve">CABLE CLIPS   8  mm           </t>
  </si>
  <si>
    <t xml:space="preserve">0366                </t>
  </si>
  <si>
    <t xml:space="preserve">CABLE CLIPS   9  mm           </t>
  </si>
  <si>
    <t xml:space="preserve">0367                </t>
  </si>
  <si>
    <t xml:space="preserve">CABLE CLIPS  10  mm           </t>
  </si>
  <si>
    <t xml:space="preserve">0368                </t>
  </si>
  <si>
    <t xml:space="preserve">CABLE CLIPS  11  mm           </t>
  </si>
  <si>
    <t xml:space="preserve">0369                </t>
  </si>
  <si>
    <t xml:space="preserve">CABLE CLIPS  12  mm           </t>
  </si>
  <si>
    <t xml:space="preserve">0370                </t>
  </si>
  <si>
    <t xml:space="preserve">CABLE CLIPS  16  mm           </t>
  </si>
  <si>
    <t xml:space="preserve">0371                </t>
  </si>
  <si>
    <t xml:space="preserve">CABLE CLIPS  19  mm           </t>
  </si>
  <si>
    <t xml:space="preserve">0372                </t>
  </si>
  <si>
    <t xml:space="preserve">CABLE CLIPS  20  mm           </t>
  </si>
  <si>
    <t xml:space="preserve">0373                </t>
  </si>
  <si>
    <t xml:space="preserve">CABLE CLIPS   11 - 15  mm     </t>
  </si>
  <si>
    <t xml:space="preserve">0374                </t>
  </si>
  <si>
    <t xml:space="preserve">CABLE CLIPS   16 - 19  mm     </t>
  </si>
  <si>
    <t xml:space="preserve">0379                </t>
  </si>
  <si>
    <t xml:space="preserve">TYRAPS BRN 190 X4.8           </t>
  </si>
  <si>
    <t xml:space="preserve">0380                </t>
  </si>
  <si>
    <t xml:space="preserve">TYRAPS  95x2.5                </t>
  </si>
  <si>
    <t xml:space="preserve">0381                </t>
  </si>
  <si>
    <t xml:space="preserve">*TYRAPS  140x3.5              </t>
  </si>
  <si>
    <t xml:space="preserve">0382                </t>
  </si>
  <si>
    <t xml:space="preserve">TYRAPS BRN 200 X 2.5          </t>
  </si>
  <si>
    <t xml:space="preserve">0383                </t>
  </si>
  <si>
    <t xml:space="preserve">TYRAPS  BRN 250 X 4.8         </t>
  </si>
  <si>
    <t xml:space="preserve">0384                </t>
  </si>
  <si>
    <t xml:space="preserve">TYRAPS BRN 300 X 3.6          </t>
  </si>
  <si>
    <t xml:space="preserve">0385                </t>
  </si>
  <si>
    <t xml:space="preserve">TYRAPS  BRN 250 X 7.6         </t>
  </si>
  <si>
    <t xml:space="preserve">0386                </t>
  </si>
  <si>
    <t xml:space="preserve">TYRAPS BRN 380 X 7.6          </t>
  </si>
  <si>
    <t xml:space="preserve">0387                </t>
  </si>
  <si>
    <t xml:space="preserve">TYRAPS BRN 370 X4.8           </t>
  </si>
  <si>
    <t xml:space="preserve">0388                </t>
  </si>
  <si>
    <t xml:space="preserve">TYRAPS  BRN 280 X 4.5         </t>
  </si>
  <si>
    <t xml:space="preserve">0389                </t>
  </si>
  <si>
    <t xml:space="preserve">TYRAPS BRN 390 X 4.8          </t>
  </si>
  <si>
    <t xml:space="preserve">0390                </t>
  </si>
  <si>
    <t xml:space="preserve">MONTAGEBAND 12mm              </t>
  </si>
  <si>
    <t xml:space="preserve">0391                </t>
  </si>
  <si>
    <t xml:space="preserve">MONTAGEBAND 17mm              </t>
  </si>
  <si>
    <t xml:space="preserve">0392                </t>
  </si>
  <si>
    <t xml:space="preserve">MONTAGEBAND 12mm GEISOL       </t>
  </si>
  <si>
    <t xml:space="preserve">0397                </t>
  </si>
  <si>
    <t xml:space="preserve">KABEL EINDHULS 4mm ISOLEERT   </t>
  </si>
  <si>
    <t xml:space="preserve">0398                </t>
  </si>
  <si>
    <t xml:space="preserve">KABEL EINDHULS 6mm ISOLEERT   </t>
  </si>
  <si>
    <t xml:space="preserve">0399                </t>
  </si>
  <si>
    <t xml:space="preserve">KABEL EINDHULS 10mm ISOLEERT  </t>
  </si>
  <si>
    <t xml:space="preserve">0400                </t>
  </si>
  <si>
    <t xml:space="preserve">KABEL EINDHULS 16mm ISOLEERT  </t>
  </si>
  <si>
    <t xml:space="preserve">0401                </t>
  </si>
  <si>
    <t xml:space="preserve">KABEL EINDHULSJES  6 mm       </t>
  </si>
  <si>
    <t xml:space="preserve">0402                </t>
  </si>
  <si>
    <t xml:space="preserve">KABEL EINDHULSJES 10 mm       </t>
  </si>
  <si>
    <t xml:space="preserve">0403                </t>
  </si>
  <si>
    <t xml:space="preserve">KABEL EINDHULSJES 16 mm       </t>
  </si>
  <si>
    <t xml:space="preserve">0404                </t>
  </si>
  <si>
    <t xml:space="preserve">KABEL EINDHULSJES 25 mm       </t>
  </si>
  <si>
    <t xml:space="preserve">0405                </t>
  </si>
  <si>
    <t xml:space="preserve">KABEL EINDHULS 2x6mm ISOLEERT </t>
  </si>
  <si>
    <t xml:space="preserve">0406                </t>
  </si>
  <si>
    <t>KABEL EINDHULS 2x10mm ISOLEERT</t>
  </si>
  <si>
    <t xml:space="preserve">0407                </t>
  </si>
  <si>
    <t>KABEL EINDHULS 2x16mm ISOLEERT</t>
  </si>
  <si>
    <t xml:space="preserve">0408                </t>
  </si>
  <si>
    <t xml:space="preserve">KABEL EINDHULS 2x4mm ISOLEERT </t>
  </si>
  <si>
    <t xml:space="preserve">0409                </t>
  </si>
  <si>
    <t xml:space="preserve">PERSKABELSCHOEN 2.5 mm  M6    </t>
  </si>
  <si>
    <t xml:space="preserve">0410                </t>
  </si>
  <si>
    <t xml:space="preserve">PERSKABELSCHOEN  4  mm  M5    </t>
  </si>
  <si>
    <t xml:space="preserve">0411                </t>
  </si>
  <si>
    <t xml:space="preserve">PERSKABELSCHOEN  6  mm  M6    </t>
  </si>
  <si>
    <t xml:space="preserve">0412                </t>
  </si>
  <si>
    <t xml:space="preserve">PERSKABELSCHOEN 10  mm  M6    </t>
  </si>
  <si>
    <t xml:space="preserve">0413                </t>
  </si>
  <si>
    <t xml:space="preserve">PERSKABELSCHOEN 16  mm  M8    </t>
  </si>
  <si>
    <t xml:space="preserve">0414                </t>
  </si>
  <si>
    <t xml:space="preserve">PERSKABELSCHOEN 25  mm  M8    </t>
  </si>
  <si>
    <t xml:space="preserve">0415                </t>
  </si>
  <si>
    <t xml:space="preserve">PERSKABELSCHOEN 35  mm  M8    </t>
  </si>
  <si>
    <t xml:space="preserve">0416                </t>
  </si>
  <si>
    <t xml:space="preserve">PERSKABELSCHOEN 50  mm  M10   </t>
  </si>
  <si>
    <t xml:space="preserve">0417                </t>
  </si>
  <si>
    <t xml:space="preserve">PERSKABELSCHOEN 70  mm  M10   </t>
  </si>
  <si>
    <t xml:space="preserve">0418                </t>
  </si>
  <si>
    <t xml:space="preserve">PERSKABELSCHOEN 95  mm  M12   </t>
  </si>
  <si>
    <t xml:space="preserve">0419                </t>
  </si>
  <si>
    <t xml:space="preserve">PERSKABELSCHOEN 120 mm  M12   </t>
  </si>
  <si>
    <t xml:space="preserve">0420                </t>
  </si>
  <si>
    <t xml:space="preserve">PERSKABELSCHOEN  70  mm  M8   </t>
  </si>
  <si>
    <t xml:space="preserve">0421                </t>
  </si>
  <si>
    <t xml:space="preserve">PERSKABELSCHOEN  240 mm M12   </t>
  </si>
  <si>
    <t xml:space="preserve">0422                </t>
  </si>
  <si>
    <t>PERSKABELSCHOEN 240MM12 /23.1D</t>
  </si>
  <si>
    <t xml:space="preserve">0423                </t>
  </si>
  <si>
    <t xml:space="preserve">PERSKABELSCHOEN 185MM  M12    </t>
  </si>
  <si>
    <t xml:space="preserve">0424                </t>
  </si>
  <si>
    <t xml:space="preserve">VERBINDINGSBUS  2.5 mm        </t>
  </si>
  <si>
    <t xml:space="preserve">0425                </t>
  </si>
  <si>
    <t xml:space="preserve">VERBINDINGSBUS  4 mm          </t>
  </si>
  <si>
    <t xml:space="preserve">0426                </t>
  </si>
  <si>
    <t xml:space="preserve">VERBINDINGSBUS  6 mm          </t>
  </si>
  <si>
    <t xml:space="preserve">0427                </t>
  </si>
  <si>
    <t xml:space="preserve">VERBINDINGSBUS 10 mm          </t>
  </si>
  <si>
    <t xml:space="preserve">0428                </t>
  </si>
  <si>
    <t xml:space="preserve">VERBINDINGSBUS 16 mm          </t>
  </si>
  <si>
    <t xml:space="preserve">0429                </t>
  </si>
  <si>
    <t xml:space="preserve">VERBINDINGSBUS 25 mm          </t>
  </si>
  <si>
    <t xml:space="preserve">0430                </t>
  </si>
  <si>
    <t xml:space="preserve">VERBINDINGSBUS 35 mm          </t>
  </si>
  <si>
    <t xml:space="preserve">0431                </t>
  </si>
  <si>
    <t xml:space="preserve">VERBINDINGSBUS 50 mm          </t>
  </si>
  <si>
    <t xml:space="preserve">0432                </t>
  </si>
  <si>
    <t xml:space="preserve">VERBINDINGSBUS 70 mm          </t>
  </si>
  <si>
    <t xml:space="preserve">0433                </t>
  </si>
  <si>
    <t xml:space="preserve">VERBINDINGSBUS 95 mm          </t>
  </si>
  <si>
    <t xml:space="preserve">04331               </t>
  </si>
  <si>
    <t xml:space="preserve">VERBINDINGSBUS 120 mm         </t>
  </si>
  <si>
    <t xml:space="preserve">04332               </t>
  </si>
  <si>
    <t xml:space="preserve">VERBINDINGSBUS 240 mm         </t>
  </si>
  <si>
    <t xml:space="preserve">0434                </t>
  </si>
  <si>
    <t xml:space="preserve">PERSKABELSCHOEN  6  mm  M8    </t>
  </si>
  <si>
    <t xml:space="preserve">0435                </t>
  </si>
  <si>
    <t xml:space="preserve">PERSKABELSCHOEN  10  mm  M8   </t>
  </si>
  <si>
    <t xml:space="preserve">0436                </t>
  </si>
  <si>
    <t xml:space="preserve">PERSKABELSCHOEN  10  mm  M10  </t>
  </si>
  <si>
    <t xml:space="preserve">0437                </t>
  </si>
  <si>
    <t xml:space="preserve">PERSKABELSCHOEN  16  mm  M6   </t>
  </si>
  <si>
    <t xml:space="preserve">0438                </t>
  </si>
  <si>
    <t xml:space="preserve">PERSKABELSCHOEN  16  mm  M10  </t>
  </si>
  <si>
    <t xml:space="preserve">0439                </t>
  </si>
  <si>
    <t xml:space="preserve">PERSKABELSCHOEN  25  mm  M6   </t>
  </si>
  <si>
    <t xml:space="preserve">0440                </t>
  </si>
  <si>
    <t xml:space="preserve">PERSKABELSCHOEN  25  mm  M10  </t>
  </si>
  <si>
    <t xml:space="preserve">0441                </t>
  </si>
  <si>
    <t xml:space="preserve">PERSKABELSCHOEN  25  mm  M12  </t>
  </si>
  <si>
    <t xml:space="preserve">0442                </t>
  </si>
  <si>
    <t xml:space="preserve">PERSKABELSCHOEN  35  mm  M10  </t>
  </si>
  <si>
    <t xml:space="preserve">0443                </t>
  </si>
  <si>
    <t xml:space="preserve">PERSKABELSCHOEN  35  mm  M12  </t>
  </si>
  <si>
    <t xml:space="preserve">0444                </t>
  </si>
  <si>
    <t xml:space="preserve">PERSKABELSCHOEN  50  mm  M12  </t>
  </si>
  <si>
    <t xml:space="preserve">0445                </t>
  </si>
  <si>
    <t xml:space="preserve">PERSKABELSCHOEN  70  mm  M12  </t>
  </si>
  <si>
    <t xml:space="preserve">0446                </t>
  </si>
  <si>
    <t xml:space="preserve">PERSKABELSCHOEN  95  mm  M10  </t>
  </si>
  <si>
    <t xml:space="preserve">0447                </t>
  </si>
  <si>
    <t xml:space="preserve">PERSKABELSCHOEN  120  mm  M10 </t>
  </si>
  <si>
    <t xml:space="preserve">0448                </t>
  </si>
  <si>
    <t xml:space="preserve">INSULATED FORK TERM AU-2.5/4  </t>
  </si>
  <si>
    <t xml:space="preserve">0449                </t>
  </si>
  <si>
    <t xml:space="preserve">PERSKABELSCHOEN 50mm  M14     </t>
  </si>
  <si>
    <t xml:space="preserve">0451                </t>
  </si>
  <si>
    <t xml:space="preserve">PERSKABELSCHOEN  50  mm  M8   </t>
  </si>
  <si>
    <t xml:space="preserve">0452                </t>
  </si>
  <si>
    <t xml:space="preserve">PERSKABELSCHOEN  95  mm  M8   </t>
  </si>
  <si>
    <t xml:space="preserve">0453                </t>
  </si>
  <si>
    <t xml:space="preserve">PERSKABELSCHOEN  70  mm  M14  </t>
  </si>
  <si>
    <t xml:space="preserve">0454                </t>
  </si>
  <si>
    <t xml:space="preserve">PERSKABELSCHOEN  95  mm  M14  </t>
  </si>
  <si>
    <t xml:space="preserve">0455                </t>
  </si>
  <si>
    <t xml:space="preserve">RAYTECH GIETMOF 95MM(A310)    </t>
  </si>
  <si>
    <t xml:space="preserve">0456                </t>
  </si>
  <si>
    <t xml:space="preserve">A310 BARNICOL GIETMOF CPL     </t>
  </si>
  <si>
    <t xml:space="preserve">0457                </t>
  </si>
  <si>
    <t xml:space="preserve">A150 BARNICOL GIETMOF CPL     </t>
  </si>
  <si>
    <t xml:space="preserve">0458                </t>
  </si>
  <si>
    <t xml:space="preserve">A210 BARNICOL GIETMOF CPL     </t>
  </si>
  <si>
    <t xml:space="preserve">0459                </t>
  </si>
  <si>
    <t xml:space="preserve">A280 BARNICOL GIETMOF CPL     </t>
  </si>
  <si>
    <t xml:space="preserve">0460                </t>
  </si>
  <si>
    <t xml:space="preserve">A370 BARNICOL GIETMOF CPL     </t>
  </si>
  <si>
    <t xml:space="preserve">0461                </t>
  </si>
  <si>
    <t xml:space="preserve">A470 BARNICOL GIETMOF CPL     </t>
  </si>
  <si>
    <t xml:space="preserve">0462                </t>
  </si>
  <si>
    <t xml:space="preserve">BARNICOL GIETHARS A           </t>
  </si>
  <si>
    <t xml:space="preserve">0463                </t>
  </si>
  <si>
    <t xml:space="preserve">BARNICOL GIETHARS B           </t>
  </si>
  <si>
    <t xml:space="preserve">0464                </t>
  </si>
  <si>
    <t xml:space="preserve">BARNICOL GIETHARS C           </t>
  </si>
  <si>
    <t xml:space="preserve">0465                </t>
  </si>
  <si>
    <t xml:space="preserve">RAYTECH MAGICGEL 150ML HARDER </t>
  </si>
  <si>
    <t xml:space="preserve">0466                </t>
  </si>
  <si>
    <t xml:space="preserve">RAYTECH MAGICGEL 500ML HARDER </t>
  </si>
  <si>
    <t xml:space="preserve">0467                </t>
  </si>
  <si>
    <t xml:space="preserve">ATTEMA  GIETMOF PAKKET 2511   </t>
  </si>
  <si>
    <t xml:space="preserve">0468                </t>
  </si>
  <si>
    <t>CP-10 PIN PERSKABELSCHOEN 10MM</t>
  </si>
  <si>
    <t xml:space="preserve">0469                </t>
  </si>
  <si>
    <t>CP-16 PIN PERSKABELSCHOEN 16MM</t>
  </si>
  <si>
    <t xml:space="preserve">0470                </t>
  </si>
  <si>
    <t>CP-25 PIN PERSKABELSCHOEN 25MM</t>
  </si>
  <si>
    <t xml:space="preserve">0471                </t>
  </si>
  <si>
    <t>CP-35 PIN PERSKABELSCHOEN 35MM</t>
  </si>
  <si>
    <t xml:space="preserve">0472                </t>
  </si>
  <si>
    <t>CP-50 PIN PERSKABELSCHOEN 50MM</t>
  </si>
  <si>
    <t xml:space="preserve">0473                </t>
  </si>
  <si>
    <t xml:space="preserve">PERSKABELSCHOEN SMALL 70-10MM </t>
  </si>
  <si>
    <t xml:space="preserve">0474                </t>
  </si>
  <si>
    <t xml:space="preserve">PERSKABELSCHOEN SMALL 95-10MM </t>
  </si>
  <si>
    <t xml:space="preserve">0475                </t>
  </si>
  <si>
    <t>PERSKABELSCHOEN SMALL 120-10MM</t>
  </si>
  <si>
    <t xml:space="preserve">0476                </t>
  </si>
  <si>
    <t>PERSKABELSCHOEN SMALL 240-10MM</t>
  </si>
  <si>
    <t xml:space="preserve">0477                </t>
  </si>
  <si>
    <t>PERSKABELSCHOEN SMALL 240-12MM</t>
  </si>
  <si>
    <t xml:space="preserve">0480                </t>
  </si>
  <si>
    <t xml:space="preserve">T-DOOS              4206-D    </t>
  </si>
  <si>
    <t xml:space="preserve">0481                </t>
  </si>
  <si>
    <t xml:space="preserve">MIDDENDOOS DUBBEL 4207-D      </t>
  </si>
  <si>
    <t xml:space="preserve">0482                </t>
  </si>
  <si>
    <t xml:space="preserve">TOPDOOS DUBB RECHT 4208-D     </t>
  </si>
  <si>
    <t xml:space="preserve">0483                </t>
  </si>
  <si>
    <t xml:space="preserve">TOPDOOS DUBB LINKS   4209-D   </t>
  </si>
  <si>
    <t xml:space="preserve">0484                </t>
  </si>
  <si>
    <t xml:space="preserve">TOP T DOOS DUBB. R. 4210-D    </t>
  </si>
  <si>
    <t xml:space="preserve">0485                </t>
  </si>
  <si>
    <t xml:space="preserve">TOP T DOOS DUBB. L.  4211-D   </t>
  </si>
  <si>
    <t xml:space="preserve">0486                </t>
  </si>
  <si>
    <t xml:space="preserve">KABELDOOS 220A                </t>
  </si>
  <si>
    <t xml:space="preserve">0487                </t>
  </si>
  <si>
    <t xml:space="preserve">KABELDOOS 222A                </t>
  </si>
  <si>
    <t xml:space="preserve">0488                </t>
  </si>
  <si>
    <t xml:space="preserve">KABELDOOS 221A                </t>
  </si>
  <si>
    <t xml:space="preserve">0489                </t>
  </si>
  <si>
    <t xml:space="preserve">KABELDOOS 223A                </t>
  </si>
  <si>
    <t xml:space="preserve">04891               </t>
  </si>
  <si>
    <t xml:space="preserve">KABELDOOS J100S               </t>
  </si>
  <si>
    <t xml:space="preserve">0490                </t>
  </si>
  <si>
    <t>TREKDOOS                4202-D</t>
  </si>
  <si>
    <t xml:space="preserve">0491                </t>
  </si>
  <si>
    <t xml:space="preserve">KABELDOOS 225A                </t>
  </si>
  <si>
    <t xml:space="preserve">0492                </t>
  </si>
  <si>
    <t xml:space="preserve">KABELDOOS 224A                </t>
  </si>
  <si>
    <t xml:space="preserve">0493                </t>
  </si>
  <si>
    <t xml:space="preserve">KABELDOOS EP088 (18100)       </t>
  </si>
  <si>
    <t xml:space="preserve">0494                </t>
  </si>
  <si>
    <t xml:space="preserve">KABELDOOS EV111(18300)        </t>
  </si>
  <si>
    <t xml:space="preserve">04941               </t>
  </si>
  <si>
    <t xml:space="preserve">KABEL DOOS EL161 (18800)      </t>
  </si>
  <si>
    <t xml:space="preserve">04942               </t>
  </si>
  <si>
    <t xml:space="preserve">KABEL DOOS EL171 (19150)      </t>
  </si>
  <si>
    <t xml:space="preserve">04943               </t>
  </si>
  <si>
    <t xml:space="preserve">KABEL DOOS EL322 (19750)      </t>
  </si>
  <si>
    <t xml:space="preserve">04944               </t>
  </si>
  <si>
    <t xml:space="preserve">KABEL DOOS GSLT171 (19805)    </t>
  </si>
  <si>
    <t xml:space="preserve">04945               </t>
  </si>
  <si>
    <t xml:space="preserve">KABEL DOOS GSLT231 (19905)    </t>
  </si>
  <si>
    <t xml:space="preserve">04946               </t>
  </si>
  <si>
    <t xml:space="preserve">KABEL DOOS GSLT322 (19965)    </t>
  </si>
  <si>
    <t xml:space="preserve">0495                </t>
  </si>
  <si>
    <t>EINDDOOS                4201-D</t>
  </si>
  <si>
    <t xml:space="preserve">0499                </t>
  </si>
  <si>
    <t xml:space="preserve">VERHOGINGSRING H251           </t>
  </si>
  <si>
    <t xml:space="preserve">0500                </t>
  </si>
  <si>
    <t xml:space="preserve">DUBB INBOUWDOOS H251 ABB      </t>
  </si>
  <si>
    <t xml:space="preserve">0501                </t>
  </si>
  <si>
    <t xml:space="preserve">LASDOOS TOP T DOOS L DUBB3211 </t>
  </si>
  <si>
    <t xml:space="preserve">0502                </t>
  </si>
  <si>
    <t xml:space="preserve">LASDOOS TOP T  R DUBB 3210    </t>
  </si>
  <si>
    <t xml:space="preserve">0504                </t>
  </si>
  <si>
    <t xml:space="preserve">LASDOOS VORK TOP LINKS 3209   </t>
  </si>
  <si>
    <t xml:space="preserve">0505                </t>
  </si>
  <si>
    <t xml:space="preserve">CD/RV RONDE DEKSEL CENTRAL    </t>
  </si>
  <si>
    <t xml:space="preserve">0506                </t>
  </si>
  <si>
    <t>AD/16-19 AFSLUITSTOPBUIS 16-19</t>
  </si>
  <si>
    <t xml:space="preserve">0509                </t>
  </si>
  <si>
    <t xml:space="preserve">LASD EIND ACHTER INV 2031 att </t>
  </si>
  <si>
    <t xml:space="preserve">0510                </t>
  </si>
  <si>
    <t xml:space="preserve">LASD TREK ACHTER INV 3222     </t>
  </si>
  <si>
    <t xml:space="preserve">0511                </t>
  </si>
  <si>
    <t>PLAFONDDOOS 97371201 GRO-2 120</t>
  </si>
  <si>
    <t xml:space="preserve">0512                </t>
  </si>
  <si>
    <t xml:space="preserve">PLAFONDDOOS 97378101 GLAD     </t>
  </si>
  <si>
    <t xml:space="preserve">0513                </t>
  </si>
  <si>
    <t xml:space="preserve">INBOUWDS HOLLEWAND 16/19      </t>
  </si>
  <si>
    <t xml:space="preserve">0514                </t>
  </si>
  <si>
    <t xml:space="preserve">MONTAGEDEKSEL GRIJS 3640/D    </t>
  </si>
  <si>
    <t xml:space="preserve">0515                </t>
  </si>
  <si>
    <t xml:space="preserve">DEKSEL VOOR LASDOOS  3504     </t>
  </si>
  <si>
    <t xml:space="preserve">0516                </t>
  </si>
  <si>
    <t xml:space="preserve">CENTR ZIJKANT BODEM 55MM 164  </t>
  </si>
  <si>
    <t xml:space="preserve">0517                </t>
  </si>
  <si>
    <t>CENTR ZIJKANT BODEM 76.5MM 169</t>
  </si>
  <si>
    <t xml:space="preserve">0518                </t>
  </si>
  <si>
    <t xml:space="preserve">CENTRAALDOOS ROND 80MM C80    </t>
  </si>
  <si>
    <t xml:space="preserve">0519                </t>
  </si>
  <si>
    <t xml:space="preserve">CENTRAALDOOS ROND 100MM C100  </t>
  </si>
  <si>
    <t xml:space="preserve">0520                </t>
  </si>
  <si>
    <t xml:space="preserve">CENTRAALD 5/8 55mm ONG 165A   </t>
  </si>
  <si>
    <t xml:space="preserve">0521                </t>
  </si>
  <si>
    <t xml:space="preserve">CENTRAALD 5/8 55mm GEL 165B   </t>
  </si>
  <si>
    <t xml:space="preserve">0522                </t>
  </si>
  <si>
    <t xml:space="preserve">CENTRAALD 5/8 75mm GEL 167B   </t>
  </si>
  <si>
    <t xml:space="preserve">0523                </t>
  </si>
  <si>
    <t xml:space="preserve">CENTRAALDOOS 3/4 66mm GEL 161 </t>
  </si>
  <si>
    <t xml:space="preserve">0524                </t>
  </si>
  <si>
    <t xml:space="preserve">CENTRDOOS ROND 12X16/19/20MM  </t>
  </si>
  <si>
    <t xml:space="preserve">0525                </t>
  </si>
  <si>
    <t xml:space="preserve">CENTRAALDOOS DEKSEL 3506      </t>
  </si>
  <si>
    <t xml:space="preserve">0526                </t>
  </si>
  <si>
    <t xml:space="preserve">MONTAGEDEKSEL+WCD3611W1       </t>
  </si>
  <si>
    <t xml:space="preserve">0527                </t>
  </si>
  <si>
    <t xml:space="preserve">MONTAGEDEKSEL+WCD3611W2       </t>
  </si>
  <si>
    <t xml:space="preserve">0528                </t>
  </si>
  <si>
    <t xml:space="preserve">MONTAGEDEKSEL+WCD3640W4       </t>
  </si>
  <si>
    <t xml:space="preserve">0529                </t>
  </si>
  <si>
    <t xml:space="preserve">ONDERBAK KABELDOOS 3640/1     </t>
  </si>
  <si>
    <t xml:space="preserve">0530                </t>
  </si>
  <si>
    <t xml:space="preserve">MONTAGEDEKSEL+WCD3640W2       </t>
  </si>
  <si>
    <t xml:space="preserve">0531                </t>
  </si>
  <si>
    <t xml:space="preserve"> UNIVERSEEL LASDOOS    3611   </t>
  </si>
  <si>
    <t xml:space="preserve">0532                </t>
  </si>
  <si>
    <t>BLINDDEKSEL (uni lasdoos) 3535</t>
  </si>
  <si>
    <t xml:space="preserve">0533                </t>
  </si>
  <si>
    <t>MONTAGEDKSL (uni lasdoos) 3543</t>
  </si>
  <si>
    <t xml:space="preserve">0534                </t>
  </si>
  <si>
    <t xml:space="preserve">INBOUWDOOS DUBB WCD H140      </t>
  </si>
  <si>
    <t xml:space="preserve">0535                </t>
  </si>
  <si>
    <t xml:space="preserve">GIETBOUWDOOS EURO 2x3/4 MGD50 </t>
  </si>
  <si>
    <t xml:space="preserve">0536                </t>
  </si>
  <si>
    <t>GIETBOUWDOOS EURO TREK 3/4 G51</t>
  </si>
  <si>
    <t xml:space="preserve">0537                </t>
  </si>
  <si>
    <t xml:space="preserve">GIETBOUWDOOS EURO 3/4 G50     </t>
  </si>
  <si>
    <t xml:space="preserve">0538                </t>
  </si>
  <si>
    <t xml:space="preserve">GIETBOUWDOOS EURO 2x3/4 G52   </t>
  </si>
  <si>
    <t xml:space="preserve">0539                </t>
  </si>
  <si>
    <t>INZ.STK KABELDOOS3640 16mm3525</t>
  </si>
  <si>
    <t xml:space="preserve">0540                </t>
  </si>
  <si>
    <t>INZ.STK KABELDOOS3640 19mm3529</t>
  </si>
  <si>
    <t xml:space="preserve">0541                </t>
  </si>
  <si>
    <t xml:space="preserve">MD4050 MULTIDOOS              </t>
  </si>
  <si>
    <t xml:space="preserve">0542                </t>
  </si>
  <si>
    <t xml:space="preserve">MT/2X 16-19MM Inzetstuk       </t>
  </si>
  <si>
    <t xml:space="preserve">05421               </t>
  </si>
  <si>
    <t xml:space="preserve">MT/1X 16-19MM Inzetstuk       </t>
  </si>
  <si>
    <t xml:space="preserve">0543                </t>
  </si>
  <si>
    <t xml:space="preserve">VERHOGINGSRING MD4050 4MM     </t>
  </si>
  <si>
    <t xml:space="preserve">0544                </t>
  </si>
  <si>
    <t xml:space="preserve">VERHOGINGSRING MD4050 6MM     </t>
  </si>
  <si>
    <t xml:space="preserve">0545                </t>
  </si>
  <si>
    <t xml:space="preserve">SPARINGSKEGEL 3550 16MM       </t>
  </si>
  <si>
    <t xml:space="preserve">0546                </t>
  </si>
  <si>
    <t xml:space="preserve">SPARINGSKEGEL 3551 19MM       </t>
  </si>
  <si>
    <t xml:space="preserve">0547                </t>
  </si>
  <si>
    <t xml:space="preserve">PG+MOER M16                   </t>
  </si>
  <si>
    <t xml:space="preserve">0548                </t>
  </si>
  <si>
    <t xml:space="preserve">PG+MOER M20                   </t>
  </si>
  <si>
    <t xml:space="preserve">0549                </t>
  </si>
  <si>
    <t xml:space="preserve">PG+MOER M25                   </t>
  </si>
  <si>
    <t xml:space="preserve">0550                </t>
  </si>
  <si>
    <t xml:space="preserve">PG 13,5 + MOER                </t>
  </si>
  <si>
    <t xml:space="preserve">0551                </t>
  </si>
  <si>
    <t xml:space="preserve">PG 16 + MOER                  </t>
  </si>
  <si>
    <t xml:space="preserve">0552                </t>
  </si>
  <si>
    <t xml:space="preserve">PG 21                         </t>
  </si>
  <si>
    <t xml:space="preserve">0553                </t>
  </si>
  <si>
    <t xml:space="preserve">PG 29                         </t>
  </si>
  <si>
    <t xml:space="preserve">0554                </t>
  </si>
  <si>
    <t xml:space="preserve">PG 36                         </t>
  </si>
  <si>
    <t xml:space="preserve">0555                </t>
  </si>
  <si>
    <t xml:space="preserve">PG 48                         </t>
  </si>
  <si>
    <t xml:space="preserve">0556                </t>
  </si>
  <si>
    <t xml:space="preserve">PG+MOER M32                   </t>
  </si>
  <si>
    <t xml:space="preserve">0557                </t>
  </si>
  <si>
    <t xml:space="preserve">PG+MOER M40                   </t>
  </si>
  <si>
    <t xml:space="preserve">0558                </t>
  </si>
  <si>
    <t xml:space="preserve">PG+MOER M50                   </t>
  </si>
  <si>
    <t xml:space="preserve">0559                </t>
  </si>
  <si>
    <t xml:space="preserve">PG+MOER M63                   </t>
  </si>
  <si>
    <t xml:space="preserve">0560                </t>
  </si>
  <si>
    <t xml:space="preserve">MOER PG 13,5                  </t>
  </si>
  <si>
    <t xml:space="preserve">0561                </t>
  </si>
  <si>
    <t xml:space="preserve">MOER PG 16                    </t>
  </si>
  <si>
    <t xml:space="preserve">0562                </t>
  </si>
  <si>
    <t xml:space="preserve">MOER PG 21                    </t>
  </si>
  <si>
    <t xml:space="preserve">0563                </t>
  </si>
  <si>
    <t xml:space="preserve">MOER PG 29                    </t>
  </si>
  <si>
    <t xml:space="preserve">0564                </t>
  </si>
  <si>
    <t xml:space="preserve">MOER PG 36                    </t>
  </si>
  <si>
    <t xml:space="preserve">0565                </t>
  </si>
  <si>
    <t xml:space="preserve">MOER PG 48                    </t>
  </si>
  <si>
    <t xml:space="preserve">0566                </t>
  </si>
  <si>
    <t xml:space="preserve">PG 21 + MOER                  </t>
  </si>
  <si>
    <t xml:space="preserve">0567                </t>
  </si>
  <si>
    <t xml:space="preserve">PG 29 + MOER                  </t>
  </si>
  <si>
    <t xml:space="preserve">0568                </t>
  </si>
  <si>
    <t xml:space="preserve">CONEX STEEKKLEM 2-VOUDIG      </t>
  </si>
  <si>
    <t xml:space="preserve">0569                </t>
  </si>
  <si>
    <t xml:space="preserve">CONEX STEEKKLEM 3-VOUDIG      </t>
  </si>
  <si>
    <t xml:space="preserve">0570                </t>
  </si>
  <si>
    <t xml:space="preserve">CONEX STEEKKLEM 4-VOUDIG      </t>
  </si>
  <si>
    <t xml:space="preserve">0571                </t>
  </si>
  <si>
    <t xml:space="preserve">CONEX STEEKKLEM 5-VOUDIG      </t>
  </si>
  <si>
    <t xml:space="preserve">0572                </t>
  </si>
  <si>
    <t xml:space="preserve">CONEX ASSORT BOX 0.75/2.5MM   </t>
  </si>
  <si>
    <t xml:space="preserve">0573                </t>
  </si>
  <si>
    <t xml:space="preserve">WAGO LASKLEM 5POL             </t>
  </si>
  <si>
    <t xml:space="preserve">0574                </t>
  </si>
  <si>
    <t xml:space="preserve">LASDOPPEN 2-7.5 mm CONEX      </t>
  </si>
  <si>
    <t xml:space="preserve">0575                </t>
  </si>
  <si>
    <t xml:space="preserve">LASDOPPEN 3.0-12.5 mm         </t>
  </si>
  <si>
    <t xml:space="preserve">0576                </t>
  </si>
  <si>
    <t xml:space="preserve">LASDOPPEN 7.5-18.0 mm         </t>
  </si>
  <si>
    <t xml:space="preserve">0577                </t>
  </si>
  <si>
    <t xml:space="preserve">LASDOPPEN 12-24 mm            </t>
  </si>
  <si>
    <t xml:space="preserve">0580                </t>
  </si>
  <si>
    <t xml:space="preserve">KROONKLEMSTROOK 2.5-4 mm2     </t>
  </si>
  <si>
    <t xml:space="preserve">0581                </t>
  </si>
  <si>
    <t xml:space="preserve">KROONKLEMSTROOK  6 mm2        </t>
  </si>
  <si>
    <t xml:space="preserve">0582                </t>
  </si>
  <si>
    <t xml:space="preserve">KROONKLEMSTROOK  10 mm2       </t>
  </si>
  <si>
    <t xml:space="preserve">0583                </t>
  </si>
  <si>
    <t xml:space="preserve">KROONKLEMSTROOK  16 mm2       </t>
  </si>
  <si>
    <t xml:space="preserve">0584                </t>
  </si>
  <si>
    <t xml:space="preserve">KROONKLEMSTROOK  25 mm2       </t>
  </si>
  <si>
    <t xml:space="preserve">0600                </t>
  </si>
  <si>
    <t xml:space="preserve">PASMOER 16A                   </t>
  </si>
  <si>
    <t xml:space="preserve">0601                </t>
  </si>
  <si>
    <t xml:space="preserve">PASMOER 20A                   </t>
  </si>
  <si>
    <t xml:space="preserve">0602                </t>
  </si>
  <si>
    <t xml:space="preserve">PASMOER 25A                   </t>
  </si>
  <si>
    <t xml:space="preserve">0603                </t>
  </si>
  <si>
    <t xml:space="preserve">PASMOER 35A                   </t>
  </si>
  <si>
    <t xml:space="preserve">0604                </t>
  </si>
  <si>
    <t xml:space="preserve">PASMOER 50A                   </t>
  </si>
  <si>
    <t xml:space="preserve">0605                </t>
  </si>
  <si>
    <t xml:space="preserve">PASMOER 63A                   </t>
  </si>
  <si>
    <t xml:space="preserve">0609                </t>
  </si>
  <si>
    <t xml:space="preserve">ZEKERING 6A E14  D 01 6A      </t>
  </si>
  <si>
    <t xml:space="preserve">0610                </t>
  </si>
  <si>
    <t xml:space="preserve">ZEKERING 16A                  </t>
  </si>
  <si>
    <t xml:space="preserve">0611                </t>
  </si>
  <si>
    <t xml:space="preserve">ZEKERING 20A                  </t>
  </si>
  <si>
    <t xml:space="preserve">0612                </t>
  </si>
  <si>
    <t xml:space="preserve">ZEKERING 25A                  </t>
  </si>
  <si>
    <t xml:space="preserve">0613                </t>
  </si>
  <si>
    <t xml:space="preserve">ZEKERING 35A                  </t>
  </si>
  <si>
    <t xml:space="preserve">0614                </t>
  </si>
  <si>
    <t xml:space="preserve">ZEKERING 50A                  </t>
  </si>
  <si>
    <t xml:space="preserve">0615                </t>
  </si>
  <si>
    <t xml:space="preserve">ZEKERING 63A                  </t>
  </si>
  <si>
    <t xml:space="preserve">0619                </t>
  </si>
  <si>
    <t xml:space="preserve">KOP D01 E14  16A              </t>
  </si>
  <si>
    <t xml:space="preserve">0620                </t>
  </si>
  <si>
    <t xml:space="preserve">KOP K2                        </t>
  </si>
  <si>
    <t xml:space="preserve">0621                </t>
  </si>
  <si>
    <t xml:space="preserve">KOP K3                        </t>
  </si>
  <si>
    <t xml:space="preserve">0624                </t>
  </si>
  <si>
    <t xml:space="preserve">KSV PATRONEN   25A NH 00      </t>
  </si>
  <si>
    <t xml:space="preserve">0625                </t>
  </si>
  <si>
    <t xml:space="preserve">KSV PATRONEN   35A NH 00      </t>
  </si>
  <si>
    <t xml:space="preserve">0626                </t>
  </si>
  <si>
    <t xml:space="preserve">KSV PATRONEN   50A NH 00      </t>
  </si>
  <si>
    <t xml:space="preserve">0627                </t>
  </si>
  <si>
    <t xml:space="preserve">KSV PATRONEN   63A NH 00      </t>
  </si>
  <si>
    <t xml:space="preserve">0628                </t>
  </si>
  <si>
    <t xml:space="preserve">KSV PATRONEN   80A NH 00      </t>
  </si>
  <si>
    <t xml:space="preserve">0629                </t>
  </si>
  <si>
    <t xml:space="preserve">KSV PATRONEN 100A NH 00       </t>
  </si>
  <si>
    <t xml:space="preserve">0630                </t>
  </si>
  <si>
    <t xml:space="preserve">KSV PATRONEN 125A NH 00       </t>
  </si>
  <si>
    <t xml:space="preserve">0631                </t>
  </si>
  <si>
    <t xml:space="preserve">KSV PATRONEN 160A NH 00       </t>
  </si>
  <si>
    <t xml:space="preserve">0635                </t>
  </si>
  <si>
    <t xml:space="preserve">KSV PATRONEN  63A NH 1        </t>
  </si>
  <si>
    <t xml:space="preserve">0636                </t>
  </si>
  <si>
    <t xml:space="preserve">KSV PATRONEN  80A NH 1        </t>
  </si>
  <si>
    <t xml:space="preserve">0637                </t>
  </si>
  <si>
    <t xml:space="preserve">KSV PATRONEN 100A NH 1        </t>
  </si>
  <si>
    <t xml:space="preserve">0638                </t>
  </si>
  <si>
    <t xml:space="preserve">KSV PATRONEN 125A NH 1        </t>
  </si>
  <si>
    <t xml:space="preserve">0639                </t>
  </si>
  <si>
    <t xml:space="preserve">KSV PATRONEN 160A NH 1        </t>
  </si>
  <si>
    <t xml:space="preserve">0640                </t>
  </si>
  <si>
    <t xml:space="preserve">KSV PATRONEN 200A NH 1        </t>
  </si>
  <si>
    <t xml:space="preserve">0641                </t>
  </si>
  <si>
    <t xml:space="preserve">KSV PATRONEN 224A NH 1        </t>
  </si>
  <si>
    <t xml:space="preserve">0642                </t>
  </si>
  <si>
    <t xml:space="preserve">KSV PATRONEN 250A NH 1        </t>
  </si>
  <si>
    <t xml:space="preserve">0643                </t>
  </si>
  <si>
    <t xml:space="preserve">KSV PATRONEN 315A NH 1        </t>
  </si>
  <si>
    <t xml:space="preserve">0644                </t>
  </si>
  <si>
    <t xml:space="preserve">KSV PATRONEN 355A NH 1        </t>
  </si>
  <si>
    <t xml:space="preserve">0645                </t>
  </si>
  <si>
    <t xml:space="preserve">KSV PATRONEN 400A NH 2        </t>
  </si>
  <si>
    <t xml:space="preserve">0646                </t>
  </si>
  <si>
    <t xml:space="preserve">KSV PATRONEN 630A NH 3        </t>
  </si>
  <si>
    <t xml:space="preserve">0650                </t>
  </si>
  <si>
    <t xml:space="preserve">MESPATR. HOUDER DIN 00        </t>
  </si>
  <si>
    <t xml:space="preserve">0651                </t>
  </si>
  <si>
    <t xml:space="preserve">MESPATR. HOUDER DIN 1         </t>
  </si>
  <si>
    <t xml:space="preserve">0660                </t>
  </si>
  <si>
    <t xml:space="preserve">JSL STEEKKLEM 2 VOUDIG        </t>
  </si>
  <si>
    <t xml:space="preserve">0661                </t>
  </si>
  <si>
    <t xml:space="preserve">JSL STEEKKLEM 3 VOUDIG        </t>
  </si>
  <si>
    <t xml:space="preserve">0662                </t>
  </si>
  <si>
    <t xml:space="preserve">JSL STEEKKLEM 4 VOUDIG        </t>
  </si>
  <si>
    <t xml:space="preserve">0663                </t>
  </si>
  <si>
    <t xml:space="preserve">JSL STEEKKLEM 5 VOUDIG        </t>
  </si>
  <si>
    <t xml:space="preserve">0700                </t>
  </si>
  <si>
    <t xml:space="preserve">ATT UNIVERSELE LASDOOS 1619   </t>
  </si>
  <si>
    <t xml:space="preserve">0701                </t>
  </si>
  <si>
    <t xml:space="preserve">ATT BLINDDEKSEL BK 1620       </t>
  </si>
  <si>
    <t xml:space="preserve">0702                </t>
  </si>
  <si>
    <t xml:space="preserve">ATT MONTAGEDEKSEL 1X WCD 1622 </t>
  </si>
  <si>
    <t xml:space="preserve">0703                </t>
  </si>
  <si>
    <t xml:space="preserve">ATT MONTAGEDEKSEL 2X WCD 1623 </t>
  </si>
  <si>
    <t xml:space="preserve">0706                </t>
  </si>
  <si>
    <t xml:space="preserve">ATT EINDOOS 2033              </t>
  </si>
  <si>
    <t xml:space="preserve">0707                </t>
  </si>
  <si>
    <t xml:space="preserve">ATEMA U 50 INBDOOS 16-19-20MM </t>
  </si>
  <si>
    <t xml:space="preserve">0708                </t>
  </si>
  <si>
    <t xml:space="preserve">ATEMA TUIT 2X16/19/20 U 50    </t>
  </si>
  <si>
    <t xml:space="preserve">0709                </t>
  </si>
  <si>
    <t xml:space="preserve">ATEMA AFDEK PLAAT U 50        </t>
  </si>
  <si>
    <t xml:space="preserve">0715                </t>
  </si>
  <si>
    <t>ATT KABELDOOS IP65M20/M25 2501</t>
  </si>
  <si>
    <t xml:space="preserve">0990                </t>
  </si>
  <si>
    <t xml:space="preserve">PICKENS VOLTAGE PROTECT 120V  </t>
  </si>
  <si>
    <t xml:space="preserve">0991                </t>
  </si>
  <si>
    <t xml:space="preserve">USB VOLTAGE PROTECTOR PICKENS </t>
  </si>
  <si>
    <t xml:space="preserve">0992                </t>
  </si>
  <si>
    <t>STRAP 2 PORTMOD-5522-5EW DECOR</t>
  </si>
  <si>
    <t xml:space="preserve">0993                </t>
  </si>
  <si>
    <t xml:space="preserve">ADAPTOR F SERIE COAX 5552-5EW </t>
  </si>
  <si>
    <t xml:space="preserve">0995                </t>
  </si>
  <si>
    <t xml:space="preserve">F-CONNECTOR 2078-T6           </t>
  </si>
  <si>
    <t xml:space="preserve">0996                </t>
  </si>
  <si>
    <t xml:space="preserve">CUBE TAP 3 OUTLET 1482W       </t>
  </si>
  <si>
    <t xml:space="preserve">0997                </t>
  </si>
  <si>
    <t xml:space="preserve"> 6 OUTLET 1146W-SP            </t>
  </si>
  <si>
    <t xml:space="preserve">0998                </t>
  </si>
  <si>
    <t xml:space="preserve">3 OUTLET 1192W-SP             </t>
  </si>
  <si>
    <t xml:space="preserve">0999                </t>
  </si>
  <si>
    <t xml:space="preserve">WCD AM INB D 220V R/A  815W   </t>
  </si>
  <si>
    <t xml:space="preserve">1000                </t>
  </si>
  <si>
    <t xml:space="preserve">SCHAK AM WIS  DUB 276W        </t>
  </si>
  <si>
    <t xml:space="preserve">1001                </t>
  </si>
  <si>
    <t xml:space="preserve">5 BTTN  TIMER 127V PT18M-W    </t>
  </si>
  <si>
    <t xml:space="preserve">1002                </t>
  </si>
  <si>
    <t xml:space="preserve">SCHAK AM ENK POL 271W         </t>
  </si>
  <si>
    <t xml:space="preserve">1003                </t>
  </si>
  <si>
    <t xml:space="preserve">SCHAK AM 2POL   CS215W        </t>
  </si>
  <si>
    <t xml:space="preserve">1004                </t>
  </si>
  <si>
    <t>SCHAK AM ENK INB         1301W</t>
  </si>
  <si>
    <t xml:space="preserve">1005                </t>
  </si>
  <si>
    <t>SCHAK AM WIS INB         1303W</t>
  </si>
  <si>
    <t xml:space="preserve">1006                </t>
  </si>
  <si>
    <t>SCHAK AM ENK DECO        7501W</t>
  </si>
  <si>
    <t xml:space="preserve">1007                </t>
  </si>
  <si>
    <t>SCHAK AM WIS DECO        7503W</t>
  </si>
  <si>
    <t xml:space="preserve">1008                </t>
  </si>
  <si>
    <t xml:space="preserve">SCHAK AM DUB DECO       7728W </t>
  </si>
  <si>
    <t xml:space="preserve">1009                </t>
  </si>
  <si>
    <t>SCHAK AM TRI DECO        7729W</t>
  </si>
  <si>
    <t xml:space="preserve">10090               </t>
  </si>
  <si>
    <t xml:space="preserve">SCHAK DUB  WISSEL DECO 7731W  </t>
  </si>
  <si>
    <t xml:space="preserve">10091               </t>
  </si>
  <si>
    <t xml:space="preserve">SCHAK AM 2P DEC 20A   7622W   </t>
  </si>
  <si>
    <t xml:space="preserve">10092               </t>
  </si>
  <si>
    <t>SCHAK AM KRS DECO        7504W</t>
  </si>
  <si>
    <t xml:space="preserve">10093               </t>
  </si>
  <si>
    <t xml:space="preserve">SCHAK AM ENK-WIS 7732W        </t>
  </si>
  <si>
    <t xml:space="preserve">1010                </t>
  </si>
  <si>
    <t xml:space="preserve">DIMMER SCHUIF  SI061W / 6422  </t>
  </si>
  <si>
    <t xml:space="preserve">10100               </t>
  </si>
  <si>
    <t xml:space="preserve">UNIV DEC DIMMER LED DUL 06    </t>
  </si>
  <si>
    <t xml:space="preserve">10101               </t>
  </si>
  <si>
    <t>DIMMER  WISS SI06P-W /SUL06P-W</t>
  </si>
  <si>
    <t xml:space="preserve">1011                </t>
  </si>
  <si>
    <t xml:space="preserve">SCHAK AM ENK            1101V </t>
  </si>
  <si>
    <t xml:space="preserve">1012                </t>
  </si>
  <si>
    <t xml:space="preserve">SCHAK AM WIS            923V  </t>
  </si>
  <si>
    <t xml:space="preserve">1013                </t>
  </si>
  <si>
    <t xml:space="preserve">SCHAK AM 2POL  CS220W         </t>
  </si>
  <si>
    <t xml:space="preserve">1014                </t>
  </si>
  <si>
    <t xml:space="preserve">SCHAK  2P 30A      3032 FW    </t>
  </si>
  <si>
    <t xml:space="preserve">1015                </t>
  </si>
  <si>
    <t xml:space="preserve">SCHAK DECO COMB &amp;WCD 7730W    </t>
  </si>
  <si>
    <t xml:space="preserve">1016                </t>
  </si>
  <si>
    <t>SCHAK AM WIS DECO        6303V</t>
  </si>
  <si>
    <t xml:space="preserve">1017                </t>
  </si>
  <si>
    <t xml:space="preserve">DIMMER  600W              600 </t>
  </si>
  <si>
    <t xml:space="preserve">1018                </t>
  </si>
  <si>
    <t xml:space="preserve">DIMMER 1000W             1000 </t>
  </si>
  <si>
    <t xml:space="preserve">1019                </t>
  </si>
  <si>
    <t xml:space="preserve">DIMMER SCHUIF DUB LEV6628W    </t>
  </si>
  <si>
    <t xml:space="preserve">1020                </t>
  </si>
  <si>
    <t xml:space="preserve"> COM SCHAK &amp; WCD 127v -TR274W </t>
  </si>
  <si>
    <t xml:space="preserve">1021                </t>
  </si>
  <si>
    <t xml:space="preserve">WCD AM INB D R/A DEC  1107W   </t>
  </si>
  <si>
    <t xml:space="preserve">1022                </t>
  </si>
  <si>
    <t xml:space="preserve">WCD ENKEL 127V   817W         </t>
  </si>
  <si>
    <t xml:space="preserve">1023                </t>
  </si>
  <si>
    <t xml:space="preserve">WCD AM INB D 220V DEC 6662W   </t>
  </si>
  <si>
    <t xml:space="preserve">1024                </t>
  </si>
  <si>
    <t>WCD AM INB DUB  R/A       270W</t>
  </si>
  <si>
    <t xml:space="preserve">1025                </t>
  </si>
  <si>
    <t xml:space="preserve">WCD AM INB EN 220V R/A 1876W  </t>
  </si>
  <si>
    <t xml:space="preserve">1026                </t>
  </si>
  <si>
    <t xml:space="preserve">USB Charging station 7750W    </t>
  </si>
  <si>
    <t xml:space="preserve">1027                </t>
  </si>
  <si>
    <t xml:space="preserve">WCD AM INB AARDL BEVXGF15     </t>
  </si>
  <si>
    <t xml:space="preserve">1028                </t>
  </si>
  <si>
    <t>WCD AM INB 127 ENK DEC TR6250W</t>
  </si>
  <si>
    <t xml:space="preserve">1029                </t>
  </si>
  <si>
    <t>WCD AM INB 127 ENK LED TR7735W</t>
  </si>
  <si>
    <t xml:space="preserve">1030                </t>
  </si>
  <si>
    <t>WCD AM OPB DUB R/A         78W</t>
  </si>
  <si>
    <t xml:space="preserve">1031                </t>
  </si>
  <si>
    <t>WCD AM INB ENK USB PORT TR7740</t>
  </si>
  <si>
    <t xml:space="preserve">1032                </t>
  </si>
  <si>
    <t xml:space="preserve">FAN/DIM COMB SDC15-W          </t>
  </si>
  <si>
    <t xml:space="preserve">1033                </t>
  </si>
  <si>
    <t xml:space="preserve">FAN CNTL SLD 3-WAY SFS15P-W   </t>
  </si>
  <si>
    <t xml:space="preserve">1034                </t>
  </si>
  <si>
    <t xml:space="preserve">WCD AM INB DUB R/A DEC 1107V  </t>
  </si>
  <si>
    <t xml:space="preserve">1035                </t>
  </si>
  <si>
    <t>WCD AM INB DUB  R/A       270V</t>
  </si>
  <si>
    <t xml:space="preserve">1036                </t>
  </si>
  <si>
    <t xml:space="preserve">WCD AM INB 220V R/A     1876V </t>
  </si>
  <si>
    <t xml:space="preserve">1037                </t>
  </si>
  <si>
    <t>WCD AM OPB DUB             79V</t>
  </si>
  <si>
    <t xml:space="preserve">1038                </t>
  </si>
  <si>
    <t>WCD AM OPB DUB R/A         78V</t>
  </si>
  <si>
    <t xml:space="preserve">1039                </t>
  </si>
  <si>
    <t xml:space="preserve">WCD AM OPB DUB 220V R/A  74V  </t>
  </si>
  <si>
    <t xml:space="preserve">1040                </t>
  </si>
  <si>
    <t xml:space="preserve">MOTION DETECTOR OS306U-W      </t>
  </si>
  <si>
    <t xml:space="preserve">1100                </t>
  </si>
  <si>
    <t xml:space="preserve">WALLPLATE AM SW (INB) 2134W   </t>
  </si>
  <si>
    <t xml:space="preserve">1101                </t>
  </si>
  <si>
    <t>WALLPLATE AM ENK SW  2951WDISC</t>
  </si>
  <si>
    <t xml:space="preserve">1102                </t>
  </si>
  <si>
    <t>WALLPLATE AM DUB SW 2952W DISC</t>
  </si>
  <si>
    <t xml:space="preserve">1103                </t>
  </si>
  <si>
    <t xml:space="preserve">WALLPLATE AM TRI SW   2953W   </t>
  </si>
  <si>
    <t xml:space="preserve">1104                </t>
  </si>
  <si>
    <t>WALLPLATE AM BLD         2129W</t>
  </si>
  <si>
    <t xml:space="preserve">1105                </t>
  </si>
  <si>
    <t xml:space="preserve">WALLPLATE AM BLD 2G  2037W    </t>
  </si>
  <si>
    <t xml:space="preserve">1106                </t>
  </si>
  <si>
    <t xml:space="preserve">WALLPLATE AM ENK RP  2131W    </t>
  </si>
  <si>
    <t xml:space="preserve">1107                </t>
  </si>
  <si>
    <t xml:space="preserve">WALLPLATE AM DUB RP 2132W     </t>
  </si>
  <si>
    <t xml:space="preserve">1108                </t>
  </si>
  <si>
    <t xml:space="preserve">WALLPLATE AM D RP 2-V  2150W  </t>
  </si>
  <si>
    <t xml:space="preserve">1109                </t>
  </si>
  <si>
    <t xml:space="preserve">WALLPLATE AM DECO 2151W       </t>
  </si>
  <si>
    <t xml:space="preserve">1110                </t>
  </si>
  <si>
    <t xml:space="preserve">WALLPLATE AM DECO 2-V 2152W   </t>
  </si>
  <si>
    <t xml:space="preserve">11101               </t>
  </si>
  <si>
    <t xml:space="preserve">WALLPLATE DECO BLIND 2160W    </t>
  </si>
  <si>
    <t xml:space="preserve">111010              </t>
  </si>
  <si>
    <t xml:space="preserve">WALLPL AM ASPIRE 2-V 9522WS   </t>
  </si>
  <si>
    <t xml:space="preserve">111011              </t>
  </si>
  <si>
    <t xml:space="preserve">WALLPL AM ASPIRE 3-V 9523WS   </t>
  </si>
  <si>
    <t xml:space="preserve">111012              </t>
  </si>
  <si>
    <t xml:space="preserve">WALLPL AM ASPIRE 4-V 9524WS   </t>
  </si>
  <si>
    <t xml:space="preserve">111013              </t>
  </si>
  <si>
    <t xml:space="preserve">WALLPL AM ASPIRE 5-V 9525WS   </t>
  </si>
  <si>
    <t xml:space="preserve">11102               </t>
  </si>
  <si>
    <t xml:space="preserve"> DECO TEL CONN  3560-4W       </t>
  </si>
  <si>
    <t xml:space="preserve">11103               </t>
  </si>
  <si>
    <t xml:space="preserve"> DECO COAX CONN 2162W         </t>
  </si>
  <si>
    <t xml:space="preserve">11104               </t>
  </si>
  <si>
    <t xml:space="preserve">WALLPLATE TV DUB 2072-2W      </t>
  </si>
  <si>
    <t xml:space="preserve">11105               </t>
  </si>
  <si>
    <t xml:space="preserve">WALLPLATE  TEL DUB 3546-4W    </t>
  </si>
  <si>
    <t xml:space="preserve">11106               </t>
  </si>
  <si>
    <t xml:space="preserve">WALLPLATE AM DECO 3-V 2163W   </t>
  </si>
  <si>
    <t xml:space="preserve">11107               </t>
  </si>
  <si>
    <t xml:space="preserve">WALLPLATE AM DECO 4-V 2164W   </t>
  </si>
  <si>
    <t xml:space="preserve">11108               </t>
  </si>
  <si>
    <t xml:space="preserve">WALLPLATE AM DECO 5-V 2165W   </t>
  </si>
  <si>
    <t xml:space="preserve">11109               </t>
  </si>
  <si>
    <t xml:space="preserve">WALLPL AM ASPIRE 1-V 9521WS   </t>
  </si>
  <si>
    <t xml:space="preserve">1111                </t>
  </si>
  <si>
    <t xml:space="preserve">WALLPLATE AM TELPH. C 3532-4W </t>
  </si>
  <si>
    <t xml:space="preserve">1112                </t>
  </si>
  <si>
    <t xml:space="preserve">WALLPLATE AM COAX C 1172W     </t>
  </si>
  <si>
    <t xml:space="preserve">1113                </t>
  </si>
  <si>
    <t xml:space="preserve">DECO AM PHON/ANTENE 3562W     </t>
  </si>
  <si>
    <t xml:space="preserve">1114                </t>
  </si>
  <si>
    <t>WALLPLATE AM SW (INB)    2134V</t>
  </si>
  <si>
    <t xml:space="preserve">1115                </t>
  </si>
  <si>
    <t xml:space="preserve">WALLPLATE AM ENK SW  951V     </t>
  </si>
  <si>
    <t xml:space="preserve">1116                </t>
  </si>
  <si>
    <t xml:space="preserve">WALLPLATE AM DUB SW   952V    </t>
  </si>
  <si>
    <t xml:space="preserve">1117                </t>
  </si>
  <si>
    <t>WALLPLATE AM TRI SW       953V</t>
  </si>
  <si>
    <t xml:space="preserve">1118                </t>
  </si>
  <si>
    <t xml:space="preserve">WALLPLATE AM BLD        2129V </t>
  </si>
  <si>
    <t xml:space="preserve">1119                </t>
  </si>
  <si>
    <t xml:space="preserve">WALLPLATE AM BLD 2G     2037V </t>
  </si>
  <si>
    <t xml:space="preserve">1120                </t>
  </si>
  <si>
    <t xml:space="preserve">WALLPLATE AM ENK RP 2131V     </t>
  </si>
  <si>
    <t xml:space="preserve">1121                </t>
  </si>
  <si>
    <t xml:space="preserve">WALLPLATE AM DUB RP 2132V     </t>
  </si>
  <si>
    <t xml:space="preserve">1122                </t>
  </si>
  <si>
    <t xml:space="preserve">WALLPLATE AM D RP 2-V  2150V  </t>
  </si>
  <si>
    <t xml:space="preserve">1123                </t>
  </si>
  <si>
    <t>WALLPLATE AM DECO        2151V</t>
  </si>
  <si>
    <t xml:space="preserve">1126                </t>
  </si>
  <si>
    <t>WALLPLATE AM DUB WD S1962 W-SP</t>
  </si>
  <si>
    <t xml:space="preserve">1127                </t>
  </si>
  <si>
    <t>WALLPLATE AM DUB WD S2966 W-SP</t>
  </si>
  <si>
    <t xml:space="preserve">1128                </t>
  </si>
  <si>
    <t>WALLPLATE AM DUB WD S2962 W-SP</t>
  </si>
  <si>
    <t xml:space="preserve">1129                </t>
  </si>
  <si>
    <t xml:space="preserve">WALLPLATE AM ENK WD   S1961W  </t>
  </si>
  <si>
    <t xml:space="preserve">1130                </t>
  </si>
  <si>
    <t xml:space="preserve">WALLPLATE AM ENK WD   S1961   </t>
  </si>
  <si>
    <t xml:space="preserve">1131                </t>
  </si>
  <si>
    <t xml:space="preserve">WALLPLATE AM DUB WD  S1962    </t>
  </si>
  <si>
    <t xml:space="preserve">1132                </t>
  </si>
  <si>
    <t>WALLPLATE AM DUB WD S2962 GRAY</t>
  </si>
  <si>
    <t xml:space="preserve">1133                </t>
  </si>
  <si>
    <t>WALLPLATE AM DEC WD S2966 GRAY</t>
  </si>
  <si>
    <t xml:space="preserve">1134                </t>
  </si>
  <si>
    <t>WALLPLATE AM BLD WD       1987</t>
  </si>
  <si>
    <t xml:space="preserve">1135                </t>
  </si>
  <si>
    <t xml:space="preserve">WALLPLATE OPEN 5/8            </t>
  </si>
  <si>
    <t xml:space="preserve">1136                </t>
  </si>
  <si>
    <t xml:space="preserve">STEKKER 20A 125V  2363        </t>
  </si>
  <si>
    <t xml:space="preserve">1137                </t>
  </si>
  <si>
    <t xml:space="preserve">CONTRA STEKKER 2353           </t>
  </si>
  <si>
    <t xml:space="preserve">1138                </t>
  </si>
  <si>
    <t xml:space="preserve">STEKKER 20A 125/250V 2465     </t>
  </si>
  <si>
    <t xml:space="preserve">1139                </t>
  </si>
  <si>
    <t>CONT STEKKER 20A 125/250V 2455</t>
  </si>
  <si>
    <t xml:space="preserve">1140                </t>
  </si>
  <si>
    <t xml:space="preserve">STEKKER AM             1912W  </t>
  </si>
  <si>
    <t xml:space="preserve">1141                </t>
  </si>
  <si>
    <t>STEKKER AM                183W</t>
  </si>
  <si>
    <t xml:space="preserve">1142                </t>
  </si>
  <si>
    <t>STEK RUB P/A 127V         1709</t>
  </si>
  <si>
    <t xml:space="preserve">1143                </t>
  </si>
  <si>
    <t xml:space="preserve">STEK RUB P/A  15A 220V  4866  </t>
  </si>
  <si>
    <t xml:space="preserve">1144                </t>
  </si>
  <si>
    <t xml:space="preserve">STEKKER 1723                  </t>
  </si>
  <si>
    <t xml:space="preserve">1145                </t>
  </si>
  <si>
    <t xml:space="preserve">CONTRA STEKKER AM     86W     </t>
  </si>
  <si>
    <t xml:space="preserve">1146                </t>
  </si>
  <si>
    <t>CONT STEKKER RUB P/A 127V  222</t>
  </si>
  <si>
    <t xml:space="preserve">1147                </t>
  </si>
  <si>
    <t>CONT STEKKER RUB P/A 220V 4227</t>
  </si>
  <si>
    <t xml:space="preserve">1148                </t>
  </si>
  <si>
    <t xml:space="preserve">INB.DOOS PLASTIC 2x4"GEEL     </t>
  </si>
  <si>
    <t xml:space="preserve">11480               </t>
  </si>
  <si>
    <t xml:space="preserve">INB.DOOS PLASTIC 2x4" WIT     </t>
  </si>
  <si>
    <t xml:space="preserve">11481               </t>
  </si>
  <si>
    <t xml:space="preserve">INB.DOOS PLASTIC 4x4 WIT      </t>
  </si>
  <si>
    <t xml:space="preserve">11482               </t>
  </si>
  <si>
    <t xml:space="preserve">DEKSEL DOOS PLASTIC 4x4 WIT   </t>
  </si>
  <si>
    <t xml:space="preserve">1149                </t>
  </si>
  <si>
    <t xml:space="preserve">INB.DOOS PLASTIC 4x4"-CARLON  </t>
  </si>
  <si>
    <t xml:space="preserve">11491               </t>
  </si>
  <si>
    <t>Cover INB.D PLAST 4X4  1G A410</t>
  </si>
  <si>
    <t xml:space="preserve">11492               </t>
  </si>
  <si>
    <t xml:space="preserve">DEKSEL INB.D PLASTIC 4X4" DUB </t>
  </si>
  <si>
    <t xml:space="preserve">1150                </t>
  </si>
  <si>
    <t xml:space="preserve">INB DOOS AM 2x4"              </t>
  </si>
  <si>
    <t xml:space="preserve">1151                </t>
  </si>
  <si>
    <t xml:space="preserve">INB DOOS AM 4x4"              </t>
  </si>
  <si>
    <t xml:space="preserve">1152                </t>
  </si>
  <si>
    <t xml:space="preserve">DEKSEL INB DOOS AM 4x4" 4150  </t>
  </si>
  <si>
    <t xml:space="preserve">1153                </t>
  </si>
  <si>
    <t>DEKSEL INB DOOS AM 4x4" 2-VOUD</t>
  </si>
  <si>
    <t xml:space="preserve">1154                </t>
  </si>
  <si>
    <t xml:space="preserve">INB D CARLON 2X4 PLASTIC      </t>
  </si>
  <si>
    <t xml:space="preserve">11541               </t>
  </si>
  <si>
    <t xml:space="preserve">INB D CARLON GIPS 2X4 PLASTIC </t>
  </si>
  <si>
    <t xml:space="preserve">1155                </t>
  </si>
  <si>
    <t>ALUMINIUM BOX             1113</t>
  </si>
  <si>
    <t xml:space="preserve">1156                </t>
  </si>
  <si>
    <t>ALUMINIUM BOX             1114</t>
  </si>
  <si>
    <t xml:space="preserve">1157                </t>
  </si>
  <si>
    <t xml:space="preserve">3 GANG BOX METAAL MSB-3       </t>
  </si>
  <si>
    <t xml:space="preserve">1158                </t>
  </si>
  <si>
    <t xml:space="preserve">4 GANG BOX METAAL MSB-4       </t>
  </si>
  <si>
    <t xml:space="preserve">1159                </t>
  </si>
  <si>
    <t xml:space="preserve">5 GANG BOX METAAL MSB-5       </t>
  </si>
  <si>
    <t xml:space="preserve">1160                </t>
  </si>
  <si>
    <t xml:space="preserve">PHOTOCEL 127 VOLT A-105W      </t>
  </si>
  <si>
    <t xml:space="preserve">1161                </t>
  </si>
  <si>
    <t xml:space="preserve">PHOTOCEL 220 VOLT A-1068W     </t>
  </si>
  <si>
    <t xml:space="preserve">1194                </t>
  </si>
  <si>
    <t xml:space="preserve">SCHAK SERIE KOPP WD           </t>
  </si>
  <si>
    <t xml:space="preserve">1195                </t>
  </si>
  <si>
    <t>BERKER DUBB SCHUKO IP44 427505</t>
  </si>
  <si>
    <t xml:space="preserve">1196                </t>
  </si>
  <si>
    <t xml:space="preserve">WCD EUR ENK R/A OPB WD KOPP   </t>
  </si>
  <si>
    <t xml:space="preserve">1197                </t>
  </si>
  <si>
    <t xml:space="preserve">SCHAK EUR WIS OPB KOPP        </t>
  </si>
  <si>
    <t xml:space="preserve">1198                </t>
  </si>
  <si>
    <t xml:space="preserve">SCHAK EUR ENK OPB KOPP        </t>
  </si>
  <si>
    <t xml:space="preserve">119801              </t>
  </si>
  <si>
    <t xml:space="preserve">BERKER COMB SCH/SCHUKO 437605 </t>
  </si>
  <si>
    <t xml:space="preserve">1199                </t>
  </si>
  <si>
    <t xml:space="preserve">BERKER SERIE OPB 307805 IP44  </t>
  </si>
  <si>
    <t xml:space="preserve">1200                </t>
  </si>
  <si>
    <t>BERKER JALOEZIE-SLEUTEL 327205</t>
  </si>
  <si>
    <t xml:space="preserve">1201                </t>
  </si>
  <si>
    <t xml:space="preserve">BERKER WIS OPB 67307905 IP44  </t>
  </si>
  <si>
    <t xml:space="preserve">1202                </t>
  </si>
  <si>
    <t xml:space="preserve">BERKER SERIE OPB 61300849     </t>
  </si>
  <si>
    <t xml:space="preserve">1203                </t>
  </si>
  <si>
    <t xml:space="preserve">SCHAK EUR WIS TREK OPB        </t>
  </si>
  <si>
    <t xml:space="preserve">1204                </t>
  </si>
  <si>
    <t xml:space="preserve">SCHAK EUR DUB POL  OPB NIKO   </t>
  </si>
  <si>
    <t xml:space="preserve">12041               </t>
  </si>
  <si>
    <t xml:space="preserve">SCHAK EUR ENK INB             </t>
  </si>
  <si>
    <t xml:space="preserve">1205                </t>
  </si>
  <si>
    <t xml:space="preserve">SCHAK EUR WIS      INB        </t>
  </si>
  <si>
    <t xml:space="preserve">12051               </t>
  </si>
  <si>
    <t xml:space="preserve">SCHAK EUR DUB POL  INB        </t>
  </si>
  <si>
    <t xml:space="preserve">1206                </t>
  </si>
  <si>
    <t xml:space="preserve">SCHAK EUR SERIE    INB        </t>
  </si>
  <si>
    <t xml:space="preserve">1207                </t>
  </si>
  <si>
    <t xml:space="preserve">SCHAK EUR KRUIS    INB        </t>
  </si>
  <si>
    <t xml:space="preserve">1208                </t>
  </si>
  <si>
    <t xml:space="preserve">WIP SCHAK WISSEL   INB        </t>
  </si>
  <si>
    <t xml:space="preserve">1209                </t>
  </si>
  <si>
    <t xml:space="preserve">WIP SCHAK SERIE    INB        </t>
  </si>
  <si>
    <t xml:space="preserve">12091               </t>
  </si>
  <si>
    <t xml:space="preserve">SCHIJFJE + TOETS INB ENKEL    </t>
  </si>
  <si>
    <t xml:space="preserve">1210                </t>
  </si>
  <si>
    <t xml:space="preserve">SCHAK EUR ENK POL  OPB WD     </t>
  </si>
  <si>
    <t xml:space="preserve">1211                </t>
  </si>
  <si>
    <t xml:space="preserve">SCHAK EUR DUB POL  OPB WD     </t>
  </si>
  <si>
    <t xml:space="preserve">1212                </t>
  </si>
  <si>
    <t xml:space="preserve">SCHAK EUR WIS      OPB WD     </t>
  </si>
  <si>
    <t xml:space="preserve">1213                </t>
  </si>
  <si>
    <t xml:space="preserve">SCHAK EUR WIS TREK OPB WD     </t>
  </si>
  <si>
    <t xml:space="preserve">1214                </t>
  </si>
  <si>
    <t xml:space="preserve">SCHAK EUR SERIE OPB WD        </t>
  </si>
  <si>
    <t xml:space="preserve">1215                </t>
  </si>
  <si>
    <t xml:space="preserve">WERKSCH ABB 25A 3POL          </t>
  </si>
  <si>
    <t xml:space="preserve">1216                </t>
  </si>
  <si>
    <t xml:space="preserve">TREKKOORTJE  1,9 mtr          </t>
  </si>
  <si>
    <t xml:space="preserve">1217                </t>
  </si>
  <si>
    <t xml:space="preserve">TIMER 110V/50Hz WHITE         </t>
  </si>
  <si>
    <t xml:space="preserve">1218                </t>
  </si>
  <si>
    <t xml:space="preserve">TIMER 250V/50Hz WHITE         </t>
  </si>
  <si>
    <t xml:space="preserve">1220                </t>
  </si>
  <si>
    <t xml:space="preserve">WCD EUR ENK        OPB        </t>
  </si>
  <si>
    <t xml:space="preserve">1221                </t>
  </si>
  <si>
    <t xml:space="preserve">WCD EUR DUB        OPB        </t>
  </si>
  <si>
    <t xml:space="preserve">1222                </t>
  </si>
  <si>
    <t xml:space="preserve">WCD EUR ENK  R/A OPB NIKO     </t>
  </si>
  <si>
    <t xml:space="preserve">1223                </t>
  </si>
  <si>
    <t xml:space="preserve">KOPP WCD EUR DUB R/AOPB 74108 </t>
  </si>
  <si>
    <t xml:space="preserve">1224                </t>
  </si>
  <si>
    <t xml:space="preserve">WCD EUR ENK R/A OPB WD NIKO   </t>
  </si>
  <si>
    <t xml:space="preserve">1225                </t>
  </si>
  <si>
    <t xml:space="preserve">WCD EUR DUB R/A OPB WD NIKO   </t>
  </si>
  <si>
    <t xml:space="preserve">1226                </t>
  </si>
  <si>
    <t xml:space="preserve">WCD EUR ENK  R/A INB+AFDPL    </t>
  </si>
  <si>
    <t xml:space="preserve">1227                </t>
  </si>
  <si>
    <t xml:space="preserve">EUR CONVERTER PLUG  125V      </t>
  </si>
  <si>
    <t xml:space="preserve">1228                </t>
  </si>
  <si>
    <t xml:space="preserve">EUR CONVERTER PLUG  250V      </t>
  </si>
  <si>
    <t xml:space="preserve">1229                </t>
  </si>
  <si>
    <t xml:space="preserve">AFDEKPLAAT EUR ENK            </t>
  </si>
  <si>
    <t xml:space="preserve">12290               </t>
  </si>
  <si>
    <t xml:space="preserve">WCD EUR INB DUB +AFDPL        </t>
  </si>
  <si>
    <t xml:space="preserve">12291               </t>
  </si>
  <si>
    <t xml:space="preserve">AFDEKPLAAT EUR DUBBEL         </t>
  </si>
  <si>
    <t xml:space="preserve">12294               </t>
  </si>
  <si>
    <t xml:space="preserve">32-668 PR20W WK RAND          </t>
  </si>
  <si>
    <t xml:space="preserve">12299               </t>
  </si>
  <si>
    <t xml:space="preserve">32-761 PR20W AFDPL ENKELV     </t>
  </si>
  <si>
    <t xml:space="preserve">1230                </t>
  </si>
  <si>
    <t xml:space="preserve">STEKKER WIT                   </t>
  </si>
  <si>
    <t xml:space="preserve">12300               </t>
  </si>
  <si>
    <t xml:space="preserve">32-760-05 PR20W AFDPL VIJFV   </t>
  </si>
  <si>
    <t xml:space="preserve">12308               </t>
  </si>
  <si>
    <t xml:space="preserve">07-092 INBOUWRAAM DATA/AUDIO  </t>
  </si>
  <si>
    <t xml:space="preserve">1231                </t>
  </si>
  <si>
    <t xml:space="preserve">STEKKER WIT R/A HSS16W        </t>
  </si>
  <si>
    <t xml:space="preserve">1232                </t>
  </si>
  <si>
    <t>STEKKER EUR  R/A ZYINV HSSW16W</t>
  </si>
  <si>
    <t xml:space="preserve">1233                </t>
  </si>
  <si>
    <t xml:space="preserve">CONTRA STEKKER                </t>
  </si>
  <si>
    <t xml:space="preserve">1234                </t>
  </si>
  <si>
    <t xml:space="preserve">CONTRA STEKKER R/A            </t>
  </si>
  <si>
    <t xml:space="preserve">1235                </t>
  </si>
  <si>
    <t xml:space="preserve">ADAPTAR 127V 419W             </t>
  </si>
  <si>
    <t xml:space="preserve">1236                </t>
  </si>
  <si>
    <t>CONTRA STEK R/A RUBBER HSKP16G</t>
  </si>
  <si>
    <t xml:space="preserve">1237                </t>
  </si>
  <si>
    <t xml:space="preserve">VERLOOP STEKKER PEN PL 695    </t>
  </si>
  <si>
    <t xml:space="preserve">1238                </t>
  </si>
  <si>
    <t xml:space="preserve">STEKKER WIT vinckier          </t>
  </si>
  <si>
    <t xml:space="preserve">1239                </t>
  </si>
  <si>
    <t xml:space="preserve">TUSSEN SCHAKELAAR 939         </t>
  </si>
  <si>
    <t xml:space="preserve">1240                </t>
  </si>
  <si>
    <t xml:space="preserve">VERLOOP STEKKER PEN RO 104    </t>
  </si>
  <si>
    <t xml:space="preserve">1241                </t>
  </si>
  <si>
    <t xml:space="preserve">VERLOOP STEKKER PEN PL 103    </t>
  </si>
  <si>
    <t xml:space="preserve">1242                </t>
  </si>
  <si>
    <t xml:space="preserve">VERLOOP STEKKER PEN RO 686    </t>
  </si>
  <si>
    <t xml:space="preserve">1243                </t>
  </si>
  <si>
    <t>*******CEE-FORM STEKK 16A-3P+A</t>
  </si>
  <si>
    <t xml:space="preserve">12431               </t>
  </si>
  <si>
    <t>CEE-FORM STEKKER 2P+E16A-02101</t>
  </si>
  <si>
    <t xml:space="preserve">1244                </t>
  </si>
  <si>
    <t>******CEE-FORM STEKK 32A -3P+A</t>
  </si>
  <si>
    <t xml:space="preserve">12441               </t>
  </si>
  <si>
    <t>CEE-FORM STEKKER 3P+E16A-03102</t>
  </si>
  <si>
    <t xml:space="preserve">1245                </t>
  </si>
  <si>
    <t>******CEE-FORM STEKK 63A -3P+A</t>
  </si>
  <si>
    <t xml:space="preserve">12451               </t>
  </si>
  <si>
    <t>CEE-FORM STEK 3P+N+E 16A-03103</t>
  </si>
  <si>
    <t xml:space="preserve">1246                </t>
  </si>
  <si>
    <t xml:space="preserve">CEE-FORM STEK 2P+E 32A-02104  </t>
  </si>
  <si>
    <t xml:space="preserve">1247                </t>
  </si>
  <si>
    <t xml:space="preserve">CEE-FORM STEK 3P+E 32A-03105  </t>
  </si>
  <si>
    <t xml:space="preserve">1248                </t>
  </si>
  <si>
    <t>CEE-FORM STEK 3P+N+E 32A-03106</t>
  </si>
  <si>
    <t xml:space="preserve">1249                </t>
  </si>
  <si>
    <t>CEE-FOR STEK 2P+E16A IP67-2601</t>
  </si>
  <si>
    <t xml:space="preserve">1250                </t>
  </si>
  <si>
    <t>***CEE-FORM STEKK 16A - 3P+N+A</t>
  </si>
  <si>
    <t xml:space="preserve">12501               </t>
  </si>
  <si>
    <t>CEE-FOR STEK3P+E 16A IP67 3602</t>
  </si>
  <si>
    <t xml:space="preserve">1251                </t>
  </si>
  <si>
    <t xml:space="preserve">CEE-FORM STEKK 32A - 3P+N+A   </t>
  </si>
  <si>
    <t xml:space="preserve">12511               </t>
  </si>
  <si>
    <t>CEE-FORM STEK 3P+N+E 16A 03603</t>
  </si>
  <si>
    <t xml:space="preserve">1252                </t>
  </si>
  <si>
    <t>*****CEE-FORM STEKK 63A-3P+N+A</t>
  </si>
  <si>
    <t xml:space="preserve">12521               </t>
  </si>
  <si>
    <t xml:space="preserve">CEE-FORM STEK 2P+E 32A 02604  </t>
  </si>
  <si>
    <t xml:space="preserve">1253                </t>
  </si>
  <si>
    <t xml:space="preserve">CEE-FORM STEKK 125A - 3P+N+A  </t>
  </si>
  <si>
    <t xml:space="preserve">12531               </t>
  </si>
  <si>
    <t xml:space="preserve">CEE-FORM STEK 3P+E 32A 03605  </t>
  </si>
  <si>
    <t xml:space="preserve">12532               </t>
  </si>
  <si>
    <t xml:space="preserve">CEE-FORM STEK 3P+N+E 32A 3606 </t>
  </si>
  <si>
    <t xml:space="preserve">12533               </t>
  </si>
  <si>
    <t xml:space="preserve">CEE-FORM STEK 3P+E 63A  03652 </t>
  </si>
  <si>
    <t xml:space="preserve">12534               </t>
  </si>
  <si>
    <t>CEE-FORM STEK 3P+N+E 63A 03653</t>
  </si>
  <si>
    <t xml:space="preserve">12535               </t>
  </si>
  <si>
    <t xml:space="preserve">CEE-FORM STEK 3P+E 125A 03655 </t>
  </si>
  <si>
    <t xml:space="preserve">12536               </t>
  </si>
  <si>
    <t>CEE-FORM STEK 3P+N+E125A 03656</t>
  </si>
  <si>
    <t xml:space="preserve">1254                </t>
  </si>
  <si>
    <t>*******CEE-FORM WCD 16A-3P+N+A</t>
  </si>
  <si>
    <t xml:space="preserve">12541               </t>
  </si>
  <si>
    <t xml:space="preserve">CEE-FORM -WCD 2P+E 16A-02321  </t>
  </si>
  <si>
    <t xml:space="preserve">1255                </t>
  </si>
  <si>
    <t xml:space="preserve">CEE-FORM WCD   32A - 3P+N+A   </t>
  </si>
  <si>
    <t xml:space="preserve">12551               </t>
  </si>
  <si>
    <t xml:space="preserve">CEE-FORM WCD 3P+E 16A-03322   </t>
  </si>
  <si>
    <t xml:space="preserve">1256                </t>
  </si>
  <si>
    <t>******CEE-FORM WCD 63A -3P+N+A</t>
  </si>
  <si>
    <t xml:space="preserve">12561               </t>
  </si>
  <si>
    <t xml:space="preserve">CEE-FORM WCD 3P+N+E 16A-03323 </t>
  </si>
  <si>
    <t xml:space="preserve">1257                </t>
  </si>
  <si>
    <t xml:space="preserve">CEE-FORM WCD  125A - 3P+N+A   </t>
  </si>
  <si>
    <t xml:space="preserve">12571               </t>
  </si>
  <si>
    <t xml:space="preserve">CEE-FORM WCD 2P+E 32A-02324   </t>
  </si>
  <si>
    <t xml:space="preserve">1258                </t>
  </si>
  <si>
    <t>*******CEE-FORM WCD 16A - 3P+A</t>
  </si>
  <si>
    <t xml:space="preserve">12581               </t>
  </si>
  <si>
    <t xml:space="preserve">CEE-FORM WCD 3P+E 32A-3325    </t>
  </si>
  <si>
    <t xml:space="preserve">1259                </t>
  </si>
  <si>
    <t>*******CEE-FORM WCD 32A - 3P+A</t>
  </si>
  <si>
    <t xml:space="preserve">12591               </t>
  </si>
  <si>
    <t xml:space="preserve">CEE-FORM WCD 3P+N+T 32A-03326 </t>
  </si>
  <si>
    <t xml:space="preserve">1260                </t>
  </si>
  <si>
    <t>*******CEE-FORM WCD 63A - 3P+A</t>
  </si>
  <si>
    <t xml:space="preserve">12601               </t>
  </si>
  <si>
    <t xml:space="preserve">CEE-FORM WCD 2P+E 16A -02821  </t>
  </si>
  <si>
    <t xml:space="preserve">126010              </t>
  </si>
  <si>
    <t>CEE-FORM WCD 3P+N+E 125A 03876</t>
  </si>
  <si>
    <t xml:space="preserve">12602               </t>
  </si>
  <si>
    <t xml:space="preserve">CEE-FORM WCD 3P+E 16A -03822  </t>
  </si>
  <si>
    <t xml:space="preserve">12603               </t>
  </si>
  <si>
    <t xml:space="preserve">CEE-FORM WCD 3P+N+E 16A 03823 </t>
  </si>
  <si>
    <t xml:space="preserve">12604               </t>
  </si>
  <si>
    <t xml:space="preserve">CEE-FORM WCD 2P+E 32A 02824   </t>
  </si>
  <si>
    <t xml:space="preserve">12605               </t>
  </si>
  <si>
    <t xml:space="preserve">CEE-FORM WCD 3P+E 32A -03825  </t>
  </si>
  <si>
    <t xml:space="preserve">12606               </t>
  </si>
  <si>
    <t xml:space="preserve">CEE-FORM WCD 3P+N+E 32A 03826 </t>
  </si>
  <si>
    <t xml:space="preserve">12607               </t>
  </si>
  <si>
    <t xml:space="preserve">CEE-FORM WCD 3P+E 63A 03872   </t>
  </si>
  <si>
    <t xml:space="preserve">12608               </t>
  </si>
  <si>
    <t xml:space="preserve">CEE-FORM WCD 3P+N+E 63A 03873 </t>
  </si>
  <si>
    <t xml:space="preserve">12609               </t>
  </si>
  <si>
    <t xml:space="preserve">CEE-FORM WCD 3P+E 125A 03875  </t>
  </si>
  <si>
    <t xml:space="preserve">1261                </t>
  </si>
  <si>
    <t xml:space="preserve">CEE-FORM CONN 2P+E 16A-02201  </t>
  </si>
  <si>
    <t xml:space="preserve">1262                </t>
  </si>
  <si>
    <t xml:space="preserve">CEE-FORM CONN 3P+E 16A-03202  </t>
  </si>
  <si>
    <t xml:space="preserve">1263                </t>
  </si>
  <si>
    <t>CEE-FORM CONN 3P+N+E 16A-03203</t>
  </si>
  <si>
    <t xml:space="preserve">1264                </t>
  </si>
  <si>
    <t xml:space="preserve">CEE-FORM CONN 2P+E 32A-02204  </t>
  </si>
  <si>
    <t xml:space="preserve">1265                </t>
  </si>
  <si>
    <t>******CEE-FORM CONN 32A -3P +A</t>
  </si>
  <si>
    <t xml:space="preserve">1266                </t>
  </si>
  <si>
    <t xml:space="preserve">*****CEE-FORM CON 32A -3P+N+A </t>
  </si>
  <si>
    <t xml:space="preserve">1267                </t>
  </si>
  <si>
    <t>*****CEE-FORM CONN 63A -3P + A</t>
  </si>
  <si>
    <t xml:space="preserve">1268                </t>
  </si>
  <si>
    <t>*****CEE-FORM CONN 63A -3P+N+A</t>
  </si>
  <si>
    <t xml:space="preserve">1269                </t>
  </si>
  <si>
    <t xml:space="preserve">CEE-FORM CONN 3P+E 32A-03205  </t>
  </si>
  <si>
    <t xml:space="preserve">1270                </t>
  </si>
  <si>
    <t>CEE-FORM CONN 3P+N+T 32A-03206</t>
  </si>
  <si>
    <t xml:space="preserve">1271                </t>
  </si>
  <si>
    <t xml:space="preserve">CEE-FORM CONN 2P+E 16A 02701  </t>
  </si>
  <si>
    <t xml:space="preserve">1272                </t>
  </si>
  <si>
    <t xml:space="preserve">CEE-FORM CONN 3P+E 16A 03702  </t>
  </si>
  <si>
    <t xml:space="preserve">1273                </t>
  </si>
  <si>
    <t>CEE-FORM CONN 3P+N+E 16A 03703</t>
  </si>
  <si>
    <t xml:space="preserve">1274                </t>
  </si>
  <si>
    <t xml:space="preserve">CEE-FORM CONN 2P+E 32A 02704  </t>
  </si>
  <si>
    <t xml:space="preserve">1275                </t>
  </si>
  <si>
    <t xml:space="preserve">CEE-FORM CONN 3P+E 32A 03705  </t>
  </si>
  <si>
    <t xml:space="preserve">1276                </t>
  </si>
  <si>
    <t>CEE-FORM CONN 3P+N+E 32A 03706</t>
  </si>
  <si>
    <t xml:space="preserve">1277                </t>
  </si>
  <si>
    <t xml:space="preserve">CEE-FORM CONN 3P+E 63A 03752  </t>
  </si>
  <si>
    <t xml:space="preserve">1278                </t>
  </si>
  <si>
    <t>CEE-FORM CONN 3P+N+E 63A 03753</t>
  </si>
  <si>
    <t xml:space="preserve">1279                </t>
  </si>
  <si>
    <t xml:space="preserve">CEE-FORM CONN 3P+E 125A 03755 </t>
  </si>
  <si>
    <t xml:space="preserve">1280                </t>
  </si>
  <si>
    <t>CEE-FORM CONN 3P+N+E125A 03756</t>
  </si>
  <si>
    <t xml:space="preserve">1281                </t>
  </si>
  <si>
    <t>CEE-FORM SCH-WCD 2P+E 16A-0236</t>
  </si>
  <si>
    <t xml:space="preserve">1282                </t>
  </si>
  <si>
    <t>CEE-FORM SCH-WCD2P+E 16A 02831</t>
  </si>
  <si>
    <t xml:space="preserve">1283                </t>
  </si>
  <si>
    <t>CEE-FORM SCH-WCD3P+E 16A-03362</t>
  </si>
  <si>
    <t xml:space="preserve">1284                </t>
  </si>
  <si>
    <t>CEE-FORM SCH-WCD 3P+E16A 03832</t>
  </si>
  <si>
    <t xml:space="preserve">1285                </t>
  </si>
  <si>
    <t xml:space="preserve">CEE-FORM WCD 3P+N+E 16A-03363 </t>
  </si>
  <si>
    <t xml:space="preserve">1286                </t>
  </si>
  <si>
    <t xml:space="preserve">CEE-FORM WCD 3P+N+E 16A 03833 </t>
  </si>
  <si>
    <t xml:space="preserve">1287                </t>
  </si>
  <si>
    <t xml:space="preserve">CEE-FORM WCD 2P+E 32A -02364  </t>
  </si>
  <si>
    <t xml:space="preserve">1288                </t>
  </si>
  <si>
    <t xml:space="preserve">CEE-FORM WCD 2P+E 32A 02834   </t>
  </si>
  <si>
    <t xml:space="preserve">1289                </t>
  </si>
  <si>
    <t xml:space="preserve">CEE-FORM WCD 3P+E 32A 03365   </t>
  </si>
  <si>
    <t xml:space="preserve">1290                </t>
  </si>
  <si>
    <t xml:space="preserve">CEE-FORM WCD 3P+E 32A 03835   </t>
  </si>
  <si>
    <t xml:space="preserve">1291                </t>
  </si>
  <si>
    <t xml:space="preserve">CEE-FORM WCD 3P+N+E 32A-03366 </t>
  </si>
  <si>
    <t xml:space="preserve">1292                </t>
  </si>
  <si>
    <t xml:space="preserve">CEE-FORM WCD 3P+N+E 32A-03836 </t>
  </si>
  <si>
    <t xml:space="preserve">1293                </t>
  </si>
  <si>
    <t xml:space="preserve">CEE-FORM WCD 3P+E 63A-03882   </t>
  </si>
  <si>
    <t xml:space="preserve">1294                </t>
  </si>
  <si>
    <t xml:space="preserve">CEE-FORM WCD 3P+N+E 63A 03883 </t>
  </si>
  <si>
    <t xml:space="preserve">1298                </t>
  </si>
  <si>
    <t xml:space="preserve">UNIMAX KLEM 16/4-16 mm        </t>
  </si>
  <si>
    <t xml:space="preserve">1299                </t>
  </si>
  <si>
    <t xml:space="preserve">UNIMAX KLEM 35/4-35 mm        </t>
  </si>
  <si>
    <t xml:space="preserve">1300                </t>
  </si>
  <si>
    <t xml:space="preserve">UNIMAX KLEM 25/4-25 mm        </t>
  </si>
  <si>
    <t xml:space="preserve">1301                </t>
  </si>
  <si>
    <t xml:space="preserve">UNIMAX KLEM 50/10-50 mm       </t>
  </si>
  <si>
    <t xml:space="preserve">1302                </t>
  </si>
  <si>
    <t xml:space="preserve">BADKAMER RAIL 6x6+1x25 mm     </t>
  </si>
  <si>
    <t xml:space="preserve">1303                </t>
  </si>
  <si>
    <t xml:space="preserve">BADKAMER RAIL 5x6+1x25 mm     </t>
  </si>
  <si>
    <t xml:space="preserve">1304                </t>
  </si>
  <si>
    <t xml:space="preserve">AARDRAIL VERN 12 X 3 MM       </t>
  </si>
  <si>
    <t xml:space="preserve">1305                </t>
  </si>
  <si>
    <t xml:space="preserve">AARDRAIL VERN 15 X 4 MM       </t>
  </si>
  <si>
    <t xml:space="preserve">1306                </t>
  </si>
  <si>
    <t xml:space="preserve">AARDRAIL VERN 20 X 5 MM       </t>
  </si>
  <si>
    <t xml:space="preserve">1307                </t>
  </si>
  <si>
    <t xml:space="preserve">AARDRAIL 63AMP BLANK KOPER    </t>
  </si>
  <si>
    <t xml:space="preserve">1309                </t>
  </si>
  <si>
    <t xml:space="preserve">AARDKLEM 1/8"                 </t>
  </si>
  <si>
    <t xml:space="preserve">1310                </t>
  </si>
  <si>
    <t xml:space="preserve">AARDKLEM 1/4"                 </t>
  </si>
  <si>
    <t xml:space="preserve">1311                </t>
  </si>
  <si>
    <t xml:space="preserve">AARDKLEM 3/8"                 </t>
  </si>
  <si>
    <t xml:space="preserve">1312                </t>
  </si>
  <si>
    <t xml:space="preserve">AARDKLEM 1/2"                 </t>
  </si>
  <si>
    <t xml:space="preserve">1313                </t>
  </si>
  <si>
    <t xml:space="preserve">AARDKLEM 3/4"                 </t>
  </si>
  <si>
    <t xml:space="preserve">1314                </t>
  </si>
  <si>
    <t xml:space="preserve">AARDKLEM  1 "                 </t>
  </si>
  <si>
    <t xml:space="preserve">1315                </t>
  </si>
  <si>
    <t xml:space="preserve">VERBINDING RAIL 1x6+1x25 mm   </t>
  </si>
  <si>
    <t xml:space="preserve">1316                </t>
  </si>
  <si>
    <t xml:space="preserve">VERBINDING RAIL 2x6+1x25 mm   </t>
  </si>
  <si>
    <t xml:space="preserve">1317                </t>
  </si>
  <si>
    <t xml:space="preserve">MUURBLOK 50 MM2               </t>
  </si>
  <si>
    <t xml:space="preserve">1320                </t>
  </si>
  <si>
    <t xml:space="preserve">AARDDRAAD BC  6 mm2           </t>
  </si>
  <si>
    <t xml:space="preserve">1321                </t>
  </si>
  <si>
    <t xml:space="preserve">AARDDRAAD BC 10 mm2           </t>
  </si>
  <si>
    <t xml:space="preserve">1322                </t>
  </si>
  <si>
    <t xml:space="preserve">AARDDRAAD BC 16 mm2           </t>
  </si>
  <si>
    <t xml:space="preserve">1323                </t>
  </si>
  <si>
    <t xml:space="preserve">AARDDRAAD BC 25 mm2           </t>
  </si>
  <si>
    <t xml:space="preserve">1325                </t>
  </si>
  <si>
    <t xml:space="preserve">AARDDRAAD BC 50 mm2           </t>
  </si>
  <si>
    <t xml:space="preserve">1327                </t>
  </si>
  <si>
    <t xml:space="preserve">MOERKLEM APC 10/6             </t>
  </si>
  <si>
    <t xml:space="preserve">1328                </t>
  </si>
  <si>
    <t xml:space="preserve">MOERKLEM APC 16/16            </t>
  </si>
  <si>
    <t xml:space="preserve">1329                </t>
  </si>
  <si>
    <t xml:space="preserve">MOERKLEM APC 25/25            </t>
  </si>
  <si>
    <t xml:space="preserve">1330                </t>
  </si>
  <si>
    <t xml:space="preserve">MOERKLEM APC 35/35            </t>
  </si>
  <si>
    <t xml:space="preserve">1331                </t>
  </si>
  <si>
    <t xml:space="preserve">MOERKLEM APC 50/50            </t>
  </si>
  <si>
    <t xml:space="preserve">1332                </t>
  </si>
  <si>
    <t xml:space="preserve">MOERKLEM APC 70/70            </t>
  </si>
  <si>
    <t xml:space="preserve">1333                </t>
  </si>
  <si>
    <t xml:space="preserve">MOERKLEM APC 50/70            </t>
  </si>
  <si>
    <t xml:space="preserve">1335                </t>
  </si>
  <si>
    <t xml:space="preserve">KOPPELING LEH-34              </t>
  </si>
  <si>
    <t xml:space="preserve">1336                </t>
  </si>
  <si>
    <t xml:space="preserve">AARDKLEM 3/4 Brass            </t>
  </si>
  <si>
    <t xml:space="preserve">1337                </t>
  </si>
  <si>
    <t xml:space="preserve">AARDELEKTRODE - 19mm 1.5 mtr  </t>
  </si>
  <si>
    <t xml:space="preserve">1338                </t>
  </si>
  <si>
    <t xml:space="preserve">AARDELEKTRODE IHP - 19mm 1MTR </t>
  </si>
  <si>
    <t xml:space="preserve">1350                </t>
  </si>
  <si>
    <t xml:space="preserve">HOUTSCHR IJZ 3.5x20 (3/4x6)   </t>
  </si>
  <si>
    <t xml:space="preserve">1351                </t>
  </si>
  <si>
    <t xml:space="preserve">HOUTSCHR IJZ 3.5x25 (1x6)     </t>
  </si>
  <si>
    <t xml:space="preserve">1352                </t>
  </si>
  <si>
    <t xml:space="preserve">HOUTSCHR IJZ 4.0x20 (3/4x8)   </t>
  </si>
  <si>
    <t xml:space="preserve">1353                </t>
  </si>
  <si>
    <t xml:space="preserve">HOUTSCHR IJZ 4.0x25 (1x8)     </t>
  </si>
  <si>
    <t xml:space="preserve">1354                </t>
  </si>
  <si>
    <t xml:space="preserve">HOUTSCHR IJZ 4.0x40 (1 1/2x8) </t>
  </si>
  <si>
    <t xml:space="preserve">1355                </t>
  </si>
  <si>
    <t xml:space="preserve">HOUTSCHR IJZ 5.0x25 (1x10)    </t>
  </si>
  <si>
    <t xml:space="preserve">1356                </t>
  </si>
  <si>
    <t xml:space="preserve">HOUTSCHR IJZ 4.5x40           </t>
  </si>
  <si>
    <t xml:space="preserve">1357                </t>
  </si>
  <si>
    <t xml:space="preserve">HOUTSCHR IJZ 5.0x60           </t>
  </si>
  <si>
    <t xml:space="preserve">1359                </t>
  </si>
  <si>
    <t>SPAANPLAAT SCHR.3.5x20 (3/4x6)</t>
  </si>
  <si>
    <t xml:space="preserve">1360                </t>
  </si>
  <si>
    <t xml:space="preserve">SPAANPLAAT SCHR.3.5x25 (1x6)  </t>
  </si>
  <si>
    <t xml:space="preserve">1361                </t>
  </si>
  <si>
    <t>SPAANPLAAT SCHR.4.0x20 (3/4x8)</t>
  </si>
  <si>
    <t xml:space="preserve">1362                </t>
  </si>
  <si>
    <t xml:space="preserve">SPAANPLAAT SCHR.3.9x25 (1x8)  </t>
  </si>
  <si>
    <t xml:space="preserve">1363                </t>
  </si>
  <si>
    <t>SPAANPLAAT SCHR.4.0x35(11/4x8)</t>
  </si>
  <si>
    <t xml:space="preserve">1364                </t>
  </si>
  <si>
    <t xml:space="preserve">SPAANPLAAT SCHR.4.0x40        </t>
  </si>
  <si>
    <t xml:space="preserve">1365                </t>
  </si>
  <si>
    <t xml:space="preserve">SPAANPLAAT SCHR.3.5x45        </t>
  </si>
  <si>
    <t xml:space="preserve">1370                </t>
  </si>
  <si>
    <t xml:space="preserve">RAWPLUGS S5                   </t>
  </si>
  <si>
    <t xml:space="preserve">1371                </t>
  </si>
  <si>
    <t xml:space="preserve">RAWPLUGS S6                   </t>
  </si>
  <si>
    <t xml:space="preserve">1372                </t>
  </si>
  <si>
    <t xml:space="preserve">RAWPLUGS S8                   </t>
  </si>
  <si>
    <t xml:space="preserve">1375                </t>
  </si>
  <si>
    <t xml:space="preserve">RAWPLUGS  WIT   (5x25mm-1")   </t>
  </si>
  <si>
    <t xml:space="preserve">1376                </t>
  </si>
  <si>
    <t xml:space="preserve">RAWPLUGS ROOD (6X25mm-1")     </t>
  </si>
  <si>
    <t xml:space="preserve">1377                </t>
  </si>
  <si>
    <t>RAW PLUGS GROEN (7x35mm-1.1/2)</t>
  </si>
  <si>
    <t xml:space="preserve">1378                </t>
  </si>
  <si>
    <t>RAWPLUGS  BLAUW (8x35mm-1.1/2)</t>
  </si>
  <si>
    <t xml:space="preserve">1399                </t>
  </si>
  <si>
    <t>BERKER WIPSCHA 2X/WIS 61303808</t>
  </si>
  <si>
    <t xml:space="preserve">1400                </t>
  </si>
  <si>
    <t xml:space="preserve">BERKER WCD 127V  41668989 S.1 </t>
  </si>
  <si>
    <t xml:space="preserve">1401                </t>
  </si>
  <si>
    <t>BERKER WCD 220V 6147438989 S.1</t>
  </si>
  <si>
    <t xml:space="preserve">1402                </t>
  </si>
  <si>
    <t>BERKER WCD  220V INB WD 471509</t>
  </si>
  <si>
    <t xml:space="preserve">1403                </t>
  </si>
  <si>
    <t xml:space="preserve">BERKER WCD 127V  INB  WD 4202 </t>
  </si>
  <si>
    <t xml:space="preserve">1404                </t>
  </si>
  <si>
    <t>BERKER WIPPENSCHAK 3x1P 633023</t>
  </si>
  <si>
    <t xml:space="preserve">1405                </t>
  </si>
  <si>
    <t>BERKER WIPSCHA UIT/WISS 613036</t>
  </si>
  <si>
    <t xml:space="preserve">1406                </t>
  </si>
  <si>
    <t xml:space="preserve">BERKER WIPSCHAK SERIE 613035  </t>
  </si>
  <si>
    <t xml:space="preserve">1407                </t>
  </si>
  <si>
    <t xml:space="preserve">BERKER WIPSCHAK  2P 613032    </t>
  </si>
  <si>
    <t xml:space="preserve">1408                </t>
  </si>
  <si>
    <t xml:space="preserve">BERKER WIPSCHAK  KRUIS 613037 </t>
  </si>
  <si>
    <t xml:space="preserve">1409                </t>
  </si>
  <si>
    <t>BERKER UNIV DRAAI DIMM  286110</t>
  </si>
  <si>
    <t xml:space="preserve">1410                </t>
  </si>
  <si>
    <t xml:space="preserve">DRAAI DIMM DRUK/UIT 283010    </t>
  </si>
  <si>
    <t xml:space="preserve">1411                </t>
  </si>
  <si>
    <t xml:space="preserve">BERKER AFDEKRAAM 1V  10118989 </t>
  </si>
  <si>
    <t xml:space="preserve">1412                </t>
  </si>
  <si>
    <t>BERKER AFDEKRAAM  2V  10128989</t>
  </si>
  <si>
    <t xml:space="preserve">1413                </t>
  </si>
  <si>
    <t>BERKER AFDEKRAAM  3V  10138989</t>
  </si>
  <si>
    <t xml:space="preserve">1414                </t>
  </si>
  <si>
    <t>BERKER AFDEKRAAM  4V  10148989</t>
  </si>
  <si>
    <t xml:space="preserve">1415                </t>
  </si>
  <si>
    <t>BERKER AFDEKRAAM  5V  10158989</t>
  </si>
  <si>
    <t xml:space="preserve">1416                </t>
  </si>
  <si>
    <t xml:space="preserve">BERKER AFDEKPL SCHAK 16208989 </t>
  </si>
  <si>
    <t xml:space="preserve">1417                </t>
  </si>
  <si>
    <t>BERKER AFDEKPL SCH 2P 16228989</t>
  </si>
  <si>
    <t xml:space="preserve">1418                </t>
  </si>
  <si>
    <t xml:space="preserve">BERKER AFDEKPL SERIE 16238989 </t>
  </si>
  <si>
    <t xml:space="preserve">14180               </t>
  </si>
  <si>
    <t>BERKER AFDPL SCHAK 3P 16658989</t>
  </si>
  <si>
    <t xml:space="preserve">14181               </t>
  </si>
  <si>
    <t>BERKER AFDPL SCHAK2xW 16238989</t>
  </si>
  <si>
    <t xml:space="preserve">1419                </t>
  </si>
  <si>
    <t>BERKER KNOP DRAAIDIMM 11378989</t>
  </si>
  <si>
    <t xml:space="preserve">1420                </t>
  </si>
  <si>
    <t xml:space="preserve">BERKER AFDEKRAAM 1V WD 132809 </t>
  </si>
  <si>
    <t xml:space="preserve">1421                </t>
  </si>
  <si>
    <t>BERKER AFDEKRAAM  2V WD 132909</t>
  </si>
  <si>
    <t xml:space="preserve">1423                </t>
  </si>
  <si>
    <t xml:space="preserve">BERKER BLINDPL+CENTR 10098989 </t>
  </si>
  <si>
    <t xml:space="preserve">1425                </t>
  </si>
  <si>
    <t>BERKER TOERENTAL  REGEL 296801</t>
  </si>
  <si>
    <t xml:space="preserve">1426                </t>
  </si>
  <si>
    <t xml:space="preserve">BERKER KNOP TOER-REG 11378929 </t>
  </si>
  <si>
    <t xml:space="preserve">1427                </t>
  </si>
  <si>
    <t>BERKER CENTR-STK DATA 11818989</t>
  </si>
  <si>
    <t xml:space="preserve">1428                </t>
  </si>
  <si>
    <t>BERKER DRAAGPL 2-V DATA 454105</t>
  </si>
  <si>
    <t xml:space="preserve">1429                </t>
  </si>
  <si>
    <t xml:space="preserve">BERKER-UNI DRAAI DIMM 286210  </t>
  </si>
  <si>
    <t xml:space="preserve">1430                </t>
  </si>
  <si>
    <t>BERKER AFDICHTFLENS  V WD 1884</t>
  </si>
  <si>
    <t xml:space="preserve">1440                </t>
  </si>
  <si>
    <t xml:space="preserve">BERKER AFDEKR 1V ALU 10113904 </t>
  </si>
  <si>
    <t xml:space="preserve">1441                </t>
  </si>
  <si>
    <t xml:space="preserve">BERKER AFDR 2V ALU 10123904   </t>
  </si>
  <si>
    <t xml:space="preserve">1443                </t>
  </si>
  <si>
    <t xml:space="preserve">BERKER AFDR 4V ALU 10143904   </t>
  </si>
  <si>
    <t xml:space="preserve">1470                </t>
  </si>
  <si>
    <t>BERKER WCD 220V OPB ENK 470049</t>
  </si>
  <si>
    <t xml:space="preserve">1471                </t>
  </si>
  <si>
    <t>BERKER WCD 220V OPB DUB 472149</t>
  </si>
  <si>
    <t xml:space="preserve">1472                </t>
  </si>
  <si>
    <t>BERKER SCHAK WIS OPB  61300649</t>
  </si>
  <si>
    <t xml:space="preserve">1473                </t>
  </si>
  <si>
    <t xml:space="preserve">BERKER SCHAK 2P OPB  61300249 </t>
  </si>
  <si>
    <t xml:space="preserve">1474                </t>
  </si>
  <si>
    <t>BERKER TREK SCHAK OPB 61390649</t>
  </si>
  <si>
    <t xml:space="preserve">1475                </t>
  </si>
  <si>
    <t>BERKER WCD OPB  220V  WD424005</t>
  </si>
  <si>
    <t xml:space="preserve">1476                </t>
  </si>
  <si>
    <t xml:space="preserve">BERKER SCHUKO-DUBB 6147308989 </t>
  </si>
  <si>
    <t xml:space="preserve">1477                </t>
  </si>
  <si>
    <t>BERKER SCHUKO KLAPDEK 47518989</t>
  </si>
  <si>
    <t xml:space="preserve">1478                </t>
  </si>
  <si>
    <t xml:space="preserve">BERKER SCHUKO-DUBB 6147548989 </t>
  </si>
  <si>
    <t xml:space="preserve">1480                </t>
  </si>
  <si>
    <t xml:space="preserve">1481                </t>
  </si>
  <si>
    <t xml:space="preserve">JALOEZIE SLEUTELSCHAK 327205  </t>
  </si>
  <si>
    <t xml:space="preserve">1496                </t>
  </si>
  <si>
    <t xml:space="preserve">OPBOUW KAST 2 MOD 610090      </t>
  </si>
  <si>
    <t xml:space="preserve">1497                </t>
  </si>
  <si>
    <t xml:space="preserve">OPBOUW KAST 4 MOD 610091      </t>
  </si>
  <si>
    <t xml:space="preserve">1498                </t>
  </si>
  <si>
    <t>BERKER USB OPL CONTDOOS 260209</t>
  </si>
  <si>
    <t xml:space="preserve">1499                </t>
  </si>
  <si>
    <t xml:space="preserve">BERKER CENTR DUBB RJ 10338919 </t>
  </si>
  <si>
    <t xml:space="preserve">1501                </t>
  </si>
  <si>
    <t>OPB.KASTFIX  1RIJ 18MOD 610275</t>
  </si>
  <si>
    <t xml:space="preserve">1502                </t>
  </si>
  <si>
    <t xml:space="preserve">OPB.KAST 3RIJ 54MOD 610295    </t>
  </si>
  <si>
    <t xml:space="preserve">1503                </t>
  </si>
  <si>
    <t xml:space="preserve">OPB.KAST 4RIJ 72MOD 610303    </t>
  </si>
  <si>
    <t xml:space="preserve">1504                </t>
  </si>
  <si>
    <t xml:space="preserve">OPBOUWKAST1 RIJ VA 121 12PE T </t>
  </si>
  <si>
    <t xml:space="preserve">1505                </t>
  </si>
  <si>
    <t xml:space="preserve">OPBOUWKAST 2 RIJ VA222T 24PE  </t>
  </si>
  <si>
    <t xml:space="preserve">1506                </t>
  </si>
  <si>
    <t xml:space="preserve">OPBOUWKAST 2-RIJ 36PE 610285  </t>
  </si>
  <si>
    <t xml:space="preserve">1507                </t>
  </si>
  <si>
    <t xml:space="preserve">OPBOUWKAST4-RIJ VA 424 T 48PE </t>
  </si>
  <si>
    <t xml:space="preserve">1508                </t>
  </si>
  <si>
    <t>INB DOOS CT536 (323 X 518 X60)</t>
  </si>
  <si>
    <t xml:space="preserve">1509                </t>
  </si>
  <si>
    <t>INB DOOS CT110 (108 X 108 X50)</t>
  </si>
  <si>
    <t xml:space="preserve">15091               </t>
  </si>
  <si>
    <t>INB DOOS CT114 (168 X 117 X50)</t>
  </si>
  <si>
    <t xml:space="preserve">15092               </t>
  </si>
  <si>
    <t>INB DOOS CT220 (217 X 217 X57)</t>
  </si>
  <si>
    <t xml:space="preserve">15093               </t>
  </si>
  <si>
    <t>INB DOOS CT225 (250 X 250 X65)</t>
  </si>
  <si>
    <t xml:space="preserve">15094               </t>
  </si>
  <si>
    <t>INB DOOS CT326 (222 X 318 X60)</t>
  </si>
  <si>
    <t xml:space="preserve">15095               </t>
  </si>
  <si>
    <t xml:space="preserve">INB CT338 (404 X 404 X120)    </t>
  </si>
  <si>
    <t xml:space="preserve">1510                </t>
  </si>
  <si>
    <t xml:space="preserve">INBOUWKAST 1-RIJ BLD 610372   </t>
  </si>
  <si>
    <t xml:space="preserve">1511                </t>
  </si>
  <si>
    <t>INBOUWKAST 2-RIJ  28MOD 610373</t>
  </si>
  <si>
    <t xml:space="preserve">1512                </t>
  </si>
  <si>
    <t xml:space="preserve">INBOUWKAST 3-RIJ 42MOD 610374 </t>
  </si>
  <si>
    <t xml:space="preserve">1513                </t>
  </si>
  <si>
    <t xml:space="preserve">INBOUWKAST 4-RIJ 56MOD 610375 </t>
  </si>
  <si>
    <t xml:space="preserve">15131               </t>
  </si>
  <si>
    <t xml:space="preserve">INBOUWKAST 3RIJ 72MOD 617934  </t>
  </si>
  <si>
    <t xml:space="preserve">15132               </t>
  </si>
  <si>
    <t xml:space="preserve">INBOUWKAST 4RIJ 96MOD 617935  </t>
  </si>
  <si>
    <t xml:space="preserve">1514                </t>
  </si>
  <si>
    <t xml:space="preserve">OPB.KAST1-RIJ 3PE WD 600573   </t>
  </si>
  <si>
    <t xml:space="preserve">15140               </t>
  </si>
  <si>
    <t xml:space="preserve">OPB.KAST WD 12MD CDN12PT/RR   </t>
  </si>
  <si>
    <t xml:space="preserve">15141               </t>
  </si>
  <si>
    <t xml:space="preserve">OPBOUW KAST WD CS13PT/RR      </t>
  </si>
  <si>
    <t xml:space="preserve">15142               </t>
  </si>
  <si>
    <t xml:space="preserve">OPBOUW KAST WD CSG13PT/RR     </t>
  </si>
  <si>
    <t xml:space="preserve">15143               </t>
  </si>
  <si>
    <t xml:space="preserve">OPB.KAST WD 24MD CDN24PT/RR   </t>
  </si>
  <si>
    <t xml:space="preserve">15144               </t>
  </si>
  <si>
    <t xml:space="preserve">OPB.KAST WD 36MD CDN36PT/RR   </t>
  </si>
  <si>
    <t xml:space="preserve">15145               </t>
  </si>
  <si>
    <t xml:space="preserve">OPB.KAST WD 54MD CDP54 PT/RR  </t>
  </si>
  <si>
    <t xml:space="preserve">15146               </t>
  </si>
  <si>
    <t xml:space="preserve">OPB.KAST WD 18MD CDP 18PT/RR  </t>
  </si>
  <si>
    <t xml:space="preserve">15147               </t>
  </si>
  <si>
    <t>OPB.KAST WD 36MD CDP 36PT2F/RR</t>
  </si>
  <si>
    <t xml:space="preserve">1515                </t>
  </si>
  <si>
    <t xml:space="preserve">OPB.KAST1-RIJ 5PE WD 600574   </t>
  </si>
  <si>
    <t xml:space="preserve">1516                </t>
  </si>
  <si>
    <t xml:space="preserve">OPB.KAST1-RIJ 8PE WD 600575   </t>
  </si>
  <si>
    <t xml:space="preserve">1517                </t>
  </si>
  <si>
    <t xml:space="preserve">OPB.KAST 1-RIJ 12PE WD 610316 </t>
  </si>
  <si>
    <t xml:space="preserve">1518                </t>
  </si>
  <si>
    <t xml:space="preserve">OPB.KAST 2-RIJ 24PE WD 610317 </t>
  </si>
  <si>
    <t xml:space="preserve">1519                </t>
  </si>
  <si>
    <t>OPB.KAST 3-RIJ WD 36MOD 610318</t>
  </si>
  <si>
    <t xml:space="preserve">1520                </t>
  </si>
  <si>
    <t>GE AUTO 16A, 3P-2MOD C  UNIBIS</t>
  </si>
  <si>
    <t xml:space="preserve">1521                </t>
  </si>
  <si>
    <t>GE AUTO 20A, 3P-2MOD C  UNIBIS</t>
  </si>
  <si>
    <t xml:space="preserve">1522                </t>
  </si>
  <si>
    <t>GE AUTO 25A, 3P-2MOD C  UNIBIS</t>
  </si>
  <si>
    <t xml:space="preserve">1523                </t>
  </si>
  <si>
    <t>GE AUTO 25A, 4P-2MOD C  UNIBIS</t>
  </si>
  <si>
    <t xml:space="preserve">1524                </t>
  </si>
  <si>
    <t xml:space="preserve">GE AUTOMAAT 6A, 2P B  UNIBIS  </t>
  </si>
  <si>
    <t xml:space="preserve">1525                </t>
  </si>
  <si>
    <t>GE AUTOMAAT 6A, 1P+N B  UNIBIS</t>
  </si>
  <si>
    <t xml:space="preserve">1526                </t>
  </si>
  <si>
    <t xml:space="preserve">GE  AUTOMAAT 40A, 2P C-KAR    </t>
  </si>
  <si>
    <t xml:space="preserve">1527                </t>
  </si>
  <si>
    <t xml:space="preserve">GE  AUTOMAAT 6A, 3P+N B-KAR   </t>
  </si>
  <si>
    <t xml:space="preserve">1529                </t>
  </si>
  <si>
    <t xml:space="preserve">GE SCHAKELAAR  80A, 4POL      </t>
  </si>
  <si>
    <t xml:space="preserve">1530                </t>
  </si>
  <si>
    <t xml:space="preserve">GE SCHAKELAAR  40A, 4POL      </t>
  </si>
  <si>
    <t xml:space="preserve">1531                </t>
  </si>
  <si>
    <t xml:space="preserve">GE SCHAKELAAR  63A, 4POL      </t>
  </si>
  <si>
    <t xml:space="preserve">1532                </t>
  </si>
  <si>
    <t xml:space="preserve">GE SCHAKELAAR 100A, 4POL      </t>
  </si>
  <si>
    <t xml:space="preserve">1533                </t>
  </si>
  <si>
    <t xml:space="preserve">GE SCHAKELAAR 125A, 4POL      </t>
  </si>
  <si>
    <t xml:space="preserve">1534                </t>
  </si>
  <si>
    <t>GE AARDLEKSCHAKELAAR 40A, 30mA</t>
  </si>
  <si>
    <t xml:space="preserve">1535                </t>
  </si>
  <si>
    <t>GE AARDLEKSCHAKELAAR 63A, 30mA</t>
  </si>
  <si>
    <t xml:space="preserve">1536                </t>
  </si>
  <si>
    <t xml:space="preserve">GE AARDLEKSCHAKEL 40A, 300mA  </t>
  </si>
  <si>
    <t xml:space="preserve">1537                </t>
  </si>
  <si>
    <t xml:space="preserve">GE AARDLEKSCHAKEL 63A, 300mA  </t>
  </si>
  <si>
    <t xml:space="preserve">1539                </t>
  </si>
  <si>
    <t xml:space="preserve">BLIKSEM AFLEIDER 40/400 3L+NE </t>
  </si>
  <si>
    <t xml:space="preserve">1540                </t>
  </si>
  <si>
    <t xml:space="preserve">GE AARDLEKSCHAK.40A-30mA 2-P  </t>
  </si>
  <si>
    <t xml:space="preserve">1542                </t>
  </si>
  <si>
    <t xml:space="preserve">GE AARDLEKAUTOMAAT 25A 1P+N   </t>
  </si>
  <si>
    <t xml:space="preserve">1543                </t>
  </si>
  <si>
    <t xml:space="preserve">GE  AUTOMAAT 25A, 1P+N C-KAR  </t>
  </si>
  <si>
    <t xml:space="preserve">1544                </t>
  </si>
  <si>
    <t xml:space="preserve">GE AUTOMAAT 16A, 2P B  UNIBIS </t>
  </si>
  <si>
    <t xml:space="preserve">1545                </t>
  </si>
  <si>
    <t xml:space="preserve">GE AUTOMAAT 16A, 2P C  UNIBIS </t>
  </si>
  <si>
    <t xml:space="preserve">1546                </t>
  </si>
  <si>
    <t xml:space="preserve">GE AUTOMAAT 20A, 2P C  UNIBIS </t>
  </si>
  <si>
    <t xml:space="preserve">1547                </t>
  </si>
  <si>
    <t xml:space="preserve">GE AUTOMAAT 25A, 2P C  UNIBIS </t>
  </si>
  <si>
    <t xml:space="preserve">1548                </t>
  </si>
  <si>
    <t xml:space="preserve">GE AUTOMAAT 32A, 2P C  UNIBIS </t>
  </si>
  <si>
    <t xml:space="preserve">1549                </t>
  </si>
  <si>
    <t xml:space="preserve">GE  AUTOMAAT 16A, 2POL B-KAR  </t>
  </si>
  <si>
    <t xml:space="preserve">1550                </t>
  </si>
  <si>
    <t xml:space="preserve">GE  AUTOMAAT 20A, 2POL B-KAR  </t>
  </si>
  <si>
    <t xml:space="preserve">1551                </t>
  </si>
  <si>
    <t xml:space="preserve">GE AUTOMAAT 16A, 1P+N B KAR   </t>
  </si>
  <si>
    <t xml:space="preserve">1552                </t>
  </si>
  <si>
    <t xml:space="preserve">GE  AUTOMAAT 20A, 1P+N B-KAR  </t>
  </si>
  <si>
    <t xml:space="preserve">1553                </t>
  </si>
  <si>
    <t xml:space="preserve">GE  AUTOMAAT 25A, 1P+N B-KAR  </t>
  </si>
  <si>
    <t xml:space="preserve">1554                </t>
  </si>
  <si>
    <t xml:space="preserve">GE  AUTOMAAT 16A, 1P+N C-KAR  </t>
  </si>
  <si>
    <t xml:space="preserve">1555                </t>
  </si>
  <si>
    <t xml:space="preserve">GE  AUTOMAAT 20A, 1P+N C-KAR  </t>
  </si>
  <si>
    <t xml:space="preserve">1556                </t>
  </si>
  <si>
    <t xml:space="preserve">GE  AUTOMAAT 32A, 1P+N C-KAR  </t>
  </si>
  <si>
    <t xml:space="preserve">1557                </t>
  </si>
  <si>
    <t xml:space="preserve">GE  AUTOMAAT 16A, 2POL C-KAR  </t>
  </si>
  <si>
    <t xml:space="preserve">1558                </t>
  </si>
  <si>
    <t xml:space="preserve">GE  AUTOMAAT 20A, 2POL C-KAR  </t>
  </si>
  <si>
    <t xml:space="preserve">1559                </t>
  </si>
  <si>
    <t xml:space="preserve">GE  AUTOMAAT 25A, 2POL C-KAR  </t>
  </si>
  <si>
    <t xml:space="preserve">1560                </t>
  </si>
  <si>
    <t xml:space="preserve">GE  AUTOMAAT 32A, 2POL C-KAR  </t>
  </si>
  <si>
    <t xml:space="preserve">1561                </t>
  </si>
  <si>
    <t xml:space="preserve">GE  AUTOMAAT 16A, 3POL C-KAR  </t>
  </si>
  <si>
    <t xml:space="preserve">1562                </t>
  </si>
  <si>
    <t xml:space="preserve">GE  AUTOMAAT 20A, 3POL C-KAR  </t>
  </si>
  <si>
    <t xml:space="preserve">1563                </t>
  </si>
  <si>
    <t xml:space="preserve">GE  AUTOMAAT 25A, 3POL C-KAR  </t>
  </si>
  <si>
    <t xml:space="preserve">1564                </t>
  </si>
  <si>
    <t xml:space="preserve">GE  AUTOMAAT 32A, 3POL C-KAR  </t>
  </si>
  <si>
    <t xml:space="preserve">1565                </t>
  </si>
  <si>
    <t xml:space="preserve">GE  AUTOMAAT 40A, 3POL C-KAR  </t>
  </si>
  <si>
    <t xml:space="preserve">1566                </t>
  </si>
  <si>
    <t xml:space="preserve">GE AUTOMAAT 50A, 3POL C-KAR   </t>
  </si>
  <si>
    <t xml:space="preserve">1567                </t>
  </si>
  <si>
    <t xml:space="preserve">GE  AUTOMAAT 63A, 3POL C-KAR  </t>
  </si>
  <si>
    <t xml:space="preserve">1568                </t>
  </si>
  <si>
    <t xml:space="preserve">GE  AUTOMAAT 25A, 3P+N C-KAR  </t>
  </si>
  <si>
    <t xml:space="preserve">1569                </t>
  </si>
  <si>
    <t xml:space="preserve">GE  AUTOMAAT 32A, 3P+N C-KAR  </t>
  </si>
  <si>
    <t xml:space="preserve">1570                </t>
  </si>
  <si>
    <t xml:space="preserve">GE  AUTOMAAT 40A, 3P+N C-KAR  </t>
  </si>
  <si>
    <t xml:space="preserve">1571                </t>
  </si>
  <si>
    <t xml:space="preserve">GE  AUTOMAAT 50A, 3P+N C-KAR  </t>
  </si>
  <si>
    <t xml:space="preserve">1572                </t>
  </si>
  <si>
    <t xml:space="preserve">GE  AUTOMAAT 63A, 3P+N C-KAR  </t>
  </si>
  <si>
    <t xml:space="preserve">1573                </t>
  </si>
  <si>
    <t xml:space="preserve">GE AUTOMAAT 80A, 3P+N C-KAR   </t>
  </si>
  <si>
    <t xml:space="preserve">1574                </t>
  </si>
  <si>
    <t xml:space="preserve">GE  AUTOMAAT 100A, 3P+N C KAR </t>
  </si>
  <si>
    <t xml:space="preserve">1575                </t>
  </si>
  <si>
    <t xml:space="preserve">GE  AUTOMAAT 125A, 3P+N C-KAR </t>
  </si>
  <si>
    <t xml:space="preserve">1576                </t>
  </si>
  <si>
    <t xml:space="preserve">GE  AUTOMAAT 16A, 3P+N C-KAR  </t>
  </si>
  <si>
    <t xml:space="preserve">1577                </t>
  </si>
  <si>
    <t xml:space="preserve">GE  AUTOMAAT 20A, 3P+N C-KAR  </t>
  </si>
  <si>
    <t xml:space="preserve">1578                </t>
  </si>
  <si>
    <t xml:space="preserve">GE  AUTOMAAT 16A, 3P+N B-KAR  </t>
  </si>
  <si>
    <t xml:space="preserve">1579                </t>
  </si>
  <si>
    <t xml:space="preserve">AFDICHTSTRIP 1 mtr lengte     </t>
  </si>
  <si>
    <t xml:space="preserve">1580                </t>
  </si>
  <si>
    <t xml:space="preserve">GALAX Q22 TIJDKLOK 2 KANAL    </t>
  </si>
  <si>
    <t xml:space="preserve">15801               </t>
  </si>
  <si>
    <t xml:space="preserve">GALAX Q21 TIJDKLOK 1 KANAL    </t>
  </si>
  <si>
    <t xml:space="preserve">15802               </t>
  </si>
  <si>
    <t xml:space="preserve">GALAX Q11 TIJDKL 1 KANAL 1MOD </t>
  </si>
  <si>
    <t xml:space="preserve">15803               </t>
  </si>
  <si>
    <t xml:space="preserve">VEILIGHEIDS TRAFO 25VA 12/24V </t>
  </si>
  <si>
    <t xml:space="preserve">15804               </t>
  </si>
  <si>
    <t xml:space="preserve">VEILIGHEIDS TRAFO 40VA 12/24V </t>
  </si>
  <si>
    <t xml:space="preserve">15805               </t>
  </si>
  <si>
    <t xml:space="preserve">VEILIGHEIDS TRAFO 63VA 12/24V </t>
  </si>
  <si>
    <t xml:space="preserve">1581                </t>
  </si>
  <si>
    <t xml:space="preserve">RAIL VERDEELBLOK 160A 617992  </t>
  </si>
  <si>
    <t xml:space="preserve">1582                </t>
  </si>
  <si>
    <t xml:space="preserve">1583                </t>
  </si>
  <si>
    <t xml:space="preserve">EINDKAP VERB-KAM              </t>
  </si>
  <si>
    <t xml:space="preserve">1584                </t>
  </si>
  <si>
    <t xml:space="preserve">ISOLEERKAP-160A verdeelblok   </t>
  </si>
  <si>
    <t xml:space="preserve">1585                </t>
  </si>
  <si>
    <t xml:space="preserve">VERB-KAM L1/N-L2/N-L3/N       </t>
  </si>
  <si>
    <t xml:space="preserve">1586                </t>
  </si>
  <si>
    <t xml:space="preserve">VERB-KAM 1P+N AUTOM.SLIM      </t>
  </si>
  <si>
    <t xml:space="preserve">1587                </t>
  </si>
  <si>
    <t xml:space="preserve">VERB-KAM 2 POLIG              </t>
  </si>
  <si>
    <t xml:space="preserve">1588                </t>
  </si>
  <si>
    <t xml:space="preserve">VERB-KAM 3 POLIG              </t>
  </si>
  <si>
    <t xml:space="preserve">1589                </t>
  </si>
  <si>
    <t xml:space="preserve">VERB-KAM 4 POLIG              </t>
  </si>
  <si>
    <t xml:space="preserve">1590                </t>
  </si>
  <si>
    <t xml:space="preserve">MOERKLEMMEN MAX 25 mm         </t>
  </si>
  <si>
    <t xml:space="preserve">1591                </t>
  </si>
  <si>
    <t xml:space="preserve">VERB-KAM 0                    </t>
  </si>
  <si>
    <t xml:space="preserve">1592                </t>
  </si>
  <si>
    <t xml:space="preserve">VERBINDINGSKAM FASE           </t>
  </si>
  <si>
    <t xml:space="preserve">1593                </t>
  </si>
  <si>
    <t>Terminal bar 2x16mm6x6mm610314</t>
  </si>
  <si>
    <t xml:space="preserve">1594                </t>
  </si>
  <si>
    <t>JSL VERDEELBLOK 160 A 160134BD</t>
  </si>
  <si>
    <t xml:space="preserve">1595                </t>
  </si>
  <si>
    <t xml:space="preserve">GE RELAY 2P 20 A              </t>
  </si>
  <si>
    <t xml:space="preserve">15951               </t>
  </si>
  <si>
    <t xml:space="preserve">GE RELAY 4P 24 A              </t>
  </si>
  <si>
    <t xml:space="preserve">15952               </t>
  </si>
  <si>
    <t xml:space="preserve">GE RELAY 4P 40 A              </t>
  </si>
  <si>
    <t xml:space="preserve">15953               </t>
  </si>
  <si>
    <t xml:space="preserve">RCBO C/DM60 A 16/030//012     </t>
  </si>
  <si>
    <t xml:space="preserve">15954               </t>
  </si>
  <si>
    <t xml:space="preserve">G60   1P+N  40A  C   /012  GE </t>
  </si>
  <si>
    <t xml:space="preserve">15955               </t>
  </si>
  <si>
    <t xml:space="preserve">LOADBREAK SWITCH DILOS 3 250A </t>
  </si>
  <si>
    <t xml:space="preserve">15956               </t>
  </si>
  <si>
    <t xml:space="preserve">HANDLE DILOS 1H 250A          </t>
  </si>
  <si>
    <t xml:space="preserve">15957               </t>
  </si>
  <si>
    <t xml:space="preserve">LOADBREAK SWITCH DILOS 4 400A </t>
  </si>
  <si>
    <t xml:space="preserve">15958               </t>
  </si>
  <si>
    <t xml:space="preserve">HANDLE L ZW D4  400A          </t>
  </si>
  <si>
    <t xml:space="preserve">15959               </t>
  </si>
  <si>
    <t>FE250-Breaker-36kA FEV46TA250K</t>
  </si>
  <si>
    <t xml:space="preserve">15960               </t>
  </si>
  <si>
    <t xml:space="preserve">FGBSS4-Terminal Spreader (x4) </t>
  </si>
  <si>
    <t xml:space="preserve">15961               </t>
  </si>
  <si>
    <t xml:space="preserve">RCBO C/DM60 A 32/030//012     </t>
  </si>
  <si>
    <t xml:space="preserve">15962               </t>
  </si>
  <si>
    <t xml:space="preserve">RCBO C/DM60 A 25/030//012     </t>
  </si>
  <si>
    <t xml:space="preserve">15963               </t>
  </si>
  <si>
    <t xml:space="preserve">RCBO C/DM60 A 25/300//012     </t>
  </si>
  <si>
    <t xml:space="preserve">15964               </t>
  </si>
  <si>
    <t xml:space="preserve">RCBO C/DM60 A 40/300//012     </t>
  </si>
  <si>
    <t xml:space="preserve">15965               </t>
  </si>
  <si>
    <t xml:space="preserve">RCBO C/DM60 A 20/030//012     </t>
  </si>
  <si>
    <t xml:space="preserve">15966               </t>
  </si>
  <si>
    <t xml:space="preserve">RCBO C/DM60 A 16/300//012     </t>
  </si>
  <si>
    <t xml:space="preserve">15967               </t>
  </si>
  <si>
    <t xml:space="preserve">G60   1P+N   6A  C   /012  GE </t>
  </si>
  <si>
    <t xml:space="preserve">15968               </t>
  </si>
  <si>
    <t xml:space="preserve">400A FLEXIBLE BAR LENGTH 2M   </t>
  </si>
  <si>
    <t xml:space="preserve">15969               </t>
  </si>
  <si>
    <t xml:space="preserve">250A FLEXIBLE BAR LENGTH 2M   </t>
  </si>
  <si>
    <t xml:space="preserve">15970               </t>
  </si>
  <si>
    <t xml:space="preserve">FE-RPlug 4p4tr S1A-250A 250As </t>
  </si>
  <si>
    <t xml:space="preserve">15971               </t>
  </si>
  <si>
    <t>FEBSS4-Terminal SpreaderFlat-4</t>
  </si>
  <si>
    <t xml:space="preserve">15972               </t>
  </si>
  <si>
    <t xml:space="preserve">3 MOD NET ANALY 665010        </t>
  </si>
  <si>
    <t xml:space="preserve">15973               </t>
  </si>
  <si>
    <t xml:space="preserve">GE MT CT 1000                 </t>
  </si>
  <si>
    <t xml:space="preserve">15974               </t>
  </si>
  <si>
    <t xml:space="preserve">GE 6666387 MT CT80            </t>
  </si>
  <si>
    <t xml:space="preserve">15975               </t>
  </si>
  <si>
    <t xml:space="preserve">FG-TERMINAL 400/630 431982    </t>
  </si>
  <si>
    <t xml:space="preserve">15976               </t>
  </si>
  <si>
    <t xml:space="preserve">LOADBREAK SWITCH DILOS 3 630A </t>
  </si>
  <si>
    <t xml:space="preserve">15977               </t>
  </si>
  <si>
    <t xml:space="preserve">ROTARY HANDLE 730667          </t>
  </si>
  <si>
    <t xml:space="preserve">15978               </t>
  </si>
  <si>
    <t xml:space="preserve">MANDO ROT 436476              </t>
  </si>
  <si>
    <t xml:space="preserve">15979               </t>
  </si>
  <si>
    <t xml:space="preserve">RCBO C/DM60 A 32/300//012     </t>
  </si>
  <si>
    <t xml:space="preserve">1598                </t>
  </si>
  <si>
    <t xml:space="preserve">FE160-Breaker-50kA  431967    </t>
  </si>
  <si>
    <t xml:space="preserve">15980               </t>
  </si>
  <si>
    <t xml:space="preserve">GE 666451 NET ANALYZER 3PH+N  </t>
  </si>
  <si>
    <t xml:space="preserve">15981               </t>
  </si>
  <si>
    <t xml:space="preserve">GE 41539 FG630-BREAKER 50KA   </t>
  </si>
  <si>
    <t xml:space="preserve">15982               </t>
  </si>
  <si>
    <t xml:space="preserve"> GE 436506 MANDO ROT          </t>
  </si>
  <si>
    <t xml:space="preserve">15983               </t>
  </si>
  <si>
    <t xml:space="preserve">GE 434735 FG ROT HANDLE       </t>
  </si>
  <si>
    <t xml:space="preserve">15984               </t>
  </si>
  <si>
    <t xml:space="preserve">GE 433413 FG-TERMINAL         </t>
  </si>
  <si>
    <t xml:space="preserve">15985               </t>
  </si>
  <si>
    <t xml:space="preserve">GE 671572  4P 125 D           </t>
  </si>
  <si>
    <t xml:space="preserve">15986               </t>
  </si>
  <si>
    <t xml:space="preserve">GE 666388 CT800 MT GEMTC      </t>
  </si>
  <si>
    <t xml:space="preserve">15987               </t>
  </si>
  <si>
    <t xml:space="preserve">GE FG630 RLUG 4P              </t>
  </si>
  <si>
    <t xml:space="preserve">15988               </t>
  </si>
  <si>
    <t xml:space="preserve"> GE RCBOBDM60A 16030/12       </t>
  </si>
  <si>
    <t xml:space="preserve">15989               </t>
  </si>
  <si>
    <t xml:space="preserve">GE BUSBAR 12X5MM 250A         </t>
  </si>
  <si>
    <t xml:space="preserve">15991               </t>
  </si>
  <si>
    <t xml:space="preserve">MT CT 600 TAM4D 666386        </t>
  </si>
  <si>
    <t xml:space="preserve">1600                </t>
  </si>
  <si>
    <t>OPB.KAST SINDOS 1RIJ   4 PE WD</t>
  </si>
  <si>
    <t xml:space="preserve">1601                </t>
  </si>
  <si>
    <t>OPB.KAST SINDOS 1RIJ   8 PE WD</t>
  </si>
  <si>
    <t xml:space="preserve">1602                </t>
  </si>
  <si>
    <t xml:space="preserve">OPB.KAST SINDOS 1RIJ 12 PE WD </t>
  </si>
  <si>
    <t xml:space="preserve">1603                </t>
  </si>
  <si>
    <t xml:space="preserve">OPB.KAST SINDOS 1RIJ 18 PE WD </t>
  </si>
  <si>
    <t xml:space="preserve">1604                </t>
  </si>
  <si>
    <t xml:space="preserve">OPB.KAST SINDOS 2RIJ 24 PE WD </t>
  </si>
  <si>
    <t xml:space="preserve">1605                </t>
  </si>
  <si>
    <t xml:space="preserve">OPB.KAST SINDOS 2RIJ 36 PE WD </t>
  </si>
  <si>
    <t xml:space="preserve">1606                </t>
  </si>
  <si>
    <t xml:space="preserve">OPB.KAST SINDOS 3RIJ 54 PE WD </t>
  </si>
  <si>
    <t xml:space="preserve">1610                </t>
  </si>
  <si>
    <t xml:space="preserve">OPB.KAST OLINTHOS 1RIJ 12 PE  </t>
  </si>
  <si>
    <t xml:space="preserve">1611                </t>
  </si>
  <si>
    <t xml:space="preserve">OPB.KAST OLINTHOS 2RIJ 24 PE  </t>
  </si>
  <si>
    <t xml:space="preserve">1612                </t>
  </si>
  <si>
    <t xml:space="preserve">OPB.KAST OLINTHOS 3RIJ 36 PE  </t>
  </si>
  <si>
    <t xml:space="preserve">1613                </t>
  </si>
  <si>
    <t xml:space="preserve">INB.KAST 144 MOD MOELLER      </t>
  </si>
  <si>
    <t xml:space="preserve">1615                </t>
  </si>
  <si>
    <t xml:space="preserve">INB.KAST DION 1RIJ 12 PE      </t>
  </si>
  <si>
    <t xml:space="preserve">1616                </t>
  </si>
  <si>
    <t xml:space="preserve">INB.KAST IDE 2RIJ 24/28 MOD   </t>
  </si>
  <si>
    <t xml:space="preserve">1617                </t>
  </si>
  <si>
    <t xml:space="preserve">INB.KAST IDE 3RIJ 36/42 MOD   </t>
  </si>
  <si>
    <t xml:space="preserve">1618                </t>
  </si>
  <si>
    <t xml:space="preserve">INB.KAST DION 3RIJ 48 PE      </t>
  </si>
  <si>
    <t xml:space="preserve">1626                </t>
  </si>
  <si>
    <t xml:space="preserve">MEX 2004040                   </t>
  </si>
  <si>
    <t xml:space="preserve">1627                </t>
  </si>
  <si>
    <t xml:space="preserve">PLP4080                       </t>
  </si>
  <si>
    <t xml:space="preserve">1628                </t>
  </si>
  <si>
    <t xml:space="preserve">ZCL 1040                      </t>
  </si>
  <si>
    <t xml:space="preserve">1629                </t>
  </si>
  <si>
    <t xml:space="preserve">TAPA 48642                    </t>
  </si>
  <si>
    <t xml:space="preserve">1630                </t>
  </si>
  <si>
    <t xml:space="preserve">TCF4040                       </t>
  </si>
  <si>
    <t xml:space="preserve">1631                </t>
  </si>
  <si>
    <t xml:space="preserve">PO20080 SINGLEDOOR            </t>
  </si>
  <si>
    <t xml:space="preserve">1632                </t>
  </si>
  <si>
    <t xml:space="preserve">TCA6080                       </t>
  </si>
  <si>
    <t xml:space="preserve">1633                </t>
  </si>
  <si>
    <t xml:space="preserve">PACKSUP S144P200              </t>
  </si>
  <si>
    <t xml:space="preserve">1634                </t>
  </si>
  <si>
    <t xml:space="preserve">PACKSUP S120P200              </t>
  </si>
  <si>
    <t xml:space="preserve">1635                </t>
  </si>
  <si>
    <t xml:space="preserve">PACK SUP S96P200              </t>
  </si>
  <si>
    <t xml:space="preserve">16351               </t>
  </si>
  <si>
    <t xml:space="preserve">PACK SUP S72P200              </t>
  </si>
  <si>
    <t xml:space="preserve">1636                </t>
  </si>
  <si>
    <t xml:space="preserve">TLZCL 1040                    </t>
  </si>
  <si>
    <t xml:space="preserve">1637                </t>
  </si>
  <si>
    <t xml:space="preserve">ZCL 1080                      </t>
  </si>
  <si>
    <t xml:space="preserve">1638                </t>
  </si>
  <si>
    <t xml:space="preserve">PACK UNION ELEVACION 48114    </t>
  </si>
  <si>
    <t xml:space="preserve">1639                </t>
  </si>
  <si>
    <t xml:space="preserve">PACK UNION 48112              </t>
  </si>
  <si>
    <t xml:space="preserve">1640                </t>
  </si>
  <si>
    <t xml:space="preserve">KIT SUJECION 48156 DINRAIL    </t>
  </si>
  <si>
    <t xml:space="preserve">1641                </t>
  </si>
  <si>
    <t xml:space="preserve">TMA2080                       </t>
  </si>
  <si>
    <t xml:space="preserve">1642                </t>
  </si>
  <si>
    <t xml:space="preserve">TMA3080                       </t>
  </si>
  <si>
    <t xml:space="preserve">1643                </t>
  </si>
  <si>
    <t xml:space="preserve">PMB400                        </t>
  </si>
  <si>
    <t xml:space="preserve">1644                </t>
  </si>
  <si>
    <t xml:space="preserve">PLP3080                       </t>
  </si>
  <si>
    <t xml:space="preserve">1645                </t>
  </si>
  <si>
    <t xml:space="preserve">TCA4080                       </t>
  </si>
  <si>
    <t xml:space="preserve">1646                </t>
  </si>
  <si>
    <t xml:space="preserve">BTM20080                      </t>
  </si>
  <si>
    <t xml:space="preserve">1647                </t>
  </si>
  <si>
    <t xml:space="preserve">SIDEPANEL PLA20040            </t>
  </si>
  <si>
    <t xml:space="preserve">1648                </t>
  </si>
  <si>
    <t xml:space="preserve">ENL 2008040PO/SP              </t>
  </si>
  <si>
    <t xml:space="preserve">1649                </t>
  </si>
  <si>
    <t xml:space="preserve">OPBOUWKAST IDE ARM.40COM72    </t>
  </si>
  <si>
    <t xml:space="preserve">1650                </t>
  </si>
  <si>
    <t>IDE RAIL SOPORT 160-400A 48454</t>
  </si>
  <si>
    <t xml:space="preserve">1651                </t>
  </si>
  <si>
    <t xml:space="preserve"> RAIL COPPER 30X10X2000 48803 </t>
  </si>
  <si>
    <t xml:space="preserve">16510               </t>
  </si>
  <si>
    <t xml:space="preserve"> RAIL COPPER 20X5X1000 48794  </t>
  </si>
  <si>
    <t xml:space="preserve">1652                </t>
  </si>
  <si>
    <t xml:space="preserve">IDE AARDE 48452 KIT TIERRA    </t>
  </si>
  <si>
    <t xml:space="preserve">1653                </t>
  </si>
  <si>
    <t xml:space="preserve">OPBOUWKAST IDE ARM.40COM96    </t>
  </si>
  <si>
    <t xml:space="preserve">1654                </t>
  </si>
  <si>
    <t xml:space="preserve">OPBOUWKAST IDE ARM.40COM120   </t>
  </si>
  <si>
    <t xml:space="preserve">1655                </t>
  </si>
  <si>
    <t xml:space="preserve">OPBOUWKAST IDE ARM.40COM144   </t>
  </si>
  <si>
    <t xml:space="preserve">1656                </t>
  </si>
  <si>
    <t xml:space="preserve">MOELLER OPB BF-0-4/96         </t>
  </si>
  <si>
    <t xml:space="preserve">1657                </t>
  </si>
  <si>
    <t xml:space="preserve">MOELLER OPB BF-0-5/120        </t>
  </si>
  <si>
    <t xml:space="preserve">1658                </t>
  </si>
  <si>
    <t xml:space="preserve">MOELLER OPB BF-0-6/144        </t>
  </si>
  <si>
    <t xml:space="preserve">1659                </t>
  </si>
  <si>
    <t xml:space="preserve">MOELLER OPB BF-0-3/72         </t>
  </si>
  <si>
    <t xml:space="preserve">1661                </t>
  </si>
  <si>
    <t xml:space="preserve">MOELLER INB BF-U-5/165        </t>
  </si>
  <si>
    <t xml:space="preserve">1662                </t>
  </si>
  <si>
    <t xml:space="preserve">MOELLER INB BF-U-6/198        </t>
  </si>
  <si>
    <t xml:space="preserve">1663                </t>
  </si>
  <si>
    <t xml:space="preserve">MOELLER INB BF-U-3/72         </t>
  </si>
  <si>
    <t xml:space="preserve">1664                </t>
  </si>
  <si>
    <t xml:space="preserve">MOELLER INB BF-U-4/96         </t>
  </si>
  <si>
    <t xml:space="preserve">1665                </t>
  </si>
  <si>
    <t xml:space="preserve">MOELLER INB BF-U-5/120        </t>
  </si>
  <si>
    <t xml:space="preserve">1666                </t>
  </si>
  <si>
    <t xml:space="preserve">MOELLER INB BF-U-6/144        </t>
  </si>
  <si>
    <t xml:space="preserve">1667                </t>
  </si>
  <si>
    <t xml:space="preserve">MOELLER INB BF-UT-3/72        </t>
  </si>
  <si>
    <t xml:space="preserve">1668                </t>
  </si>
  <si>
    <t xml:space="preserve">MOELLER INB BF-UT-4/96        </t>
  </si>
  <si>
    <t xml:space="preserve">1699                </t>
  </si>
  <si>
    <t xml:space="preserve">ETI AFDEK STROOK 2911003      </t>
  </si>
  <si>
    <t xml:space="preserve">1700                </t>
  </si>
  <si>
    <t xml:space="preserve">ETI 2423423 SCHAKELAAR 4P 40A </t>
  </si>
  <si>
    <t xml:space="preserve">1701                </t>
  </si>
  <si>
    <t xml:space="preserve">ETI 2423414 SCHAKELAAR 4P 63A </t>
  </si>
  <si>
    <t xml:space="preserve">1702                </t>
  </si>
  <si>
    <t xml:space="preserve">ETI 2423415 SCHAKELAAR 4P 80A </t>
  </si>
  <si>
    <t xml:space="preserve">1703                </t>
  </si>
  <si>
    <t>ETI 2423416 SCHAKELAAR 4P 100A</t>
  </si>
  <si>
    <t xml:space="preserve">1704                </t>
  </si>
  <si>
    <t>ETI 2423417 SCHAKELAAR 4P 125A</t>
  </si>
  <si>
    <t xml:space="preserve">1705                </t>
  </si>
  <si>
    <t xml:space="preserve">ETI AARDLEKSCH 4P 40A 30 mA   </t>
  </si>
  <si>
    <t xml:space="preserve">1706                </t>
  </si>
  <si>
    <t xml:space="preserve">ETI AARDLEKSCH 4P 63A 30 mA   </t>
  </si>
  <si>
    <t xml:space="preserve">1707                </t>
  </si>
  <si>
    <t xml:space="preserve">ETI AARDLEKSCH 4P 40A 300mA   </t>
  </si>
  <si>
    <t xml:space="preserve">1708                </t>
  </si>
  <si>
    <t xml:space="preserve">ETI AARDLEKSCH 4P 63A 300 mA  </t>
  </si>
  <si>
    <t xml:space="preserve">1709                </t>
  </si>
  <si>
    <t xml:space="preserve">ETI  AUTOMAAT6KA 6A 1P+N BKAR </t>
  </si>
  <si>
    <t xml:space="preserve">1710                </t>
  </si>
  <si>
    <t>ETI  AUTOMAAT6KA 16A 1P+N BKAR</t>
  </si>
  <si>
    <t xml:space="preserve">1711                </t>
  </si>
  <si>
    <t>ETI  AUTOMAAT6KA 16A 1P+N CKAR</t>
  </si>
  <si>
    <t xml:space="preserve">1712                </t>
  </si>
  <si>
    <t>ETI  AUTOMAAT6KA 20A 1P+N CKAR</t>
  </si>
  <si>
    <t xml:space="preserve">1713                </t>
  </si>
  <si>
    <t>ETI  AUTOMAAT6KA 25A 1P+N CKAR</t>
  </si>
  <si>
    <t xml:space="preserve">1714                </t>
  </si>
  <si>
    <t>ETI  AUTOMAAT6KA 50A 1P+N CKAR</t>
  </si>
  <si>
    <t xml:space="preserve">1715                </t>
  </si>
  <si>
    <t xml:space="preserve">ETI AUTOMAAT 6KA 1P+N 25A B   </t>
  </si>
  <si>
    <t xml:space="preserve">1716                </t>
  </si>
  <si>
    <t xml:space="preserve">ETI AUTOMAAT 6KA 2P 16A CKAR  </t>
  </si>
  <si>
    <t xml:space="preserve">1717                </t>
  </si>
  <si>
    <t xml:space="preserve">ETI AUTOMAAT 6KA 2P 16A B KAR </t>
  </si>
  <si>
    <t xml:space="preserve">1718                </t>
  </si>
  <si>
    <t xml:space="preserve">ETI AUTOMAAT 6KA 2P 20A CKAR  </t>
  </si>
  <si>
    <t xml:space="preserve">1719                </t>
  </si>
  <si>
    <t xml:space="preserve">ETI AUTOMAAT 6KA 2P 25A CKAR  </t>
  </si>
  <si>
    <t xml:space="preserve">1720                </t>
  </si>
  <si>
    <t xml:space="preserve">ETI AUTOMAAT 6KA 3P 16A CKAR  </t>
  </si>
  <si>
    <t xml:space="preserve">1721                </t>
  </si>
  <si>
    <t xml:space="preserve">ETI AUTOMAAT 6KA 3P 20A C KAR </t>
  </si>
  <si>
    <t xml:space="preserve">1722                </t>
  </si>
  <si>
    <t xml:space="preserve">ETI AUTOMAAT 6KA 3P 25A C KAR </t>
  </si>
  <si>
    <t xml:space="preserve">1723                </t>
  </si>
  <si>
    <t xml:space="preserve">ETI AUTOMAAT 6KA 3P 32A C KAR </t>
  </si>
  <si>
    <t xml:space="preserve">1724                </t>
  </si>
  <si>
    <t xml:space="preserve">ETI AUTOMAAT 6KA 3P 40A CKAR  </t>
  </si>
  <si>
    <t xml:space="preserve">1725                </t>
  </si>
  <si>
    <t xml:space="preserve">ETI AUTOMAAT 6KA 3P 50A CKAR  </t>
  </si>
  <si>
    <t xml:space="preserve">1726                </t>
  </si>
  <si>
    <t xml:space="preserve">ETI AUTOMAAT 6KA 3P 63A CKAR  </t>
  </si>
  <si>
    <t xml:space="preserve">1727                </t>
  </si>
  <si>
    <t>ETI AUTOMAAT 6KA 3P+N 16A BKAR</t>
  </si>
  <si>
    <t xml:space="preserve">1728                </t>
  </si>
  <si>
    <t>ETI AUTOMAAT 6KA 3P+N 16A CKAR</t>
  </si>
  <si>
    <t xml:space="preserve">1729                </t>
  </si>
  <si>
    <t>ETI AUTOMAAT 6KA 3P+N 25A CKAR</t>
  </si>
  <si>
    <t xml:space="preserve">1730                </t>
  </si>
  <si>
    <t>ETI AUTOMAAT 6KA 3P+N 32A CKAR</t>
  </si>
  <si>
    <t xml:space="preserve">1731                </t>
  </si>
  <si>
    <t>ETI AUTOMAAT 6KA 3P+N 40A CKAR</t>
  </si>
  <si>
    <t xml:space="preserve">1732                </t>
  </si>
  <si>
    <t>ETI AUTOMAAT 6KA 3P+N 50A CKAR</t>
  </si>
  <si>
    <t xml:space="preserve">1733                </t>
  </si>
  <si>
    <t>ETI AUTOMAAT 6KA 3P+N 63A CKAR</t>
  </si>
  <si>
    <t xml:space="preserve">1734                </t>
  </si>
  <si>
    <t>ETI AARDLEK AUTOM 1P+N16A B 30</t>
  </si>
  <si>
    <t xml:space="preserve">1735                </t>
  </si>
  <si>
    <t>ETI AARDLEK AUTOM 1P+N16A C 30</t>
  </si>
  <si>
    <t xml:space="preserve">1736                </t>
  </si>
  <si>
    <t>ETI AUTOMAAT 6KA 3P+N 20A CKAR</t>
  </si>
  <si>
    <t xml:space="preserve">1737                </t>
  </si>
  <si>
    <t xml:space="preserve">ETI AUTOMAAT 6KA 3P+N 6A BKAR </t>
  </si>
  <si>
    <t xml:space="preserve">1738                </t>
  </si>
  <si>
    <t xml:space="preserve">ETI AUTOMAAT 6KA 3P+N 6A CKAR </t>
  </si>
  <si>
    <t xml:space="preserve">1739                </t>
  </si>
  <si>
    <t xml:space="preserve">ETI AUTOMAAT 6KA 2P 32A CKAR  </t>
  </si>
  <si>
    <t xml:space="preserve">1740                </t>
  </si>
  <si>
    <t xml:space="preserve">ETI AUTOMAAT 6KA 2P 40A CKAR  </t>
  </si>
  <si>
    <t xml:space="preserve">1741                </t>
  </si>
  <si>
    <t xml:space="preserve">ETI AUTOMAAT 6KA 2P 6A B KAR  </t>
  </si>
  <si>
    <t xml:space="preserve">1742                </t>
  </si>
  <si>
    <t>ETI  AUTOMAAT6KA 32A 1P+N CKAR</t>
  </si>
  <si>
    <t xml:space="preserve">1743                </t>
  </si>
  <si>
    <t xml:space="preserve">ETI  AUTOMAAT15KA 80A 3P+N C  </t>
  </si>
  <si>
    <t xml:space="preserve">1744                </t>
  </si>
  <si>
    <t xml:space="preserve">ETI  AUTOMAAT15KA 100A 3P+N C </t>
  </si>
  <si>
    <t xml:space="preserve">1745                </t>
  </si>
  <si>
    <t xml:space="preserve">ETI  AUTOMAAT15KA 125A 3P+N C </t>
  </si>
  <si>
    <t xml:space="preserve">1746                </t>
  </si>
  <si>
    <t xml:space="preserve">ETI 2421311 OMSCHAKELAAR 16A  </t>
  </si>
  <si>
    <t xml:space="preserve">1747                </t>
  </si>
  <si>
    <t xml:space="preserve">ETI  CRM-91 H TIJD RELAY      </t>
  </si>
  <si>
    <t xml:space="preserve">1748                </t>
  </si>
  <si>
    <t xml:space="preserve">ETI TIJDKLOK SHT 1 KANAL 230V </t>
  </si>
  <si>
    <t xml:space="preserve">1749                </t>
  </si>
  <si>
    <t xml:space="preserve">ETI TIJDKLOK SHT 2 KANAL 230V </t>
  </si>
  <si>
    <t xml:space="preserve">1750                </t>
  </si>
  <si>
    <t>ETI  MAGNEET SCHAKELAAR 2P 20A</t>
  </si>
  <si>
    <t xml:space="preserve">1751                </t>
  </si>
  <si>
    <t>ETI  MAGNEET SCHAKELAAR 4P 25A</t>
  </si>
  <si>
    <t xml:space="preserve">1752                </t>
  </si>
  <si>
    <t xml:space="preserve">ETI MAGNEET SCHAKELAAR 4P 40A </t>
  </si>
  <si>
    <t xml:space="preserve">1753                </t>
  </si>
  <si>
    <t>ETI  MAGNEET SCHAKELAAR 4P 63A</t>
  </si>
  <si>
    <t xml:space="preserve">1754                </t>
  </si>
  <si>
    <t xml:space="preserve">ETI  MAGNEET SCH 4P 63A 24V   </t>
  </si>
  <si>
    <t xml:space="preserve">1755                </t>
  </si>
  <si>
    <t xml:space="preserve">ETI AARDLEK AUTOM 2P B16 30MA </t>
  </si>
  <si>
    <t xml:space="preserve">1756                </t>
  </si>
  <si>
    <t xml:space="preserve">ETI AARDLEK AUTOM 2P C16 30MA </t>
  </si>
  <si>
    <t xml:space="preserve">1757                </t>
  </si>
  <si>
    <t xml:space="preserve">ETI AARDLEK AUTOM 2P C20 30MA </t>
  </si>
  <si>
    <t xml:space="preserve">1758                </t>
  </si>
  <si>
    <t xml:space="preserve">ETI AARDLEK AUTOM 2P C25 30MA </t>
  </si>
  <si>
    <t xml:space="preserve">1759                </t>
  </si>
  <si>
    <t xml:space="preserve">ETI VERMOGENS AUTOM EB 160/4S </t>
  </si>
  <si>
    <t xml:space="preserve">1760                </t>
  </si>
  <si>
    <t xml:space="preserve">ETIVERMOGENS AUTOM EB 250/4S  </t>
  </si>
  <si>
    <t xml:space="preserve">1761                </t>
  </si>
  <si>
    <t xml:space="preserve">ETI VERMOGENS AUTOM EB 400/4S </t>
  </si>
  <si>
    <t xml:space="preserve">1762                </t>
  </si>
  <si>
    <t xml:space="preserve">ETI VERMOGENS AUTOM EB 630/4S </t>
  </si>
  <si>
    <t xml:space="preserve">1763                </t>
  </si>
  <si>
    <t xml:space="preserve">ETI VERMOGENS AUTOM EB 800/4p </t>
  </si>
  <si>
    <t xml:space="preserve">1764                </t>
  </si>
  <si>
    <t>ETI VERMOGENS AUTOM EB2R 250/4</t>
  </si>
  <si>
    <t xml:space="preserve">1765                </t>
  </si>
  <si>
    <t xml:space="preserve">ETI AARDLEKSCH 4P 80A 30 mA   </t>
  </si>
  <si>
    <t xml:space="preserve">1766                </t>
  </si>
  <si>
    <t xml:space="preserve">ETI AARDLEKSCH 4P 100A 30 mA  </t>
  </si>
  <si>
    <t xml:space="preserve">1767                </t>
  </si>
  <si>
    <t xml:space="preserve">ETI AARDLEKSCH 4P 80A 300 MA  </t>
  </si>
  <si>
    <t xml:space="preserve">1768                </t>
  </si>
  <si>
    <t xml:space="preserve">ETI AARDLEKSCH 4P 100A 300 MA </t>
  </si>
  <si>
    <t xml:space="preserve">1769                </t>
  </si>
  <si>
    <t xml:space="preserve">ETI  AUTOMAAT6KA B40 1P B KAR </t>
  </si>
  <si>
    <t xml:space="preserve">1770                </t>
  </si>
  <si>
    <t xml:space="preserve">ETI AARDLEKSCH 4P 100A 100 mA </t>
  </si>
  <si>
    <t xml:space="preserve">1771                </t>
  </si>
  <si>
    <t xml:space="preserve">ETI 2444005 TNC-S 25/100 4+0  </t>
  </si>
  <si>
    <t xml:space="preserve">1772                </t>
  </si>
  <si>
    <t>ETI 4671147 SHUNTDA2 AC200-240</t>
  </si>
  <si>
    <t xml:space="preserve">1773                </t>
  </si>
  <si>
    <t xml:space="preserve">ETI 4671149 SHUNT DC 24V      </t>
  </si>
  <si>
    <t xml:space="preserve">1774                </t>
  </si>
  <si>
    <t xml:space="preserve">ETI 4671153 UNDERV AC 200-240 </t>
  </si>
  <si>
    <t xml:space="preserve">1775                </t>
  </si>
  <si>
    <t xml:space="preserve">ETI 4671155 UNDERV DC 24V     </t>
  </si>
  <si>
    <t xml:space="preserve">1776                </t>
  </si>
  <si>
    <t xml:space="preserve">ETI 4671222 ZB2 400/4 SPEIDER </t>
  </si>
  <si>
    <t xml:space="preserve">1777                </t>
  </si>
  <si>
    <t xml:space="preserve">ETI 2159301 DA ETIMAT 10 230V </t>
  </si>
  <si>
    <t xml:space="preserve">1778                </t>
  </si>
  <si>
    <t xml:space="preserve">ETI 2159312 DA ETIMAT 10 24V  </t>
  </si>
  <si>
    <t xml:space="preserve">1779                </t>
  </si>
  <si>
    <t xml:space="preserve">ETI AARDLEKSCH 4P 40A 100 mA  </t>
  </si>
  <si>
    <t xml:space="preserve">1783                </t>
  </si>
  <si>
    <t>ETI AARDLEK AUTOM 1P+N20A C 30</t>
  </si>
  <si>
    <t xml:space="preserve">1784                </t>
  </si>
  <si>
    <t>ETI AARDLEK AUTOM 1P+N25A C 30</t>
  </si>
  <si>
    <t xml:space="preserve">1785                </t>
  </si>
  <si>
    <t xml:space="preserve">ETI  MOTOR MAGN SCHAK 250A    </t>
  </si>
  <si>
    <t xml:space="preserve">1786                </t>
  </si>
  <si>
    <t>ETI  HULPCONTACT BLOK BCXMLE11</t>
  </si>
  <si>
    <t xml:space="preserve">1787                </t>
  </si>
  <si>
    <t>ETI HULPCONTACT BLOK BCXMRLE11</t>
  </si>
  <si>
    <t xml:space="preserve">1788                </t>
  </si>
  <si>
    <t>ETI  4804051 KWH METER 3X63A D</t>
  </si>
  <si>
    <t xml:space="preserve">1796                </t>
  </si>
  <si>
    <t xml:space="preserve">P10-M6                        </t>
  </si>
  <si>
    <t xml:space="preserve">1797                </t>
  </si>
  <si>
    <t xml:space="preserve">P20-M6                        </t>
  </si>
  <si>
    <t xml:space="preserve">1798                </t>
  </si>
  <si>
    <t xml:space="preserve">P50-M6                        </t>
  </si>
  <si>
    <t xml:space="preserve">1799                </t>
  </si>
  <si>
    <t xml:space="preserve">P80-M6                        </t>
  </si>
  <si>
    <t xml:space="preserve">1800                </t>
  </si>
  <si>
    <t>CA-32 CAJA VACIA TAPA TRANSPAR</t>
  </si>
  <si>
    <t xml:space="preserve">1801                </t>
  </si>
  <si>
    <t>CA-33 CAJA VACIA TAPA TRANSPAR</t>
  </si>
  <si>
    <t xml:space="preserve">1802                </t>
  </si>
  <si>
    <t>CA-43 CAJA VACIA TAPA TRANSPAR</t>
  </si>
  <si>
    <t xml:space="preserve">1803                </t>
  </si>
  <si>
    <t>CA-44 CAJA VACIA TAPA TRANSPAR</t>
  </si>
  <si>
    <t xml:space="preserve">1804                </t>
  </si>
  <si>
    <t>CA-63 CAJA VACIA TAPA TRANSPAR</t>
  </si>
  <si>
    <t xml:space="preserve">1805                </t>
  </si>
  <si>
    <t>CA-64 CAJA VACIA TAPA TRANSPAR</t>
  </si>
  <si>
    <t xml:space="preserve">1806                </t>
  </si>
  <si>
    <t>CA-66 CAJA VACIA TAPA TRANSPAR</t>
  </si>
  <si>
    <t xml:space="preserve">1807                </t>
  </si>
  <si>
    <t xml:space="preserve">CA-84A CAJA VACIA TAPA TRANSP </t>
  </si>
  <si>
    <t xml:space="preserve">1808                </t>
  </si>
  <si>
    <t xml:space="preserve">CA-86A CAJA VACIA TAPA TRANSP </t>
  </si>
  <si>
    <t xml:space="preserve">1809                </t>
  </si>
  <si>
    <t xml:space="preserve">PP-32 PLACA POLIESTER PP-32   </t>
  </si>
  <si>
    <t xml:space="preserve">1810                </t>
  </si>
  <si>
    <t xml:space="preserve">PP-33 PLACA POLIESTER PP-33   </t>
  </si>
  <si>
    <t xml:space="preserve">1811                </t>
  </si>
  <si>
    <t xml:space="preserve">PP-43 PLACA POLIESTER PP-43   </t>
  </si>
  <si>
    <t xml:space="preserve">1812                </t>
  </si>
  <si>
    <t xml:space="preserve">PP-44 PLACA POLIESTER PP-44   </t>
  </si>
  <si>
    <t xml:space="preserve">1813                </t>
  </si>
  <si>
    <t xml:space="preserve"> PP-63 PLACA POLIESTER PP-63  </t>
  </si>
  <si>
    <t xml:space="preserve">18131               </t>
  </si>
  <si>
    <t xml:space="preserve"> PP-64 PLACA POLIESTER PP-64  </t>
  </si>
  <si>
    <t xml:space="preserve">1814                </t>
  </si>
  <si>
    <t xml:space="preserve">PP-66 PLACA POLIESTER PP-66   </t>
  </si>
  <si>
    <t xml:space="preserve">1815                </t>
  </si>
  <si>
    <t xml:space="preserve"> PP-84 PLACA POLIESTER PP-84  </t>
  </si>
  <si>
    <t xml:space="preserve">1816                </t>
  </si>
  <si>
    <t xml:space="preserve">PP-86 PLACA POLIESTER PP-86   </t>
  </si>
  <si>
    <t xml:space="preserve">1817                </t>
  </si>
  <si>
    <t xml:space="preserve">CU-32 CAJA CUERPO CA-32       </t>
  </si>
  <si>
    <t xml:space="preserve">1818                </t>
  </si>
  <si>
    <t xml:space="preserve">CU-33 CAJA CUERPO CA-33       </t>
  </si>
  <si>
    <t xml:space="preserve">1819                </t>
  </si>
  <si>
    <t xml:space="preserve">CU-44 CAJA CUERPO CA-44       </t>
  </si>
  <si>
    <t xml:space="preserve">1820                </t>
  </si>
  <si>
    <t xml:space="preserve">CU-43 CAJA CUERPO CA-43       </t>
  </si>
  <si>
    <t xml:space="preserve">1821                </t>
  </si>
  <si>
    <t xml:space="preserve">CU-63 CAJA CUERPO CA-63       </t>
  </si>
  <si>
    <t xml:space="preserve">18211               </t>
  </si>
  <si>
    <t xml:space="preserve">CU-64 CAJA CUERPO CA-64       </t>
  </si>
  <si>
    <t xml:space="preserve">1822                </t>
  </si>
  <si>
    <t xml:space="preserve">CU-66 CAJA CUERPO CA-66       </t>
  </si>
  <si>
    <t xml:space="preserve">1823                </t>
  </si>
  <si>
    <t xml:space="preserve">CU-84 CAJA CUERPO CA-84       </t>
  </si>
  <si>
    <t xml:space="preserve">1824                </t>
  </si>
  <si>
    <t xml:space="preserve">CU-86 CAJA CUERPO CA-86       </t>
  </si>
  <si>
    <t xml:space="preserve">1825                </t>
  </si>
  <si>
    <t>TT-32-CJ TAPA POLICARB.TRANSP.</t>
  </si>
  <si>
    <t xml:space="preserve">1826                </t>
  </si>
  <si>
    <t>TT-33-CJ TAPA POLICARB.TRANSP.</t>
  </si>
  <si>
    <t xml:space="preserve">1827                </t>
  </si>
  <si>
    <t>TT-43-CJ TAPA POLICARB.TRANSP.</t>
  </si>
  <si>
    <t xml:space="preserve">1828                </t>
  </si>
  <si>
    <t>TT-44-CJ TAPA POLICARB.TRANSP.</t>
  </si>
  <si>
    <t xml:space="preserve">1829                </t>
  </si>
  <si>
    <t>TT-63-CJ TAPA POLICARB.TRANSP.</t>
  </si>
  <si>
    <t xml:space="preserve">1830                </t>
  </si>
  <si>
    <t>TT-64-CJ TAPA POLICARB.TRANSP.</t>
  </si>
  <si>
    <t xml:space="preserve">1831                </t>
  </si>
  <si>
    <t>TT-66-CJ TAPA POLICARB.TRANSP.</t>
  </si>
  <si>
    <t xml:space="preserve">1832                </t>
  </si>
  <si>
    <t>TT-84A-CJ TAPA POLICARB.TRANSP</t>
  </si>
  <si>
    <t xml:space="preserve">1833                </t>
  </si>
  <si>
    <t>TT-86A-CJ TAPA POLICARB.TRANSP</t>
  </si>
  <si>
    <t xml:space="preserve">1834                </t>
  </si>
  <si>
    <t>TO-32-CJ TAPA POLICARB.OPACO C</t>
  </si>
  <si>
    <t xml:space="preserve">1835                </t>
  </si>
  <si>
    <t>TO-33-CJ TAPA POLICARB.OPACO C</t>
  </si>
  <si>
    <t xml:space="preserve">18351               </t>
  </si>
  <si>
    <t>TO-43-CJ TAPA POLICARB.OPACO C</t>
  </si>
  <si>
    <t xml:space="preserve">1836                </t>
  </si>
  <si>
    <t>TO-44-CJ TAPA POLICARB.OPACO C</t>
  </si>
  <si>
    <t xml:space="preserve">1837                </t>
  </si>
  <si>
    <t>TO-63-CJ TAPA POLICARB.OPACO C</t>
  </si>
  <si>
    <t xml:space="preserve">1838                </t>
  </si>
  <si>
    <t>TO-66-CJ TAPA POLICARB.OPACO C</t>
  </si>
  <si>
    <t xml:space="preserve">1839                </t>
  </si>
  <si>
    <t xml:space="preserve">TO-84A-CJ TAPA POLICARB.OPACO </t>
  </si>
  <si>
    <t xml:space="preserve">1840                </t>
  </si>
  <si>
    <t xml:space="preserve">TO-86A-CJ TAPA POLICARB.OPACO </t>
  </si>
  <si>
    <t xml:space="preserve">1841                </t>
  </si>
  <si>
    <t xml:space="preserve">CHASSIS CA-33-1 EN KIT        </t>
  </si>
  <si>
    <t xml:space="preserve">1842                </t>
  </si>
  <si>
    <t xml:space="preserve">CHASSIS CA-43-1 EN KIT        </t>
  </si>
  <si>
    <t xml:space="preserve">1843                </t>
  </si>
  <si>
    <t xml:space="preserve">CHASSIS CA-44-1 EN KIT        </t>
  </si>
  <si>
    <t xml:space="preserve">1844                </t>
  </si>
  <si>
    <t xml:space="preserve">CHASSIS CA-63-1 EN KIT        </t>
  </si>
  <si>
    <t xml:space="preserve">1845                </t>
  </si>
  <si>
    <t xml:space="preserve">CHASSIS CA-64-1 EN KIT        </t>
  </si>
  <si>
    <t xml:space="preserve">1846                </t>
  </si>
  <si>
    <t xml:space="preserve">TC-02-CJ TAPA CIEGA C/JUNTA   </t>
  </si>
  <si>
    <t xml:space="preserve">1847                </t>
  </si>
  <si>
    <t xml:space="preserve">TC-03-CJ TAPA CIEGA C/JUNTA   </t>
  </si>
  <si>
    <t xml:space="preserve">1848                </t>
  </si>
  <si>
    <t xml:space="preserve">TC-04-CJ TAPA CIEGA C/JUNTA   </t>
  </si>
  <si>
    <t xml:space="preserve">1849                </t>
  </si>
  <si>
    <t xml:space="preserve">BA-20-CJ BRIDA ACOP.C/JUNTA   </t>
  </si>
  <si>
    <t xml:space="preserve">1850                </t>
  </si>
  <si>
    <t xml:space="preserve">BA-30-CJ BRIDA ACOP.C/JUNTA   </t>
  </si>
  <si>
    <t xml:space="preserve">1851                </t>
  </si>
  <si>
    <t xml:space="preserve">BA-40-CJ BRIDA ACOP.C/JUNTA   </t>
  </si>
  <si>
    <t xml:space="preserve">1852                </t>
  </si>
  <si>
    <t xml:space="preserve">CC-03-CJ CAJA CABLES CIEGA    </t>
  </si>
  <si>
    <t xml:space="preserve">1853                </t>
  </si>
  <si>
    <t xml:space="preserve">CC-04-CJ CAJA CABLES CIEGA    </t>
  </si>
  <si>
    <t xml:space="preserve">1854                </t>
  </si>
  <si>
    <t xml:space="preserve">RE-63 REGRUESO PARA CA-63     </t>
  </si>
  <si>
    <t xml:space="preserve">1855                </t>
  </si>
  <si>
    <t xml:space="preserve">RE-64 REGRUESO PARA CA-64     </t>
  </si>
  <si>
    <t xml:space="preserve">18551               </t>
  </si>
  <si>
    <t xml:space="preserve">RE-66 REGRUESO PARA CA-66     </t>
  </si>
  <si>
    <t xml:space="preserve">1856                </t>
  </si>
  <si>
    <t xml:space="preserve">BRES-325 ARMARIO VACIO NORMAL </t>
  </si>
  <si>
    <t xml:space="preserve">1857                </t>
  </si>
  <si>
    <t xml:space="preserve">BRES-43 ARMARIO VACIO NORMAL  </t>
  </si>
  <si>
    <t xml:space="preserve">18571               </t>
  </si>
  <si>
    <t xml:space="preserve">BRES-54 ARMARIO VACIO NORMAL  </t>
  </si>
  <si>
    <t xml:space="preserve">1858                </t>
  </si>
  <si>
    <t xml:space="preserve">BRES-64 ARMARIO VACIO NORMAL  </t>
  </si>
  <si>
    <t xml:space="preserve">1859                </t>
  </si>
  <si>
    <t xml:space="preserve">BRES-65 ARMARIO VACIO NORMAL  </t>
  </si>
  <si>
    <t xml:space="preserve">1860                </t>
  </si>
  <si>
    <t xml:space="preserve">BRES-86 ARMARIO VACIO NORMAL  </t>
  </si>
  <si>
    <t xml:space="preserve">1861                </t>
  </si>
  <si>
    <t xml:space="preserve">ART-75 ARMARIO DE 75X500      </t>
  </si>
  <si>
    <t xml:space="preserve">1862                </t>
  </si>
  <si>
    <t>ART-107 ARM.TEJADILLO 1000X750</t>
  </si>
  <si>
    <t xml:space="preserve">1863                </t>
  </si>
  <si>
    <t xml:space="preserve">ART-1010 ARMARIO DE 1000X1000 </t>
  </si>
  <si>
    <t xml:space="preserve">18631               </t>
  </si>
  <si>
    <t xml:space="preserve">PBM-325 PLACA METALICA        </t>
  </si>
  <si>
    <t xml:space="preserve">1864                </t>
  </si>
  <si>
    <t xml:space="preserve">PBM-43 PLACA METALICA         </t>
  </si>
  <si>
    <t xml:space="preserve">18641               </t>
  </si>
  <si>
    <t xml:space="preserve">PBM-54 PLACA METALICA         </t>
  </si>
  <si>
    <t xml:space="preserve">1865                </t>
  </si>
  <si>
    <t xml:space="preserve">PBM-64 PLACA METALICA PBM-64  </t>
  </si>
  <si>
    <t xml:space="preserve">1866                </t>
  </si>
  <si>
    <t xml:space="preserve">PBM-65 PLACA METALICA PBM-65  </t>
  </si>
  <si>
    <t xml:space="preserve">1867                </t>
  </si>
  <si>
    <t xml:space="preserve">PBM-86 PLACA METALICA PBM-86  </t>
  </si>
  <si>
    <t xml:space="preserve">1868                </t>
  </si>
  <si>
    <t xml:space="preserve">CHM-325 CHASIS MODULAR BRES   </t>
  </si>
  <si>
    <t xml:space="preserve">1869                </t>
  </si>
  <si>
    <t xml:space="preserve">CHM-43 CHASIS MODULAR BRES    </t>
  </si>
  <si>
    <t xml:space="preserve">18691               </t>
  </si>
  <si>
    <t xml:space="preserve">CHM-54 CHASIS MODULAR BRES    </t>
  </si>
  <si>
    <t xml:space="preserve">1870                </t>
  </si>
  <si>
    <t xml:space="preserve">CHM-64 CHASIS MODULAR BRES    </t>
  </si>
  <si>
    <t xml:space="preserve">1871                </t>
  </si>
  <si>
    <t xml:space="preserve">CHM-65 CHASIS MODULAR BRES    </t>
  </si>
  <si>
    <t xml:space="preserve">1872                </t>
  </si>
  <si>
    <t xml:space="preserve">CHM-86 CHASIS MODULAR BRES    </t>
  </si>
  <si>
    <t xml:space="preserve">1873                </t>
  </si>
  <si>
    <t xml:space="preserve">PMM-75 PLACA MONT.ART75       </t>
  </si>
  <si>
    <t xml:space="preserve">1874                </t>
  </si>
  <si>
    <t xml:space="preserve">PMM-107 PLACA . PARA ART 107  </t>
  </si>
  <si>
    <t xml:space="preserve">1875                </t>
  </si>
  <si>
    <t xml:space="preserve">GLE-160A-7 CAJA G.P. 160A     </t>
  </si>
  <si>
    <t xml:space="preserve">1876                </t>
  </si>
  <si>
    <t xml:space="preserve">GLE-250A-7 CAJA G.P. 250A     </t>
  </si>
  <si>
    <t xml:space="preserve">1877                </t>
  </si>
  <si>
    <t xml:space="preserve">GLE-400A-7 CAJA G.P. 400A     </t>
  </si>
  <si>
    <t xml:space="preserve">1878                </t>
  </si>
  <si>
    <t xml:space="preserve"> CR-350 CAJA REPART.CABLE 50MM</t>
  </si>
  <si>
    <t xml:space="preserve">1879                </t>
  </si>
  <si>
    <t xml:space="preserve">CR-395 CAJA REPART.CABLE 95MM </t>
  </si>
  <si>
    <t xml:space="preserve">1880                </t>
  </si>
  <si>
    <t xml:space="preserve">DV-M DISPOSITIVO VENTILACION  </t>
  </si>
  <si>
    <t xml:space="preserve">1881                </t>
  </si>
  <si>
    <t>DV-G DISPOSITIVO VENTILACION G</t>
  </si>
  <si>
    <t xml:space="preserve">1882                </t>
  </si>
  <si>
    <t xml:space="preserve"> OFC-4000 OREJA FIJACION  CAJA</t>
  </si>
  <si>
    <t xml:space="preserve">1883                </t>
  </si>
  <si>
    <t xml:space="preserve">TFT-400 TORNILLO PARA CAJA    </t>
  </si>
  <si>
    <t xml:space="preserve">1884                </t>
  </si>
  <si>
    <t xml:space="preserve">TFT-400M TONILLO MANUAL       </t>
  </si>
  <si>
    <t xml:space="preserve">1885                </t>
  </si>
  <si>
    <t xml:space="preserve">HH 1042705 C-PROFIEL          </t>
  </si>
  <si>
    <t xml:space="preserve">1886                </t>
  </si>
  <si>
    <t>OFM-14 OREJA FIJACION MURAL 4U</t>
  </si>
  <si>
    <t xml:space="preserve">1887                </t>
  </si>
  <si>
    <t xml:space="preserve">HH1021489 RAILSTEUN 15X8MM    </t>
  </si>
  <si>
    <t xml:space="preserve">18871               </t>
  </si>
  <si>
    <t xml:space="preserve">HH1021487 RAILST 15X4 R430/4  </t>
  </si>
  <si>
    <t xml:space="preserve">1888                </t>
  </si>
  <si>
    <t xml:space="preserve">HH1021489 RAILSTEUN 15X16MM   </t>
  </si>
  <si>
    <t xml:space="preserve">18881               </t>
  </si>
  <si>
    <t>HH1021490 RAILST 15X24 R430/24</t>
  </si>
  <si>
    <t xml:space="preserve">1889                </t>
  </si>
  <si>
    <t xml:space="preserve">UR-430/4 TAPA FINAL C/SOPORT  </t>
  </si>
  <si>
    <t xml:space="preserve">18891               </t>
  </si>
  <si>
    <t>HH1763901 AFTAKSTRIP  250 L123</t>
  </si>
  <si>
    <t xml:space="preserve">18892               </t>
  </si>
  <si>
    <t xml:space="preserve">HH1763916 AFTAKSTRIP 250 NUL  </t>
  </si>
  <si>
    <t xml:space="preserve">1890                </t>
  </si>
  <si>
    <t xml:space="preserve">HH 1764.194 AFTAKSET DMV 400L </t>
  </si>
  <si>
    <t xml:space="preserve">1891                </t>
  </si>
  <si>
    <t xml:space="preserve">HH 1764.249 AFTAKSET BOVEN N  </t>
  </si>
  <si>
    <t xml:space="preserve">1892                </t>
  </si>
  <si>
    <t xml:space="preserve">HH 1764.116 AFTAKSET DMV630L  </t>
  </si>
  <si>
    <t xml:space="preserve">1893                </t>
  </si>
  <si>
    <t>HH 1764.114 AFTAKSET DMV630NUL</t>
  </si>
  <si>
    <t xml:space="preserve">1894                </t>
  </si>
  <si>
    <t>HH 1764.130 AFTAKSET DMV 1000L</t>
  </si>
  <si>
    <t xml:space="preserve">1895                </t>
  </si>
  <si>
    <t>HH 1764.132 AFTAKSET 1000A NUL</t>
  </si>
  <si>
    <t xml:space="preserve">1896                </t>
  </si>
  <si>
    <t xml:space="preserve">HH 1014.946 AFTAKBLOK 6X16MM  </t>
  </si>
  <si>
    <t xml:space="preserve">1897                </t>
  </si>
  <si>
    <t>HH 1014.316 RAILKOPPEL  A70/12</t>
  </si>
  <si>
    <t xml:space="preserve">1898                </t>
  </si>
  <si>
    <t>HH 1014.317 RAILKOPPEL  A70/16</t>
  </si>
  <si>
    <t xml:space="preserve">18981               </t>
  </si>
  <si>
    <t xml:space="preserve">HH1014761 AFTAKKLEM M6X30     </t>
  </si>
  <si>
    <t xml:space="preserve">1899                </t>
  </si>
  <si>
    <t xml:space="preserve">HH 1014.762 AFTAKKLEM 6X40    </t>
  </si>
  <si>
    <t xml:space="preserve">1900                </t>
  </si>
  <si>
    <t xml:space="preserve">HH 1014.763 AFTAKKLEM 6X50    </t>
  </si>
  <si>
    <t xml:space="preserve">1901                </t>
  </si>
  <si>
    <t xml:space="preserve">HH 1014.764 AFTAKKLEM M6X60   </t>
  </si>
  <si>
    <t xml:space="preserve">19011               </t>
  </si>
  <si>
    <t xml:space="preserve">HH1014765 AFTAKKLEM M6X80     </t>
  </si>
  <si>
    <t xml:space="preserve">1902                </t>
  </si>
  <si>
    <t xml:space="preserve">HH 1081.141 INTREKMOER M4     </t>
  </si>
  <si>
    <t xml:space="preserve">1903                </t>
  </si>
  <si>
    <t xml:space="preserve">HH 1081.135 INTREKMOER M5     </t>
  </si>
  <si>
    <t xml:space="preserve">1904                </t>
  </si>
  <si>
    <t xml:space="preserve">HH 1081.136 INTREKMOER M6     </t>
  </si>
  <si>
    <t xml:space="preserve">1905                </t>
  </si>
  <si>
    <t xml:space="preserve">HH 1081.138 INTREKMOER M8     </t>
  </si>
  <si>
    <t xml:space="preserve">1906                </t>
  </si>
  <si>
    <t>HH 1014.939 AARDRAILSET 219 MM</t>
  </si>
  <si>
    <t xml:space="preserve">1907                </t>
  </si>
  <si>
    <t>HH 1014.940 AARDRAILSET 299 MM</t>
  </si>
  <si>
    <t xml:space="preserve">1908                </t>
  </si>
  <si>
    <t xml:space="preserve">HH 1021.008 RUB INV.TULE10-60 </t>
  </si>
  <si>
    <t xml:space="preserve">1909                </t>
  </si>
  <si>
    <t xml:space="preserve">HH 1021.010 RUB INVTULE 12-80 </t>
  </si>
  <si>
    <t xml:space="preserve">1910                </t>
  </si>
  <si>
    <t xml:space="preserve">HH 1042.705 BEV.MUUR 85X23    </t>
  </si>
  <si>
    <t xml:space="preserve">1911                </t>
  </si>
  <si>
    <t>HH 1071.318 CINLINDERSCHRM6X25</t>
  </si>
  <si>
    <t xml:space="preserve">1912                </t>
  </si>
  <si>
    <t xml:space="preserve">HH 1081.240 VIERKANTMOER 6    </t>
  </si>
  <si>
    <t xml:space="preserve">1913                </t>
  </si>
  <si>
    <t>HH 1015.912 AANSL KLEM 1X95 M8</t>
  </si>
  <si>
    <t xml:space="preserve">1914                </t>
  </si>
  <si>
    <t xml:space="preserve">HH 1015.913 AANSL KLEM 1X185  </t>
  </si>
  <si>
    <t xml:space="preserve">1915                </t>
  </si>
  <si>
    <t xml:space="preserve">HH 1015.914 AANSL KLEM 3X95   </t>
  </si>
  <si>
    <t xml:space="preserve">1916                </t>
  </si>
  <si>
    <t>HH 1014.741 STRIP MET 3X M6X10</t>
  </si>
  <si>
    <t xml:space="preserve">1917                </t>
  </si>
  <si>
    <t xml:space="preserve">RAILKOPER VERN 15X3MM         </t>
  </si>
  <si>
    <t xml:space="preserve">1918                </t>
  </si>
  <si>
    <t xml:space="preserve">RAILKOPER VERN 15X4MM         </t>
  </si>
  <si>
    <t xml:space="preserve">1919                </t>
  </si>
  <si>
    <t xml:space="preserve">RAILKOPER VERN 15X6MM         </t>
  </si>
  <si>
    <t xml:space="preserve">1920                </t>
  </si>
  <si>
    <t xml:space="preserve">RAILKOPER VERN 15X8MM         </t>
  </si>
  <si>
    <t xml:space="preserve">19201               </t>
  </si>
  <si>
    <t xml:space="preserve">RAILKOPER VERN 20X5MM         </t>
  </si>
  <si>
    <t xml:space="preserve">1921                </t>
  </si>
  <si>
    <t xml:space="preserve">HH1042253 OPVULSTRIP 20X45    </t>
  </si>
  <si>
    <t xml:space="preserve">1922                </t>
  </si>
  <si>
    <t xml:space="preserve">HH1021006 INV TULE PG21 E 62B </t>
  </si>
  <si>
    <t xml:space="preserve">1923                </t>
  </si>
  <si>
    <t xml:space="preserve">HH1021007 INV TULE PG29 E62C  </t>
  </si>
  <si>
    <t xml:space="preserve">1924                </t>
  </si>
  <si>
    <t>HH1860736 EINDKAP UR403/4 15X4</t>
  </si>
  <si>
    <t xml:space="preserve">1925                </t>
  </si>
  <si>
    <t>HH1860737 EINDKAP UR403/8 15X8</t>
  </si>
  <si>
    <t xml:space="preserve">1926                </t>
  </si>
  <si>
    <t>HH1860738 EINDK UR403/16 15X16</t>
  </si>
  <si>
    <t xml:space="preserve">19261               </t>
  </si>
  <si>
    <t>HH1860739 EINDK UR403/24 15X24</t>
  </si>
  <si>
    <t xml:space="preserve">1927                </t>
  </si>
  <si>
    <t xml:space="preserve">DINRAIL TS35/F5 GEPERF-OMEGA  </t>
  </si>
  <si>
    <t xml:space="preserve">19271               </t>
  </si>
  <si>
    <t xml:space="preserve">PRONUTEC OPB.KAST 1000X750    </t>
  </si>
  <si>
    <t xml:space="preserve">19272               </t>
  </si>
  <si>
    <t xml:space="preserve">PRONUTEC OPB.KAST 1000X1000   </t>
  </si>
  <si>
    <t xml:space="preserve">1928                </t>
  </si>
  <si>
    <t xml:space="preserve">SCHAKEL KAST&amp;SCHAKELAAR 125A  </t>
  </si>
  <si>
    <t xml:space="preserve">1929                </t>
  </si>
  <si>
    <t xml:space="preserve">SCHAKELKAST&amp;SCHAKELAAR 160A   </t>
  </si>
  <si>
    <t xml:space="preserve">1930                </t>
  </si>
  <si>
    <t xml:space="preserve">SCHAKELKAST&amp;SCHAKELAAR 250A   </t>
  </si>
  <si>
    <t xml:space="preserve">1931                </t>
  </si>
  <si>
    <t xml:space="preserve">SCHAKELKAST&amp;SCHAKELAAR 400A   </t>
  </si>
  <si>
    <t xml:space="preserve">1932                </t>
  </si>
  <si>
    <t xml:space="preserve">SCHAKELKAST&amp;SCHAKELAAR 630A   </t>
  </si>
  <si>
    <t xml:space="preserve">1933                </t>
  </si>
  <si>
    <t xml:space="preserve">HOOFDSCHAKELAAR 125A S5000    </t>
  </si>
  <si>
    <t xml:space="preserve">1934                </t>
  </si>
  <si>
    <t xml:space="preserve">HOOFDSCHAKELAAR 160A INBUS    </t>
  </si>
  <si>
    <t xml:space="preserve">1935                </t>
  </si>
  <si>
    <t xml:space="preserve">HOOFDSCHAKELAAR 160A S5000    </t>
  </si>
  <si>
    <t xml:space="preserve">1936                </t>
  </si>
  <si>
    <t xml:space="preserve">HOOFDSCHAKELAAR 250A          </t>
  </si>
  <si>
    <t xml:space="preserve">1937                </t>
  </si>
  <si>
    <t xml:space="preserve">HOOFDSCHAKELAAR 400A          </t>
  </si>
  <si>
    <t xml:space="preserve">1938                </t>
  </si>
  <si>
    <t xml:space="preserve">HOOFDSCHAKELAAR 630A          </t>
  </si>
  <si>
    <t xml:space="preserve">1939                </t>
  </si>
  <si>
    <t xml:space="preserve">HOOFDSCHAKELAAR 800A          </t>
  </si>
  <si>
    <t xml:space="preserve">1940                </t>
  </si>
  <si>
    <t xml:space="preserve">HOOFDSCHAKELAAR 1000A         </t>
  </si>
  <si>
    <t xml:space="preserve">1941                </t>
  </si>
  <si>
    <t>PANELHANDLE 40A - 250A-DS-SA01</t>
  </si>
  <si>
    <t xml:space="preserve">1942                </t>
  </si>
  <si>
    <t xml:space="preserve">DIRECT HANDEL 40A T/M 250A-CD </t>
  </si>
  <si>
    <t xml:space="preserve">1943                </t>
  </si>
  <si>
    <t>DIRECT HANDLE 250A T/M 400A-CD</t>
  </si>
  <si>
    <t xml:space="preserve">1944                </t>
  </si>
  <si>
    <t xml:space="preserve">PANEL HANDEL 250A T/M 400A-CD </t>
  </si>
  <si>
    <t xml:space="preserve">1945                </t>
  </si>
  <si>
    <t>DIRECT HANDLE 400A T/M 800A-CD</t>
  </si>
  <si>
    <t xml:space="preserve">1946                </t>
  </si>
  <si>
    <t>PANELHANDEL 500A 800A- DCCLA21</t>
  </si>
  <si>
    <t xml:space="preserve">1947                </t>
  </si>
  <si>
    <t>EXTENDEDSHAFT 40A-250A L=187MM</t>
  </si>
  <si>
    <t xml:space="preserve">1948                </t>
  </si>
  <si>
    <t xml:space="preserve">EXTENDEDSHAFT 250A-400A L=340 </t>
  </si>
  <si>
    <t xml:space="preserve">1949                </t>
  </si>
  <si>
    <t xml:space="preserve">1950                </t>
  </si>
  <si>
    <t xml:space="preserve">DIRECT HANDLE 800A-1000A-CD   </t>
  </si>
  <si>
    <t xml:space="preserve">1951                </t>
  </si>
  <si>
    <t>PANELHANDEL 800A-1250A-DS-LA31</t>
  </si>
  <si>
    <t xml:space="preserve">1952                </t>
  </si>
  <si>
    <t>EXTENDEDSHAFT 800A-1000A L=299</t>
  </si>
  <si>
    <t xml:space="preserve">1953                </t>
  </si>
  <si>
    <t xml:space="preserve">OMSCHAKELAAR 40A 3P+N         </t>
  </si>
  <si>
    <t xml:space="preserve">1954                </t>
  </si>
  <si>
    <t xml:space="preserve">OMSCHAKELAAR 63A 3P+N         </t>
  </si>
  <si>
    <t xml:space="preserve">1955                </t>
  </si>
  <si>
    <t xml:space="preserve">OMSCHAKELAAR 80A 3P+N         </t>
  </si>
  <si>
    <t xml:space="preserve">1956                </t>
  </si>
  <si>
    <t xml:space="preserve">OMSCHAKELAAR 125A 3P+N        </t>
  </si>
  <si>
    <t xml:space="preserve">1957                </t>
  </si>
  <si>
    <t xml:space="preserve">OMSCHAKELAAR 160A 3P          </t>
  </si>
  <si>
    <t xml:space="preserve">1958                </t>
  </si>
  <si>
    <t xml:space="preserve">OMSCHAKELAAR 250A 3P+N        </t>
  </si>
  <si>
    <t xml:space="preserve">1959                </t>
  </si>
  <si>
    <t xml:space="preserve">OMSCHAKELAAR 400A 3P+N        </t>
  </si>
  <si>
    <t xml:space="preserve">1960                </t>
  </si>
  <si>
    <t xml:space="preserve">OMSCHAKELAAR 630A 3P+N        </t>
  </si>
  <si>
    <t xml:space="preserve">1961                </t>
  </si>
  <si>
    <t>DINRAIL KIT VOOR OMSCH 40A/16A</t>
  </si>
  <si>
    <t xml:space="preserve">1962                </t>
  </si>
  <si>
    <t xml:space="preserve">DIRECT HANDLE 40A-200A-CD     </t>
  </si>
  <si>
    <t xml:space="preserve">1963                </t>
  </si>
  <si>
    <t>DIRECT HANDLE 200A-400A OMKEER</t>
  </si>
  <si>
    <t xml:space="preserve">1964                </t>
  </si>
  <si>
    <t>DIRECT HANDLE 630A-800A OMKEER</t>
  </si>
  <si>
    <t xml:space="preserve">1965                </t>
  </si>
  <si>
    <t xml:space="preserve">DOORVERBINDINGSET 40A T/M 80A </t>
  </si>
  <si>
    <t xml:space="preserve">1966                </t>
  </si>
  <si>
    <t xml:space="preserve">DOORVERBINDINGSET 125AT/M200A </t>
  </si>
  <si>
    <t xml:space="preserve">1967                </t>
  </si>
  <si>
    <t>EXTENDEDSHAFT 200A-1250A L=414</t>
  </si>
  <si>
    <t xml:space="preserve">1968                </t>
  </si>
  <si>
    <t xml:space="preserve">SCHAKELAAR MESPATR INB 125A   </t>
  </si>
  <si>
    <t xml:space="preserve">1969                </t>
  </si>
  <si>
    <t xml:space="preserve">SCHAKELAAR MESPATR INB 160A   </t>
  </si>
  <si>
    <t xml:space="preserve">1970                </t>
  </si>
  <si>
    <t xml:space="preserve">SCHAKELAAR MESPATR INB 250A   </t>
  </si>
  <si>
    <t xml:space="preserve">1971                </t>
  </si>
  <si>
    <t xml:space="preserve">SCHAKELAAR MESPATR INB 400A   </t>
  </si>
  <si>
    <t xml:space="preserve">1972                </t>
  </si>
  <si>
    <t xml:space="preserve">SCHAKELAAR MESPATR INB 630A   </t>
  </si>
  <si>
    <t xml:space="preserve">1973                </t>
  </si>
  <si>
    <t xml:space="preserve">DIRECT HANDLE 125A-160A-M11   </t>
  </si>
  <si>
    <t xml:space="preserve">1974                </t>
  </si>
  <si>
    <t xml:space="preserve">DIRECT HANDLE 250A-630A-M21   </t>
  </si>
  <si>
    <t xml:space="preserve">1975                </t>
  </si>
  <si>
    <t>PANELHANDEL 125A-160A- DCELAB1</t>
  </si>
  <si>
    <t xml:space="preserve">1976                </t>
  </si>
  <si>
    <t xml:space="preserve">PANEL HANDEL 250A-400A-M21    </t>
  </si>
  <si>
    <t xml:space="preserve">1977                </t>
  </si>
  <si>
    <t xml:space="preserve">PANEL HANDEL 630A-M21         </t>
  </si>
  <si>
    <t xml:space="preserve">1978                </t>
  </si>
  <si>
    <t>EXTENDEDSHAFT 40A-250A L=347MM</t>
  </si>
  <si>
    <t xml:space="preserve">1979                </t>
  </si>
  <si>
    <t xml:space="preserve">EXTENDED SHAFT 250A-630A M21  </t>
  </si>
  <si>
    <t xml:space="preserve">1980                </t>
  </si>
  <si>
    <t xml:space="preserve">EXTENDED SHAFT 630A M21       </t>
  </si>
  <si>
    <t xml:space="preserve">1981                </t>
  </si>
  <si>
    <t xml:space="preserve">WERKSCHAKELAAR 25A 4P         </t>
  </si>
  <si>
    <t xml:space="preserve">1982                </t>
  </si>
  <si>
    <t xml:space="preserve">WERKSCHAKELAAR 40A 4P         </t>
  </si>
  <si>
    <t xml:space="preserve">1983                </t>
  </si>
  <si>
    <t xml:space="preserve">WERKSCHAKELAAR 63A 4P         </t>
  </si>
  <si>
    <t xml:space="preserve">1984                </t>
  </si>
  <si>
    <t xml:space="preserve">WERKSCHAKELAAR 80A 4P         </t>
  </si>
  <si>
    <t xml:space="preserve">1985                </t>
  </si>
  <si>
    <t xml:space="preserve">MESPATROON HOUDER 160 A-NH-00 </t>
  </si>
  <si>
    <t xml:space="preserve">1986                </t>
  </si>
  <si>
    <t xml:space="preserve">NEUTRO BASES NB00 160A        </t>
  </si>
  <si>
    <t xml:space="preserve">1987                </t>
  </si>
  <si>
    <t xml:space="preserve">MESPATROON HOUDER 250 A-NH-1  </t>
  </si>
  <si>
    <t xml:space="preserve">1988                </t>
  </si>
  <si>
    <t xml:space="preserve">MESPATROON HOUDER 400 A-NH-2  </t>
  </si>
  <si>
    <t xml:space="preserve">1989                </t>
  </si>
  <si>
    <t xml:space="preserve">NEUTRAL BASES 250A-400A       </t>
  </si>
  <si>
    <t xml:space="preserve">1990                </t>
  </si>
  <si>
    <t xml:space="preserve">SCHAKELKAST MESPATROON 160A   </t>
  </si>
  <si>
    <t xml:space="preserve">1991                </t>
  </si>
  <si>
    <t xml:space="preserve">SCHAKELKAST MESPATROON 250A   </t>
  </si>
  <si>
    <t xml:space="preserve">1992                </t>
  </si>
  <si>
    <t xml:space="preserve">SCHAKELKAST MESPATROON 400A   </t>
  </si>
  <si>
    <t xml:space="preserve">1993                </t>
  </si>
  <si>
    <t xml:space="preserve">SCHAKELKAST MESPATROON 630A   </t>
  </si>
  <si>
    <t xml:space="preserve">1994                </t>
  </si>
  <si>
    <t xml:space="preserve">PANEL HANDLE S5000L 40-200A   </t>
  </si>
  <si>
    <t xml:space="preserve">1995                </t>
  </si>
  <si>
    <t xml:space="preserve">OMSCHAKELAAR 160A 3P+N        </t>
  </si>
  <si>
    <t xml:space="preserve">1996                </t>
  </si>
  <si>
    <t xml:space="preserve">POLYESTER KAST PNT1210 T1B    </t>
  </si>
  <si>
    <t xml:space="preserve">1997                </t>
  </si>
  <si>
    <t xml:space="preserve">HOOFDSCHAKELAAR 1250A 3P+N    </t>
  </si>
  <si>
    <t xml:space="preserve">1998                </t>
  </si>
  <si>
    <t xml:space="preserve">AANSLUITVLAG 1250A            </t>
  </si>
  <si>
    <t xml:space="preserve">1999                </t>
  </si>
  <si>
    <t xml:space="preserve">MESPATROONHOUDER 160A         </t>
  </si>
  <si>
    <t xml:space="preserve">2000                </t>
  </si>
  <si>
    <t xml:space="preserve">MESPATROONHOUDER 250A         </t>
  </si>
  <si>
    <t xml:space="preserve">2001                </t>
  </si>
  <si>
    <t xml:space="preserve">MESPATROONHOUDER 400A         </t>
  </si>
  <si>
    <t xml:space="preserve">2002                </t>
  </si>
  <si>
    <t xml:space="preserve">MESPATROONHOUDER 630A         </t>
  </si>
  <si>
    <t xml:space="preserve">2003                </t>
  </si>
  <si>
    <t xml:space="preserve">SCHIJDER NH 00                </t>
  </si>
  <si>
    <t xml:space="preserve">2004                </t>
  </si>
  <si>
    <t xml:space="preserve">SCHIJDER NH  1                </t>
  </si>
  <si>
    <t xml:space="preserve">2005                </t>
  </si>
  <si>
    <t xml:space="preserve">SCHIJDER NH 2                 </t>
  </si>
  <si>
    <t xml:space="preserve">2006                </t>
  </si>
  <si>
    <t xml:space="preserve"> SCHIJDER NH 00 SPECIAL       </t>
  </si>
  <si>
    <t xml:space="preserve">2997                </t>
  </si>
  <si>
    <t xml:space="preserve">SF-41 KABELSCHOEN TANG 6-25MM </t>
  </si>
  <si>
    <t xml:space="preserve">2998                </t>
  </si>
  <si>
    <t>SF-30 CABLE CUTTER UP TO 35 MM</t>
  </si>
  <si>
    <t xml:space="preserve">2999                </t>
  </si>
  <si>
    <t>WIHA SLIM SELECTION-SET 10 DLG</t>
  </si>
  <si>
    <t xml:space="preserve">3000                </t>
  </si>
  <si>
    <t xml:space="preserve">KNIPSCHAAR PVC BUIS 16/19MM   </t>
  </si>
  <si>
    <t xml:space="preserve">3001                </t>
  </si>
  <si>
    <t xml:space="preserve">STEENBOOR 5 mm                </t>
  </si>
  <si>
    <t xml:space="preserve">3002                </t>
  </si>
  <si>
    <t xml:space="preserve">STEENBOOR 6 mm                </t>
  </si>
  <si>
    <t xml:space="preserve">3003                </t>
  </si>
  <si>
    <t xml:space="preserve">STEENBOOR 7 mm                </t>
  </si>
  <si>
    <t xml:space="preserve">3004                </t>
  </si>
  <si>
    <t xml:space="preserve">STEENBOOR 8 mm                </t>
  </si>
  <si>
    <t xml:space="preserve">3005                </t>
  </si>
  <si>
    <t xml:space="preserve">SF-21CABLE CUTTER UP TO 16 MM </t>
  </si>
  <si>
    <t xml:space="preserve">3006                </t>
  </si>
  <si>
    <t xml:space="preserve">SF-31CABLE CUTTER UP TO 50 MM </t>
  </si>
  <si>
    <t xml:space="preserve">3007                </t>
  </si>
  <si>
    <t xml:space="preserve">SF-13 CABLE CUTTER UP TO 40MM </t>
  </si>
  <si>
    <t xml:space="preserve">3008                </t>
  </si>
  <si>
    <t xml:space="preserve">SF-50 CABLE CUTTER UP TO 40MM </t>
  </si>
  <si>
    <t xml:space="preserve">3009                </t>
  </si>
  <si>
    <t xml:space="preserve">SF-17 KABELSCHOEN TANG 6-50MM </t>
  </si>
  <si>
    <t xml:space="preserve">3010                </t>
  </si>
  <si>
    <t xml:space="preserve">BUIGVEER 5/8" 1 mtr           </t>
  </si>
  <si>
    <t xml:space="preserve">3011                </t>
  </si>
  <si>
    <t xml:space="preserve">BUIGVEER 3/4" 1 mtr           </t>
  </si>
  <si>
    <t xml:space="preserve">3012                </t>
  </si>
  <si>
    <t xml:space="preserve">BUIGVEER 1"     1 mtr         </t>
  </si>
  <si>
    <t xml:space="preserve">3013                </t>
  </si>
  <si>
    <t xml:space="preserve">BUIGVEER 5/8" 2 mtr           </t>
  </si>
  <si>
    <t xml:space="preserve">3014                </t>
  </si>
  <si>
    <t xml:space="preserve">BUIGVEER 3/4" 2 mtr           </t>
  </si>
  <si>
    <t xml:space="preserve">3015                </t>
  </si>
  <si>
    <t xml:space="preserve">TREKVEER 20 mtr               </t>
  </si>
  <si>
    <t xml:space="preserve">3016                </t>
  </si>
  <si>
    <t xml:space="preserve">TREKVEER 30 mtr               </t>
  </si>
  <si>
    <t xml:space="preserve">30161               </t>
  </si>
  <si>
    <t xml:space="preserve">POMPVEER                      </t>
  </si>
  <si>
    <t xml:space="preserve">3017                </t>
  </si>
  <si>
    <t>SF-37 KABELSCHOEN TANG 6-120MM</t>
  </si>
  <si>
    <t xml:space="preserve">3018                </t>
  </si>
  <si>
    <t xml:space="preserve">SF-23 KABELSCHOEN TANG 6-25MM </t>
  </si>
  <si>
    <t xml:space="preserve">3019                </t>
  </si>
  <si>
    <t>SF-8 KABELSCHOEN TANG 1.5-16MM</t>
  </si>
  <si>
    <t xml:space="preserve">3020                </t>
  </si>
  <si>
    <t xml:space="preserve">SF-42 HULS TANG SIDE 0,5-6MM  </t>
  </si>
  <si>
    <t xml:space="preserve">3021                </t>
  </si>
  <si>
    <t xml:space="preserve">SF-54 HULS TANG S 1,5-6MM     </t>
  </si>
  <si>
    <t xml:space="preserve">3022                </t>
  </si>
  <si>
    <t xml:space="preserve">SF-6 HULS TANG  0,5-16MM      </t>
  </si>
  <si>
    <t xml:space="preserve">3023                </t>
  </si>
  <si>
    <t xml:space="preserve">SF-56 HULS TANG  10-35MM      </t>
  </si>
  <si>
    <t xml:space="preserve">3024                </t>
  </si>
  <si>
    <t xml:space="preserve">SF-10 HULS TANG  0,5-10MM     </t>
  </si>
  <si>
    <t xml:space="preserve">3025                </t>
  </si>
  <si>
    <t xml:space="preserve">SF-35 HULS TANG  16-35MM      </t>
  </si>
  <si>
    <t xml:space="preserve">3026                </t>
  </si>
  <si>
    <t xml:space="preserve">SF-58 MULTIPURPOSE HULS TANG  </t>
  </si>
  <si>
    <t xml:space="preserve">3027                </t>
  </si>
  <si>
    <t xml:space="preserve">SF-22 KABELSTRIPER 0.75 / 6MM </t>
  </si>
  <si>
    <t xml:space="preserve">3028                </t>
  </si>
  <si>
    <t xml:space="preserve">SF-38 KABEL STRIPPER 4-25MM   </t>
  </si>
  <si>
    <t xml:space="preserve">3029                </t>
  </si>
  <si>
    <t xml:space="preserve">SF-53 KABEL TANG              </t>
  </si>
  <si>
    <t xml:space="preserve">30291               </t>
  </si>
  <si>
    <t xml:space="preserve">PONS MACHINE 2-3-4            </t>
  </si>
  <si>
    <t xml:space="preserve">3030                </t>
  </si>
  <si>
    <t xml:space="preserve">TAPE 10 mtr BRUIN             </t>
  </si>
  <si>
    <t xml:space="preserve">3031                </t>
  </si>
  <si>
    <t xml:space="preserve">TAPE 10 mtr ZWART             </t>
  </si>
  <si>
    <t xml:space="preserve">3032                </t>
  </si>
  <si>
    <t xml:space="preserve">TAPE 10 mtr BLAUW             </t>
  </si>
  <si>
    <t xml:space="preserve">3033                </t>
  </si>
  <si>
    <t xml:space="preserve">TAPE 10 mtr GR/GL             </t>
  </si>
  <si>
    <t xml:space="preserve">3034                </t>
  </si>
  <si>
    <t xml:space="preserve">TAPE 20 mtr BRUIN             </t>
  </si>
  <si>
    <t xml:space="preserve">3035                </t>
  </si>
  <si>
    <t xml:space="preserve">TAPE 20 mtr ZWART             </t>
  </si>
  <si>
    <t xml:space="preserve">3036                </t>
  </si>
  <si>
    <t xml:space="preserve">TAPE 25 mtr BLAUW             </t>
  </si>
  <si>
    <t xml:space="preserve">3037                </t>
  </si>
  <si>
    <t xml:space="preserve">TAPE 25 mtr GR/GL             </t>
  </si>
  <si>
    <t xml:space="preserve">3100                </t>
  </si>
  <si>
    <t xml:space="preserve">PANEL LED BACKLIT 2X2-40W     </t>
  </si>
  <si>
    <t xml:space="preserve">3101                </t>
  </si>
  <si>
    <t xml:space="preserve">PANEL LED BACKLIT 2X4 60W     </t>
  </si>
  <si>
    <t xml:space="preserve">3102                </t>
  </si>
  <si>
    <t xml:space="preserve">ACCESORIOS KIT PARA COLGAR    </t>
  </si>
  <si>
    <t xml:space="preserve">3103                </t>
  </si>
  <si>
    <t xml:space="preserve">FOCO LED A19 6W 540LM 3000K   </t>
  </si>
  <si>
    <t xml:space="preserve">3104                </t>
  </si>
  <si>
    <t xml:space="preserve">FOCO LED A19 6W 540LM 6500K   </t>
  </si>
  <si>
    <t xml:space="preserve">3105                </t>
  </si>
  <si>
    <t xml:space="preserve">FOCO LED A60 9W 800LM 6500K   </t>
  </si>
  <si>
    <t xml:space="preserve">3106                </t>
  </si>
  <si>
    <t>FOCO LED T140 BASE E27 50W 65K</t>
  </si>
  <si>
    <t xml:space="preserve">3107                </t>
  </si>
  <si>
    <t>FOCO LED T150 100W 6500K 9000L</t>
  </si>
  <si>
    <t xml:space="preserve">3108                </t>
  </si>
  <si>
    <t xml:space="preserve">TUBO LED T8, 9W 800LM 6500K   </t>
  </si>
  <si>
    <t xml:space="preserve">3109                </t>
  </si>
  <si>
    <t xml:space="preserve">TUBO LED T8 18W1600LM 6500K   </t>
  </si>
  <si>
    <t xml:space="preserve">3110                </t>
  </si>
  <si>
    <t xml:space="preserve">RECESADO REDONDO 6W 360LM 3K  </t>
  </si>
  <si>
    <t xml:space="preserve">31101               </t>
  </si>
  <si>
    <t xml:space="preserve">RECESADO REDONDO 6W 387LM 6K  </t>
  </si>
  <si>
    <t xml:space="preserve">3111                </t>
  </si>
  <si>
    <t xml:space="preserve">RECESADO REDONDO 12W 720LM 3K </t>
  </si>
  <si>
    <t xml:space="preserve">3112                </t>
  </si>
  <si>
    <t xml:space="preserve">RECESADO REDONDO 12W 720LM 6K </t>
  </si>
  <si>
    <t xml:space="preserve">3113                </t>
  </si>
  <si>
    <t xml:space="preserve">RECESADO REDONDO12W CCT       </t>
  </si>
  <si>
    <t xml:space="preserve">3114                </t>
  </si>
  <si>
    <t>RECESADO REDONDO 18W 1440LM 6K</t>
  </si>
  <si>
    <t xml:space="preserve">3115                </t>
  </si>
  <si>
    <t xml:space="preserve">RECESADO REDONDO 18W CCT      </t>
  </si>
  <si>
    <t xml:space="preserve">3116                </t>
  </si>
  <si>
    <t>RECESADO REDONDO 24W 2035LM 6K</t>
  </si>
  <si>
    <t xml:space="preserve">3117                </t>
  </si>
  <si>
    <t xml:space="preserve">SUPERFICIAL REDONDO 18W CCT   </t>
  </si>
  <si>
    <t xml:space="preserve">3118                </t>
  </si>
  <si>
    <t xml:space="preserve">OPBOUW REDONDO 24W 2035LM 6K  </t>
  </si>
  <si>
    <t xml:space="preserve">3119                </t>
  </si>
  <si>
    <t xml:space="preserve">SURGE PROTECTOR 127V USB      </t>
  </si>
  <si>
    <t xml:space="preserve">3120                </t>
  </si>
  <si>
    <t xml:space="preserve">RECESADO REDONDO 3W  3000K    </t>
  </si>
  <si>
    <t xml:space="preserve">3121                </t>
  </si>
  <si>
    <t xml:space="preserve">RECESADO REDONDO 3W  6000K    </t>
  </si>
  <si>
    <t xml:space="preserve">3122                </t>
  </si>
  <si>
    <t>REFLECTOR LED 30W 2400LM 6000K</t>
  </si>
  <si>
    <t xml:space="preserve">3123                </t>
  </si>
  <si>
    <t xml:space="preserve">REFLECTOR LED 100W 10000LM 6K </t>
  </si>
  <si>
    <t xml:space="preserve">3124                </t>
  </si>
  <si>
    <t xml:space="preserve">REFLECTOR LED 200W 18000LM    </t>
  </si>
  <si>
    <t xml:space="preserve">3125                </t>
  </si>
  <si>
    <t xml:space="preserve">SUPERFICIAL REDONDO 18W 65K   </t>
  </si>
  <si>
    <t xml:space="preserve">3126                </t>
  </si>
  <si>
    <t xml:space="preserve">LAMP TECHO PANEL LED 18W CCT  </t>
  </si>
  <si>
    <t xml:space="preserve">3127                </t>
  </si>
  <si>
    <t xml:space="preserve">REFLECTOR LED 300W 24000LM    </t>
  </si>
  <si>
    <t xml:space="preserve">3190                </t>
  </si>
  <si>
    <t xml:space="preserve">GLOEILAMP 25WATT CLEAR        </t>
  </si>
  <si>
    <t xml:space="preserve">3191                </t>
  </si>
  <si>
    <t xml:space="preserve">GLOEILAMP 40WATT CLEAR        </t>
  </si>
  <si>
    <t xml:space="preserve">3192                </t>
  </si>
  <si>
    <t xml:space="preserve">GLOEILAMP 60WATT CLEAR        </t>
  </si>
  <si>
    <t xml:space="preserve">3193                </t>
  </si>
  <si>
    <t xml:space="preserve">GLOEILAMP 75WATT CLEAR        </t>
  </si>
  <si>
    <t xml:space="preserve">3194                </t>
  </si>
  <si>
    <t xml:space="preserve">GLOEILAMP 100WATT CLEAR       </t>
  </si>
  <si>
    <t xml:space="preserve">3195                </t>
  </si>
  <si>
    <t xml:space="preserve">GLOEILAMP 25WATT FROSTED      </t>
  </si>
  <si>
    <t xml:space="preserve">3196                </t>
  </si>
  <si>
    <t xml:space="preserve">GLOEILAMP 40WATT FROSTED      </t>
  </si>
  <si>
    <t xml:space="preserve">3197                </t>
  </si>
  <si>
    <t xml:space="preserve">GLOEILAMP 60WATT FROSTED      </t>
  </si>
  <si>
    <t xml:space="preserve">3198                </t>
  </si>
  <si>
    <t xml:space="preserve">GLOEILAMP 75WATT FROSTED      </t>
  </si>
  <si>
    <t xml:space="preserve">3199                </t>
  </si>
  <si>
    <t xml:space="preserve">GLOEILAMP 100WATT FROSTED     </t>
  </si>
  <si>
    <t xml:space="preserve">3200                </t>
  </si>
  <si>
    <t xml:space="preserve">HALOGEENLAMP  300W 127 VOLT   </t>
  </si>
  <si>
    <t xml:space="preserve">3201                </t>
  </si>
  <si>
    <t xml:space="preserve">HALOGEENLAMP  500W 127 VOLT   </t>
  </si>
  <si>
    <t xml:space="preserve">3202                </t>
  </si>
  <si>
    <t xml:space="preserve">HALOGEENLAMP 1000W 127 VOLT   </t>
  </si>
  <si>
    <t xml:space="preserve">3203                </t>
  </si>
  <si>
    <t xml:space="preserve">HALOGEENLAMP  300W 220 VOLT   </t>
  </si>
  <si>
    <t xml:space="preserve">3204                </t>
  </si>
  <si>
    <t xml:space="preserve">HALOGEENLAMP  500W 220 VOLT   </t>
  </si>
  <si>
    <t xml:space="preserve">3205                </t>
  </si>
  <si>
    <t xml:space="preserve">HALOGEENLAMP 1000W 220 VOLT   </t>
  </si>
  <si>
    <t xml:space="preserve">3206                </t>
  </si>
  <si>
    <t xml:space="preserve">HALOGEENLAMP 1500W 220 VOLT   </t>
  </si>
  <si>
    <t xml:space="preserve">3207                </t>
  </si>
  <si>
    <t xml:space="preserve">HALOGEEN SCHIJNWERPER  500W   </t>
  </si>
  <si>
    <t xml:space="preserve">3208                </t>
  </si>
  <si>
    <t xml:space="preserve">HALOGEEN SCHIJNWERPER 1000W   </t>
  </si>
  <si>
    <t xml:space="preserve">3209                </t>
  </si>
  <si>
    <t xml:space="preserve">HALOGEEN SCHIJNWERPER 1500W   </t>
  </si>
  <si>
    <t xml:space="preserve">3210                </t>
  </si>
  <si>
    <t xml:space="preserve">TL-ORNEMENT 1x20W 127/220V    </t>
  </si>
  <si>
    <t xml:space="preserve">3211                </t>
  </si>
  <si>
    <t xml:space="preserve">TL-ORNEMENT 1x40W 127V 50Hz   </t>
  </si>
  <si>
    <t xml:space="preserve">3212                </t>
  </si>
  <si>
    <t xml:space="preserve">TL-ORNEMENT 2x40W 127V 50Hz   </t>
  </si>
  <si>
    <t xml:space="preserve">3213                </t>
  </si>
  <si>
    <t xml:space="preserve">TL-ORNEMENT 1x20W  220V 50Hz  </t>
  </si>
  <si>
    <t xml:space="preserve">3214                </t>
  </si>
  <si>
    <t xml:space="preserve">TL-ORNEMENT 1x40W  220V 50Hz  </t>
  </si>
  <si>
    <t xml:space="preserve">3215                </t>
  </si>
  <si>
    <t xml:space="preserve">TL-ORNEMENT 2x40W  220V 50Hz  </t>
  </si>
  <si>
    <t xml:space="preserve">3216                </t>
  </si>
  <si>
    <t xml:space="preserve">TL ORNEMENT 1x10W  127V 50Hz  </t>
  </si>
  <si>
    <t xml:space="preserve">3217                </t>
  </si>
  <si>
    <t xml:space="preserve">S39750 30W HID G3 5K 4200L    </t>
  </si>
  <si>
    <t xml:space="preserve">3218                </t>
  </si>
  <si>
    <t xml:space="preserve">LEDPANEL 40W 2x2 CCT 120-277V </t>
  </si>
  <si>
    <t xml:space="preserve">3219                </t>
  </si>
  <si>
    <t xml:space="preserve">TL INBOUWBAK 2X2 PARABOL 32W  </t>
  </si>
  <si>
    <t xml:space="preserve">3220                </t>
  </si>
  <si>
    <t xml:space="preserve">TL-INBOUWBAK 2x2"  (4x17W)    </t>
  </si>
  <si>
    <t xml:space="preserve">3221                </t>
  </si>
  <si>
    <t xml:space="preserve">TL-INBOUWBAK 2x4"  (4x40W)    </t>
  </si>
  <si>
    <t xml:space="preserve">3222                </t>
  </si>
  <si>
    <t xml:space="preserve">TL INBOUWBAK 2X4 PARABOL 32W  </t>
  </si>
  <si>
    <t xml:space="preserve">3223                </t>
  </si>
  <si>
    <t xml:space="preserve">TL ORNEMENT LED 1X9W LEEG     </t>
  </si>
  <si>
    <t xml:space="preserve">3224                </t>
  </si>
  <si>
    <t xml:space="preserve">TL ORNEMENT LED 1X18W LEEG    </t>
  </si>
  <si>
    <t xml:space="preserve">3225                </t>
  </si>
  <si>
    <t xml:space="preserve">TL-ORNEMENT 1x20W WD 127/220V </t>
  </si>
  <si>
    <t xml:space="preserve">3226                </t>
  </si>
  <si>
    <t xml:space="preserve">TL-ORNEMENT 1x40W WD 127/220V </t>
  </si>
  <si>
    <t xml:space="preserve">3227                </t>
  </si>
  <si>
    <t>TL-ORNEMENT 2x40W WD 127/220 V</t>
  </si>
  <si>
    <t xml:space="preserve">3228                </t>
  </si>
  <si>
    <t xml:space="preserve">TL-ORNEMENT LED 1x9W WD LEEG  </t>
  </si>
  <si>
    <t xml:space="preserve">3229                </t>
  </si>
  <si>
    <t xml:space="preserve">TL-ORNEMENT LED 1x18W WD LEEG </t>
  </si>
  <si>
    <t xml:space="preserve">3230                </t>
  </si>
  <si>
    <t xml:space="preserve">TL ORNEMENT LED 2X9W WD LEEG  </t>
  </si>
  <si>
    <t xml:space="preserve">3231                </t>
  </si>
  <si>
    <t xml:space="preserve">TL ORNEMENT LED2X18W WD LEEG  </t>
  </si>
  <si>
    <t xml:space="preserve">3232                </t>
  </si>
  <si>
    <t xml:space="preserve">HPS ARMATUUR 400W CRONO       </t>
  </si>
  <si>
    <t xml:space="preserve">3233                </t>
  </si>
  <si>
    <t xml:space="preserve">HPS LAMP 250W                 </t>
  </si>
  <si>
    <t xml:space="preserve">3234                </t>
  </si>
  <si>
    <t xml:space="preserve">HPI-T-PLUS 400W PHILIPS       </t>
  </si>
  <si>
    <t xml:space="preserve">3242                </t>
  </si>
  <si>
    <t xml:space="preserve">PL LAMP   5 WATT              </t>
  </si>
  <si>
    <t xml:space="preserve">3243                </t>
  </si>
  <si>
    <t xml:space="preserve">PL LAMP   7 WATT              </t>
  </si>
  <si>
    <t xml:space="preserve">3244                </t>
  </si>
  <si>
    <t xml:space="preserve">PL LAMP   9 WATT              </t>
  </si>
  <si>
    <t xml:space="preserve">3245                </t>
  </si>
  <si>
    <t xml:space="preserve">PL LAMP 13 WATT               </t>
  </si>
  <si>
    <t xml:space="preserve">3246                </t>
  </si>
  <si>
    <t xml:space="preserve">PICKENS VPR 2211              </t>
  </si>
  <si>
    <t xml:space="preserve">3247                </t>
  </si>
  <si>
    <t xml:space="preserve">PICKENS VPO 2236 P            </t>
  </si>
  <si>
    <t xml:space="preserve">3248                </t>
  </si>
  <si>
    <t xml:space="preserve">PICKENS VPR  2241             </t>
  </si>
  <si>
    <t xml:space="preserve">3249                </t>
  </si>
  <si>
    <t xml:space="preserve">SPIRALLAMP 20W 110-130V 50Hz  </t>
  </si>
  <si>
    <t xml:space="preserve">3250                </t>
  </si>
  <si>
    <t xml:space="preserve">PICKENS VPC 2271 TRAP         </t>
  </si>
  <si>
    <t xml:space="preserve">3251                </t>
  </si>
  <si>
    <t xml:space="preserve">TL-BUIS 40W DL PHILIPS        </t>
  </si>
  <si>
    <t xml:space="preserve">3252                </t>
  </si>
  <si>
    <t xml:space="preserve"> U-BUIS   40W DL              </t>
  </si>
  <si>
    <t xml:space="preserve">3253                </t>
  </si>
  <si>
    <t xml:space="preserve">TL- BUIS  32W DL T8           </t>
  </si>
  <si>
    <t xml:space="preserve">3254                </t>
  </si>
  <si>
    <t xml:space="preserve">TL- BUIS  17W DL T8           </t>
  </si>
  <si>
    <t xml:space="preserve">3255                </t>
  </si>
  <si>
    <t xml:space="preserve">U- BUIS 32W T8                </t>
  </si>
  <si>
    <t xml:space="preserve">3256                </t>
  </si>
  <si>
    <t xml:space="preserve">TL-BUIS LED 10W 6500K         </t>
  </si>
  <si>
    <t xml:space="preserve">3257                </t>
  </si>
  <si>
    <t xml:space="preserve">TL BUIS LED  20W 6500K        </t>
  </si>
  <si>
    <t xml:space="preserve">3258                </t>
  </si>
  <si>
    <t xml:space="preserve">LED TUBE 10W 4000K 60cm       </t>
  </si>
  <si>
    <t xml:space="preserve">3260                </t>
  </si>
  <si>
    <t xml:space="preserve">TL-BUIS 22W DL ROND           </t>
  </si>
  <si>
    <t xml:space="preserve">3261                </t>
  </si>
  <si>
    <t xml:space="preserve">TL-BUIS 32W DL ROND           </t>
  </si>
  <si>
    <t xml:space="preserve">3262                </t>
  </si>
  <si>
    <t xml:space="preserve">PLAFOND FITTING S1174W        </t>
  </si>
  <si>
    <t xml:space="preserve">3263                </t>
  </si>
  <si>
    <t xml:space="preserve">PICKENS 6W LED BULB 6500 K    </t>
  </si>
  <si>
    <t xml:space="preserve">3264                </t>
  </si>
  <si>
    <t>PICKENS 6W LED BULB 4000K SEMI</t>
  </si>
  <si>
    <t xml:space="preserve">3265                </t>
  </si>
  <si>
    <t xml:space="preserve">PICKENS 7W LED BULB           </t>
  </si>
  <si>
    <t xml:space="preserve">3266                </t>
  </si>
  <si>
    <t xml:space="preserve">PICKENS 9W LED BULB           </t>
  </si>
  <si>
    <t xml:space="preserve">3267                </t>
  </si>
  <si>
    <t xml:space="preserve">PICKENS 11W LED BULB          </t>
  </si>
  <si>
    <t xml:space="preserve">3268                </t>
  </si>
  <si>
    <t xml:space="preserve">PICKENS 5W LED BULB 6500K     </t>
  </si>
  <si>
    <t xml:space="preserve">3269                </t>
  </si>
  <si>
    <t xml:space="preserve">PICKENS LED 5.5W GU 10        </t>
  </si>
  <si>
    <t xml:space="preserve">3270                </t>
  </si>
  <si>
    <t xml:space="preserve">PICKENS 10W LED BULB          </t>
  </si>
  <si>
    <t xml:space="preserve">3271                </t>
  </si>
  <si>
    <t xml:space="preserve">PICKENS T8 0.6 CM LED9W 6500K </t>
  </si>
  <si>
    <t xml:space="preserve">3272                </t>
  </si>
  <si>
    <t>PICKENS T8 1.20M LED 22W 6500K</t>
  </si>
  <si>
    <t xml:space="preserve">3274                </t>
  </si>
  <si>
    <t xml:space="preserve">GE LED TUBE T8 8W/865  DAY L  </t>
  </si>
  <si>
    <t xml:space="preserve">3275                </t>
  </si>
  <si>
    <t>LED TUBE T8 10W/865 1050l 6500</t>
  </si>
  <si>
    <t xml:space="preserve">3276                </t>
  </si>
  <si>
    <t>LED TUBE T8 20W/865 2050l 6500</t>
  </si>
  <si>
    <t xml:space="preserve">3277                </t>
  </si>
  <si>
    <t xml:space="preserve">GE LED TUBE T8 16W/865  DAY   </t>
  </si>
  <si>
    <t xml:space="preserve">3281                </t>
  </si>
  <si>
    <t xml:space="preserve">BALLAST 1x20W STARTER         </t>
  </si>
  <si>
    <t xml:space="preserve">3282                </t>
  </si>
  <si>
    <t xml:space="preserve">BALLAST 1x20W STARTER 220V    </t>
  </si>
  <si>
    <t xml:space="preserve">3283                </t>
  </si>
  <si>
    <t xml:space="preserve">BALLAST 1x40W STARTER         </t>
  </si>
  <si>
    <t xml:space="preserve">3284                </t>
  </si>
  <si>
    <t xml:space="preserve">BALLAST 1x40W STARTER 220V    </t>
  </si>
  <si>
    <t xml:space="preserve">3285                </t>
  </si>
  <si>
    <t>BALLAST 2x34W ELECTR  120 VOLT</t>
  </si>
  <si>
    <t xml:space="preserve">3286                </t>
  </si>
  <si>
    <t xml:space="preserve">BALLAST 2x40W RS  220 VOLT    </t>
  </si>
  <si>
    <t xml:space="preserve">3287                </t>
  </si>
  <si>
    <t>BALLAST 2x32W electr120-277vT8</t>
  </si>
  <si>
    <t xml:space="preserve">3288                </t>
  </si>
  <si>
    <t>BALLAST 4x32W electr120-277vT8</t>
  </si>
  <si>
    <t xml:space="preserve">3290                </t>
  </si>
  <si>
    <t xml:space="preserve">STARTER 4-22W                 </t>
  </si>
  <si>
    <t xml:space="preserve">3291                </t>
  </si>
  <si>
    <t xml:space="preserve">STARTER 4-65W S10             </t>
  </si>
  <si>
    <t xml:space="preserve">3292                </t>
  </si>
  <si>
    <t xml:space="preserve">STARTERHOUDER PLAT     125-6  </t>
  </si>
  <si>
    <t xml:space="preserve">3293                </t>
  </si>
  <si>
    <t xml:space="preserve">STARTERHOUDER CLIP     125-5  </t>
  </si>
  <si>
    <t xml:space="preserve">3294                </t>
  </si>
  <si>
    <t>FITTING                 1226SW</t>
  </si>
  <si>
    <t xml:space="preserve">3295                </t>
  </si>
  <si>
    <t xml:space="preserve">BEDRADINGSDRAAD  0,75mm       </t>
  </si>
  <si>
    <t xml:space="preserve">3300                </t>
  </si>
  <si>
    <t>MER FIXT W/LAMP &amp; PE 175W 127V</t>
  </si>
  <si>
    <t xml:space="preserve">3301                </t>
  </si>
  <si>
    <t>MER FIXT W/LAMP &amp; PE 175W 220V</t>
  </si>
  <si>
    <t xml:space="preserve">3302                </t>
  </si>
  <si>
    <t xml:space="preserve">PHOTOCEL LC4536 102-277V      </t>
  </si>
  <si>
    <t xml:space="preserve">3303                </t>
  </si>
  <si>
    <t xml:space="preserve">175W MERCURY BULP PC24062     </t>
  </si>
  <si>
    <t xml:space="preserve">3308                </t>
  </si>
  <si>
    <t>3WATT LED PANEL LIGHT 1409-Y-3</t>
  </si>
  <si>
    <t xml:space="preserve">3309                </t>
  </si>
  <si>
    <t>6WATT LED PANEL LIGHT 1409-Y-6</t>
  </si>
  <si>
    <t xml:space="preserve">3310                </t>
  </si>
  <si>
    <t xml:space="preserve">PICKENS RFTG 10W 6500K FLAT   </t>
  </si>
  <si>
    <t xml:space="preserve">3311                </t>
  </si>
  <si>
    <t xml:space="preserve">PICKENS RFTG 30W 6500K FLAT   </t>
  </si>
  <si>
    <t xml:space="preserve">3312                </t>
  </si>
  <si>
    <t xml:space="preserve">PICKENS RFTG 50W 6500K FLAT   </t>
  </si>
  <si>
    <t xml:space="preserve">3313                </t>
  </si>
  <si>
    <t xml:space="preserve">PICKENS RFTG 100W 6500K FLAT  </t>
  </si>
  <si>
    <t xml:space="preserve">3314                </t>
  </si>
  <si>
    <t xml:space="preserve">PICKENS RFTN 150W 7000K FLAT  </t>
  </si>
  <si>
    <t xml:space="preserve">3315                </t>
  </si>
  <si>
    <t xml:space="preserve">PICKENS RFTN 250W 7000K FLAT  </t>
  </si>
  <si>
    <t xml:space="preserve">3316                </t>
  </si>
  <si>
    <t xml:space="preserve">PICKENS RFTS 10W 6500K        </t>
  </si>
  <si>
    <t xml:space="preserve">3317                </t>
  </si>
  <si>
    <t xml:space="preserve">PICKENS RFTS 30W 6500K        </t>
  </si>
  <si>
    <t xml:space="preserve">3318                </t>
  </si>
  <si>
    <t xml:space="preserve">PICKENS RFTS 50W 6500K        </t>
  </si>
  <si>
    <t xml:space="preserve">3319                </t>
  </si>
  <si>
    <t xml:space="preserve">PICKENS RFTL 100W 6500K UFO   </t>
  </si>
  <si>
    <t xml:space="preserve">3320                </t>
  </si>
  <si>
    <t xml:space="preserve">PICKENS RFTN 400W 7000K FLAT  </t>
  </si>
  <si>
    <t xml:space="preserve">3321                </t>
  </si>
  <si>
    <t xml:space="preserve">PICKENS LMP 150W PUBLIC 6000K </t>
  </si>
  <si>
    <t xml:space="preserve">33210               </t>
  </si>
  <si>
    <t xml:space="preserve">PICKENS LMP 250W PUBLIC 6000K </t>
  </si>
  <si>
    <t xml:space="preserve">3322                </t>
  </si>
  <si>
    <t>PICKENS RECHARGEABLE LED LIGHT</t>
  </si>
  <si>
    <t xml:space="preserve">3323                </t>
  </si>
  <si>
    <t xml:space="preserve">PICKENS LED BASE T8 60 CM     </t>
  </si>
  <si>
    <t xml:space="preserve">3324                </t>
  </si>
  <si>
    <t xml:space="preserve">PICKENS LED BASE T8 120 CM    </t>
  </si>
  <si>
    <t xml:space="preserve">3326                </t>
  </si>
  <si>
    <t xml:space="preserve">PICKENS LED ORNEMENT WD 1X18W </t>
  </si>
  <si>
    <t xml:space="preserve">3327                </t>
  </si>
  <si>
    <t xml:space="preserve">PICKENS LED ORNEMENT WD 2X9W  </t>
  </si>
  <si>
    <t xml:space="preserve">3328                </t>
  </si>
  <si>
    <t xml:space="preserve">PICKENS LED ORNEMENT WD 2X18W </t>
  </si>
  <si>
    <t xml:space="preserve">3329                </t>
  </si>
  <si>
    <t xml:space="preserve">PICKENS 3 WATT 6500K LED SPOT </t>
  </si>
  <si>
    <t xml:space="preserve">3330                </t>
  </si>
  <si>
    <t>PICKENS 9  WATT 6500K LED SPOT</t>
  </si>
  <si>
    <t xml:space="preserve">3331                </t>
  </si>
  <si>
    <t>PICKENS 12 WATT 6500K LED SPOT</t>
  </si>
  <si>
    <t xml:space="preserve">3332                </t>
  </si>
  <si>
    <t>PICKENS 18 WATT 6500K LED SPOT</t>
  </si>
  <si>
    <t xml:space="preserve">3333                </t>
  </si>
  <si>
    <t xml:space="preserve">PICKENS 6 WATT 6500K LED SPOT </t>
  </si>
  <si>
    <t xml:space="preserve">3334                </t>
  </si>
  <si>
    <t>PICKENS LED OPB ROND 12W 6500K</t>
  </si>
  <si>
    <t xml:space="preserve">3335                </t>
  </si>
  <si>
    <t>PICKENS LED OPB ROND 18W 6500K</t>
  </si>
  <si>
    <t xml:space="preserve">3350                </t>
  </si>
  <si>
    <t xml:space="preserve">3351                </t>
  </si>
  <si>
    <t xml:space="preserve">LEDPANEL 40W 2x4CCT 120-277V  </t>
  </si>
  <si>
    <t xml:space="preserve">3352                </t>
  </si>
  <si>
    <t xml:space="preserve">18W LED 1X1 5K OPB 100-277V   </t>
  </si>
  <si>
    <t xml:space="preserve">3400                </t>
  </si>
  <si>
    <t xml:space="preserve">*JSL INB ENK P SCHAK 700/1    </t>
  </si>
  <si>
    <t xml:space="preserve">3401                </t>
  </si>
  <si>
    <t xml:space="preserve">*JSL INB DUB P SCHAK 700/2    </t>
  </si>
  <si>
    <t xml:space="preserve">3402                </t>
  </si>
  <si>
    <t xml:space="preserve">*JSL INB WISS  SCHAK 700/6    </t>
  </si>
  <si>
    <t xml:space="preserve">3403                </t>
  </si>
  <si>
    <t xml:space="preserve">*JSL INB SERIE SCHAK 700/5    </t>
  </si>
  <si>
    <t xml:space="preserve">3404                </t>
  </si>
  <si>
    <t xml:space="preserve">JSL INB DIMM 220V 700/BD5     </t>
  </si>
  <si>
    <t xml:space="preserve">3405                </t>
  </si>
  <si>
    <t xml:space="preserve">JSL INB WCD R/A ENK 700/TC    </t>
  </si>
  <si>
    <t xml:space="preserve">3406                </t>
  </si>
  <si>
    <t>*JSL INB WCD R/A + DEK 700/TCT</t>
  </si>
  <si>
    <t xml:space="preserve">3407                </t>
  </si>
  <si>
    <t xml:space="preserve">JSL AFD.PLAAT ENK 700/E       </t>
  </si>
  <si>
    <t xml:space="preserve">3408                </t>
  </si>
  <si>
    <t xml:space="preserve">JSL AFD.PLAAT DUB 700/E2      </t>
  </si>
  <si>
    <t xml:space="preserve">3409                </t>
  </si>
  <si>
    <t xml:space="preserve">JSL AFD.PLAAT TRIPLE 700/E3   </t>
  </si>
  <si>
    <t xml:space="preserve">3410                </t>
  </si>
  <si>
    <t xml:space="preserve">JSL BLIND AFD.PLAAT 700/C     </t>
  </si>
  <si>
    <t xml:space="preserve">3411                </t>
  </si>
  <si>
    <t xml:space="preserve">JSL TEL SOCKET RJ11 700/TTR   </t>
  </si>
  <si>
    <t xml:space="preserve">3412                </t>
  </si>
  <si>
    <t xml:space="preserve">TV/FM SOCKET FIN 700/TTT      </t>
  </si>
  <si>
    <t xml:space="preserve">3413                </t>
  </si>
  <si>
    <t xml:space="preserve">TV/FM AFD. PLAAT 700/TV       </t>
  </si>
  <si>
    <t xml:space="preserve">3420                </t>
  </si>
  <si>
    <t xml:space="preserve">ENK P SCHAK EUR 7304          </t>
  </si>
  <si>
    <t xml:space="preserve">3421                </t>
  </si>
  <si>
    <t xml:space="preserve">SERIE SCHAK EUR 7305          </t>
  </si>
  <si>
    <t xml:space="preserve">3422                </t>
  </si>
  <si>
    <t xml:space="preserve">DIMMER EUR 7313               </t>
  </si>
  <si>
    <t xml:space="preserve">3423                </t>
  </si>
  <si>
    <t xml:space="preserve">WCD EUR ENK7311               </t>
  </si>
  <si>
    <t xml:space="preserve">3424                </t>
  </si>
  <si>
    <t xml:space="preserve">WCD EUR DUBB 7312             </t>
  </si>
  <si>
    <t xml:space="preserve">3428                </t>
  </si>
  <si>
    <t xml:space="preserve">SCHAK ENK P M301              </t>
  </si>
  <si>
    <t xml:space="preserve">3429                </t>
  </si>
  <si>
    <t xml:space="preserve">SCHAK DUBB M303               </t>
  </si>
  <si>
    <t xml:space="preserve">3430                </t>
  </si>
  <si>
    <t xml:space="preserve">SCHAK TRIPLE M305             </t>
  </si>
  <si>
    <t xml:space="preserve">3431                </t>
  </si>
  <si>
    <t xml:space="preserve">WALLPLATE 2 SCHAK 2137        </t>
  </si>
  <si>
    <t xml:space="preserve">3432                </t>
  </si>
  <si>
    <t xml:space="preserve">WALLPLATE 1SCHAK-2WCD 2133    </t>
  </si>
  <si>
    <t xml:space="preserve">3433                </t>
  </si>
  <si>
    <t xml:space="preserve">STEKKER RUB 127v E118         </t>
  </si>
  <si>
    <t xml:space="preserve">3434                </t>
  </si>
  <si>
    <t xml:space="preserve">STEKKER 220v RUB 2866         </t>
  </si>
  <si>
    <t xml:space="preserve">3487                </t>
  </si>
  <si>
    <t xml:space="preserve">ETI 3901375  EINDPLAAT VSV4   </t>
  </si>
  <si>
    <t xml:space="preserve">3488                </t>
  </si>
  <si>
    <t xml:space="preserve">ETI 3901114 BRIDGING MP2 / 10 </t>
  </si>
  <si>
    <t xml:space="preserve">3489                </t>
  </si>
  <si>
    <t xml:space="preserve">ETI 3901116 BRIDGING MP4 /10  </t>
  </si>
  <si>
    <t xml:space="preserve">3490                </t>
  </si>
  <si>
    <t xml:space="preserve">ETI 3901087 BRIDGING MP124/6  </t>
  </si>
  <si>
    <t xml:space="preserve">3491                </t>
  </si>
  <si>
    <t xml:space="preserve">ETI 3901055 BRIDGING MP 166/4 </t>
  </si>
  <si>
    <t xml:space="preserve">3492                </t>
  </si>
  <si>
    <t xml:space="preserve">ETI3901360 LIN UP  VSV4 FUSE  </t>
  </si>
  <si>
    <t xml:space="preserve">3493                </t>
  </si>
  <si>
    <t xml:space="preserve">ETI 3901539 GR VS 35 YELLO/GR </t>
  </si>
  <si>
    <t xml:space="preserve">3494                </t>
  </si>
  <si>
    <t xml:space="preserve">ETI 3901518 GR VS 16 YELLO/GR </t>
  </si>
  <si>
    <t xml:space="preserve">3495                </t>
  </si>
  <si>
    <t xml:space="preserve">ETI 3901497 GR VS6 YELLO/GR   </t>
  </si>
  <si>
    <t xml:space="preserve">3496                </t>
  </si>
  <si>
    <t xml:space="preserve">ETI 3901476 GR VS4 YELLO/GR   </t>
  </si>
  <si>
    <t xml:space="preserve">3497                </t>
  </si>
  <si>
    <t>ETI 3901016 END BRACKET PKPA35</t>
  </si>
  <si>
    <t xml:space="preserve">3498                </t>
  </si>
  <si>
    <t xml:space="preserve">ETI 3901037 TERMINAL VS 4MM   </t>
  </si>
  <si>
    <t xml:space="preserve">3499                </t>
  </si>
  <si>
    <t>ETI 3901038 TERMINAL VS 4 BLUE</t>
  </si>
  <si>
    <t xml:space="preserve">3500                </t>
  </si>
  <si>
    <t>ETI 3901068 TERMINAL VS 6 IVOR</t>
  </si>
  <si>
    <t xml:space="preserve">3501                </t>
  </si>
  <si>
    <t>ETI 3901069 TERMINAL VS 6 BLUE</t>
  </si>
  <si>
    <t xml:space="preserve">3502                </t>
  </si>
  <si>
    <t>ETI 3901129 TERMINAL VS 16 IVO</t>
  </si>
  <si>
    <t xml:space="preserve">3503                </t>
  </si>
  <si>
    <t>ETI 3901130 TERMINAL VS16 BLUE</t>
  </si>
  <si>
    <t xml:space="preserve">3504                </t>
  </si>
  <si>
    <t>ETI 3901188 TERMINAL VS 70 IVO</t>
  </si>
  <si>
    <t xml:space="preserve">3505                </t>
  </si>
  <si>
    <t>ETI 3901189 TERMINAL VS70 BLUE</t>
  </si>
  <si>
    <t xml:space="preserve">3506                </t>
  </si>
  <si>
    <t>ETI 3901101 TERMINAL VS10 IVOR</t>
  </si>
  <si>
    <t xml:space="preserve">3507                </t>
  </si>
  <si>
    <t>ETI 3901102 TERMINAL VS10 BLUE</t>
  </si>
  <si>
    <t xml:space="preserve">3508                </t>
  </si>
  <si>
    <t>ETI 3901157 TERMINAL VS35 IVOR</t>
  </si>
  <si>
    <t xml:space="preserve">3509                </t>
  </si>
  <si>
    <t>ETI 3901158 TERMINAL VS35 BLUE</t>
  </si>
  <si>
    <t xml:space="preserve">3510                </t>
  </si>
  <si>
    <t>6-FIBER LOOSE TUBEMULTI 62.5um</t>
  </si>
  <si>
    <t xml:space="preserve">3511                </t>
  </si>
  <si>
    <t>6 FIBER TIGHTBUFFER MULTI 62.5</t>
  </si>
  <si>
    <t xml:space="preserve">3512                </t>
  </si>
  <si>
    <t>New-120160D PatchCord LC-LC MM</t>
  </si>
  <si>
    <t xml:space="preserve">3514                </t>
  </si>
  <si>
    <t xml:space="preserve">12-FIBER TIGHTBUFFER SINGLE   </t>
  </si>
  <si>
    <t xml:space="preserve">3515                </t>
  </si>
  <si>
    <t xml:space="preserve">SC CONNECTOR MULTI SIMPLEX    </t>
  </si>
  <si>
    <t xml:space="preserve">3516                </t>
  </si>
  <si>
    <t xml:space="preserve">6 SC STRIP PANEL LOADED       </t>
  </si>
  <si>
    <t xml:space="preserve">3517                </t>
  </si>
  <si>
    <t>New2890010 SC12 Portplate load</t>
  </si>
  <si>
    <t xml:space="preserve">3518                </t>
  </si>
  <si>
    <t>New119301S SC/UPC PIG TAIL 1mt</t>
  </si>
  <si>
    <t xml:space="preserve">3519                </t>
  </si>
  <si>
    <t>Rackmnt fiberbx 24port,pigt-Fu</t>
  </si>
  <si>
    <t xml:space="preserve">3520                </t>
  </si>
  <si>
    <t xml:space="preserve">New2670024 RACKMOUNTB-24 port </t>
  </si>
  <si>
    <t xml:space="preserve">3521                </t>
  </si>
  <si>
    <t xml:space="preserve">WALLMOUNT FIBER BOX 24PORT    </t>
  </si>
  <si>
    <t xml:space="preserve">3522                </t>
  </si>
  <si>
    <t>Rackmnt fiberbx 24port,pigt1/2</t>
  </si>
  <si>
    <t xml:space="preserve">3523                </t>
  </si>
  <si>
    <t>Rackmnt fiberbx 48port,pigt-Fu</t>
  </si>
  <si>
    <t xml:space="preserve">3530                </t>
  </si>
  <si>
    <t xml:space="preserve">New3584500RJ45 8wireCat5e-6PL </t>
  </si>
  <si>
    <t xml:space="preserve">3531                </t>
  </si>
  <si>
    <t>New3500008Cat 5e RJ45-110 50um</t>
  </si>
  <si>
    <t xml:space="preserve">3532                </t>
  </si>
  <si>
    <t>New-3667708Cat6A keystone jack</t>
  </si>
  <si>
    <t xml:space="preserve">3533                </t>
  </si>
  <si>
    <t>New-3555008Cat5e keystone jack</t>
  </si>
  <si>
    <t xml:space="preserve">3610                </t>
  </si>
  <si>
    <t xml:space="preserve">BWB BLANK STOP FACEPLATE      </t>
  </si>
  <si>
    <t xml:space="preserve">3611                </t>
  </si>
  <si>
    <t xml:space="preserve">BWB-30 BLANK STOP FACEPLATE   </t>
  </si>
  <si>
    <t xml:space="preserve">3630                </t>
  </si>
  <si>
    <t xml:space="preserve">CABLE MANAGEMENT HOR. BL1U    </t>
  </si>
  <si>
    <t xml:space="preserve">3631                </t>
  </si>
  <si>
    <t xml:space="preserve">CABLE MANAGEMENT HOR. BL2U    </t>
  </si>
  <si>
    <t xml:space="preserve">3632                </t>
  </si>
  <si>
    <t xml:space="preserve">Shelf 19'' 1U RAL 9005        </t>
  </si>
  <si>
    <t xml:space="preserve">3638                </t>
  </si>
  <si>
    <t>Velcro 16mm black 25 mtr a rol</t>
  </si>
  <si>
    <t xml:space="preserve">3642                </t>
  </si>
  <si>
    <t>CABINET SRS, 42Y, 800/1000/198</t>
  </si>
  <si>
    <t xml:space="preserve">3661                </t>
  </si>
  <si>
    <t>DUST COVER FOR I/O BLACK 25 PC</t>
  </si>
  <si>
    <t xml:space="preserve">3662                </t>
  </si>
  <si>
    <t xml:space="preserve">DUST COVER FOR I/O RED 25 PCS </t>
  </si>
  <si>
    <t xml:space="preserve">3663                </t>
  </si>
  <si>
    <t>DUST COVER FOR I/O WHITE 25PCS</t>
  </si>
  <si>
    <t xml:space="preserve">3664                </t>
  </si>
  <si>
    <t>DUST COVER FOR I/O YELLOW 25PC</t>
  </si>
  <si>
    <t xml:space="preserve">3665                </t>
  </si>
  <si>
    <t xml:space="preserve">Faceplate  US 2 modules White </t>
  </si>
  <si>
    <t xml:space="preserve">3666                </t>
  </si>
  <si>
    <t xml:space="preserve">Faceplate US 4 modules        </t>
  </si>
  <si>
    <t xml:space="preserve">3667                </t>
  </si>
  <si>
    <t xml:space="preserve">Patch Panel Empty 24 ports 1U </t>
  </si>
  <si>
    <t xml:space="preserve">3668                </t>
  </si>
  <si>
    <t xml:space="preserve">Cable Cat5E UTP  PVC GREY     </t>
  </si>
  <si>
    <t xml:space="preserve">3670                </t>
  </si>
  <si>
    <t xml:space="preserve">Patch Panel Cat5E 24 port 1U  </t>
  </si>
  <si>
    <t xml:space="preserve">3671                </t>
  </si>
  <si>
    <t>Patch Panel Cat5E 24 port 1/2U</t>
  </si>
  <si>
    <t xml:space="preserve">3672                </t>
  </si>
  <si>
    <t xml:space="preserve">I/O Keystone CAT5E UTP White  </t>
  </si>
  <si>
    <t xml:space="preserve">3673                </t>
  </si>
  <si>
    <t xml:space="preserve">I/O Keystone CAT5E FTP White  </t>
  </si>
  <si>
    <t xml:space="preserve">3674                </t>
  </si>
  <si>
    <t xml:space="preserve">Cable Cat6 UTP PVC GREY       </t>
  </si>
  <si>
    <t xml:space="preserve">3678                </t>
  </si>
  <si>
    <t>Patch Panel UTP CAT6 24 Port 1</t>
  </si>
  <si>
    <t xml:space="preserve">3679                </t>
  </si>
  <si>
    <t xml:space="preserve">3680                </t>
  </si>
  <si>
    <t xml:space="preserve">I/O Keystone CAT6 UTP white   </t>
  </si>
  <si>
    <t xml:space="preserve">3690                </t>
  </si>
  <si>
    <t>PATCHPANEL CAT 5E FTP 24P 0.5U</t>
  </si>
  <si>
    <t xml:space="preserve">3691                </t>
  </si>
  <si>
    <t xml:space="preserve">PATCHPANEL CAT 6 FTP 24P 0.5U </t>
  </si>
  <si>
    <t xml:space="preserve">3696                </t>
  </si>
  <si>
    <t>PATCHCORD CAT.6 U/UTP 2M,  BLU</t>
  </si>
  <si>
    <t xml:space="preserve">3698                </t>
  </si>
  <si>
    <t>PATCHCORD CAT.6 U/UTP 2M, GRAY</t>
  </si>
  <si>
    <t xml:space="preserve">3703                </t>
  </si>
  <si>
    <t>PATCHCORD CAT.6 U/UTP 3M, BLUE</t>
  </si>
  <si>
    <t xml:space="preserve">3705                </t>
  </si>
  <si>
    <t>PATCHCORD CAT.6 U/UTP 3M, GRAY</t>
  </si>
  <si>
    <t xml:space="preserve">3710                </t>
  </si>
  <si>
    <t>PATCHCORD CAT.6 U/UTP 5M, BLUE</t>
  </si>
  <si>
    <t xml:space="preserve">3712                </t>
  </si>
  <si>
    <t>PATCHCORD CAT.6 U/UTP 5M, GRAY</t>
  </si>
  <si>
    <t xml:space="preserve">3723                </t>
  </si>
  <si>
    <t>AUTOMATIC CLAMPING TOOL FOR I/</t>
  </si>
  <si>
    <t xml:space="preserve">3726                </t>
  </si>
  <si>
    <t>HORIZ CABLE MANAGE RKP-VM-1U B</t>
  </si>
  <si>
    <t xml:space="preserve">3727                </t>
  </si>
  <si>
    <t>CABLE ROUTBRACK40x80WK1-HM-48C</t>
  </si>
  <si>
    <t xml:space="preserve">3728                </t>
  </si>
  <si>
    <t>PATCH P EMPTY 19"  XB101.224.1</t>
  </si>
  <si>
    <t xml:space="preserve">3996                </t>
  </si>
  <si>
    <t xml:space="preserve">MOTION DETECTOR 21401         </t>
  </si>
  <si>
    <t xml:space="preserve">3997                </t>
  </si>
  <si>
    <t xml:space="preserve">SPEED CONTROLLER 21219        </t>
  </si>
  <si>
    <t xml:space="preserve">3998                </t>
  </si>
  <si>
    <t>ELECTRONIC DIMMER 150W 21215-1</t>
  </si>
  <si>
    <t xml:space="preserve">3999                </t>
  </si>
  <si>
    <t>INTERMEDIATE SWITCH 10A  21051</t>
  </si>
  <si>
    <t xml:space="preserve">4000                </t>
  </si>
  <si>
    <t xml:space="preserve">SINGEL POLE SWITCH 21011      </t>
  </si>
  <si>
    <t xml:space="preserve">4001                </t>
  </si>
  <si>
    <t xml:space="preserve">TWO POLE SWITCH 21021         </t>
  </si>
  <si>
    <t xml:space="preserve">4002                </t>
  </si>
  <si>
    <t xml:space="preserve">TWO CIRCUITS SWITCH 21061     </t>
  </si>
  <si>
    <t xml:space="preserve">4003                </t>
  </si>
  <si>
    <t xml:space="preserve">THREE CIRCUITS SWITCH 21088   </t>
  </si>
  <si>
    <t xml:space="preserve">4004                </t>
  </si>
  <si>
    <t xml:space="preserve">TWO WAY SWITCH 21071          </t>
  </si>
  <si>
    <t xml:space="preserve">4005                </t>
  </si>
  <si>
    <t xml:space="preserve">DOUBLE TWO WAY SWITCH 21101   </t>
  </si>
  <si>
    <t xml:space="preserve">4006                </t>
  </si>
  <si>
    <t xml:space="preserve">PULL-CORD PUSH BUTTON 21092   </t>
  </si>
  <si>
    <t xml:space="preserve">4007                </t>
  </si>
  <si>
    <t xml:space="preserve"> DIMMER/ 2 WAY 320 WRC 21217  </t>
  </si>
  <si>
    <t xml:space="preserve">4008                </t>
  </si>
  <si>
    <t xml:space="preserve">EARTH SOCKET ( SCHUKO ) 21131 </t>
  </si>
  <si>
    <t xml:space="preserve">4009                </t>
  </si>
  <si>
    <t>EARTH SOCKET ( USA TYPE) 21143</t>
  </si>
  <si>
    <t xml:space="preserve">4010                </t>
  </si>
  <si>
    <t>MONO DOUBLE EARTH SOCKET 70331</t>
  </si>
  <si>
    <t xml:space="preserve">4011                </t>
  </si>
  <si>
    <t xml:space="preserve">RJ 45 CAT 6 UTP  SOCKET 21455 </t>
  </si>
  <si>
    <t xml:space="preserve">4012                </t>
  </si>
  <si>
    <t>RJ 45 CAT 5 E UTP SOCKET 21453</t>
  </si>
  <si>
    <t xml:space="preserve">4013                </t>
  </si>
  <si>
    <t>RJ 45 CAT6 UTP CONNECTOR 21978</t>
  </si>
  <si>
    <t xml:space="preserve">4014                </t>
  </si>
  <si>
    <t xml:space="preserve">RJ 45 CAT 5E UTP CONN 21975   </t>
  </si>
  <si>
    <t xml:space="preserve">4015                </t>
  </si>
  <si>
    <t xml:space="preserve">TELEPHONE SOCKET 21252        </t>
  </si>
  <si>
    <t xml:space="preserve">4016                </t>
  </si>
  <si>
    <t xml:space="preserve">SUPPORT FOR BLIND COVER 21222 </t>
  </si>
  <si>
    <t xml:space="preserve">4017                </t>
  </si>
  <si>
    <t xml:space="preserve">ROCKER FOR SWITCHES 70601     </t>
  </si>
  <si>
    <t xml:space="preserve">4018                </t>
  </si>
  <si>
    <t xml:space="preserve">DOUBLE ROCKERS 70611          </t>
  </si>
  <si>
    <t xml:space="preserve">4019                </t>
  </si>
  <si>
    <t xml:space="preserve">TRIPLE ROCKERS 70661          </t>
  </si>
  <si>
    <t xml:space="preserve">4020                </t>
  </si>
  <si>
    <t xml:space="preserve">COV PLATE  PULL CORD 70741    </t>
  </si>
  <si>
    <t xml:space="preserve">4021                </t>
  </si>
  <si>
    <t xml:space="preserve">COVER PLATE  DIMMER 70721     </t>
  </si>
  <si>
    <t xml:space="preserve">4022                </t>
  </si>
  <si>
    <t xml:space="preserve">COV PL  EARTH SOCKET 70631    </t>
  </si>
  <si>
    <t xml:space="preserve">4023                </t>
  </si>
  <si>
    <t xml:space="preserve"> COV PL  EARTH SOCK USA 70843 </t>
  </si>
  <si>
    <t xml:space="preserve">4024                </t>
  </si>
  <si>
    <t>COV PL SCHUK SOCKET IP44 70634</t>
  </si>
  <si>
    <t xml:space="preserve">4025                </t>
  </si>
  <si>
    <t>COVER PLATE  SINGLE RJ45 70751</t>
  </si>
  <si>
    <t xml:space="preserve">4026                </t>
  </si>
  <si>
    <t xml:space="preserve">COVER RING WITH DOUBLE 70442  </t>
  </si>
  <si>
    <t xml:space="preserve">4027                </t>
  </si>
  <si>
    <t xml:space="preserve">COVER PLATE  TELEPHONE 70712  </t>
  </si>
  <si>
    <t xml:space="preserve">4028                </t>
  </si>
  <si>
    <t xml:space="preserve">BLIND COVER PLATE 70677       </t>
  </si>
  <si>
    <t xml:space="preserve">4029                </t>
  </si>
  <si>
    <t xml:space="preserve">IP 44 KIT MEC21 SINGLE 21981  </t>
  </si>
  <si>
    <t xml:space="preserve">4030                </t>
  </si>
  <si>
    <t xml:space="preserve"> SURFACE MOUNTING BOX 10975   </t>
  </si>
  <si>
    <t xml:space="preserve">4031                </t>
  </si>
  <si>
    <t xml:space="preserve">SINGLE FRAME 70910            </t>
  </si>
  <si>
    <t xml:space="preserve">4032                </t>
  </si>
  <si>
    <t xml:space="preserve">DOUBLE HORIZONTAL FRAME 70921 </t>
  </si>
  <si>
    <t xml:space="preserve">4033                </t>
  </si>
  <si>
    <t xml:space="preserve">TRIPLE HORIZONTAL FRAME 70931 </t>
  </si>
  <si>
    <t xml:space="preserve">4034                </t>
  </si>
  <si>
    <t>4- GANG HORIZONTAL FRAME 70941</t>
  </si>
  <si>
    <t xml:space="preserve">4035                </t>
  </si>
  <si>
    <t xml:space="preserve">WATERPROOF FRAME IP 44  70961 </t>
  </si>
  <si>
    <t xml:space="preserve">4036                </t>
  </si>
  <si>
    <t xml:space="preserve">UNIVERSAL COVER RING 70881    </t>
  </si>
  <si>
    <t xml:space="preserve">4037                </t>
  </si>
  <si>
    <t xml:space="preserve">COVER PLATE MOTION  70401 TBR </t>
  </si>
  <si>
    <t xml:space="preserve">4040                </t>
  </si>
  <si>
    <t xml:space="preserve">SINGLE POLE SWITCH 37011 OPB  </t>
  </si>
  <si>
    <t xml:space="preserve">4041                </t>
  </si>
  <si>
    <t xml:space="preserve">TWO CIRCUITS SWITCH 37061 OPB </t>
  </si>
  <si>
    <t xml:space="preserve">4042                </t>
  </si>
  <si>
    <t xml:space="preserve">TWO-WAY SWITCH 37071 OPB      </t>
  </si>
  <si>
    <t xml:space="preserve">4043                </t>
  </si>
  <si>
    <t>DOUBLE 2-WAY SWITCH  37101 OPB</t>
  </si>
  <si>
    <t xml:space="preserve">4044                </t>
  </si>
  <si>
    <t xml:space="preserve">EARTH SOCKET SCHUKO 37131 OPB </t>
  </si>
  <si>
    <t xml:space="preserve">4045                </t>
  </si>
  <si>
    <t>MOUNTINGBOX AMERICAN 10972 ABR</t>
  </si>
  <si>
    <t xml:space="preserve">4046                </t>
  </si>
  <si>
    <t>SINGLE POLE SWITCH 48011 OP WD</t>
  </si>
  <si>
    <t xml:space="preserve">4047                </t>
  </si>
  <si>
    <t xml:space="preserve">TWO POLE SWITCH 48021 WD OPB  </t>
  </si>
  <si>
    <t xml:space="preserve">4048                </t>
  </si>
  <si>
    <t>2 CIRCUITS SWITCH 48061 OPB WD</t>
  </si>
  <si>
    <t xml:space="preserve">4049                </t>
  </si>
  <si>
    <t xml:space="preserve">TWO WAY SWITCH 48071 OPB WD   </t>
  </si>
  <si>
    <t xml:space="preserve">4050                </t>
  </si>
  <si>
    <t xml:space="preserve">EARTH SOCKET  48131 OPB  WD   </t>
  </si>
  <si>
    <t xml:space="preserve">4051                </t>
  </si>
  <si>
    <t>TWO EARTH SOCKETS 48862 OPB WD</t>
  </si>
  <si>
    <t xml:space="preserve">4052                </t>
  </si>
  <si>
    <t xml:space="preserve">SAFETY EARTH SOCKET 45132SBR  </t>
  </si>
  <si>
    <t xml:space="preserve">4053                </t>
  </si>
  <si>
    <t>SAFE EARTHSOCKET 127V 45144SBR</t>
  </si>
  <si>
    <t xml:space="preserve">4054                </t>
  </si>
  <si>
    <t xml:space="preserve">FLOOR BOX GREY 83008CCZ       </t>
  </si>
  <si>
    <t xml:space="preserve">4055                </t>
  </si>
  <si>
    <t xml:space="preserve">MOUNT BOX FOR FLOORBOX 83058  </t>
  </si>
  <si>
    <t xml:space="preserve">4056                </t>
  </si>
  <si>
    <t>Face plate F/2 RJ Connector 2M</t>
  </si>
  <si>
    <t xml:space="preserve">4057                </t>
  </si>
  <si>
    <t xml:space="preserve">DUBBEL USB CHARGER 110-240V   </t>
  </si>
  <si>
    <t xml:space="preserve">4058                </t>
  </si>
  <si>
    <t>COVER PLATE DBL USB CHAR 70673</t>
  </si>
  <si>
    <t xml:space="preserve">4100                </t>
  </si>
  <si>
    <t xml:space="preserve">ROCKER FOR SWITCHES 90601 TBR </t>
  </si>
  <si>
    <t xml:space="preserve">4101                </t>
  </si>
  <si>
    <t xml:space="preserve">DOUBLE ROCKERS 90611 TBR      </t>
  </si>
  <si>
    <t xml:space="preserve">4102                </t>
  </si>
  <si>
    <t xml:space="preserve">TRIPLE ROCKERS 90661 TBR      </t>
  </si>
  <si>
    <t xml:space="preserve">4103                </t>
  </si>
  <si>
    <t xml:space="preserve">COVER PLATE  PULL CORD 90741  </t>
  </si>
  <si>
    <t xml:space="preserve">4104                </t>
  </si>
  <si>
    <t>COVER PLATE FOR DIMMER 90721 T</t>
  </si>
  <si>
    <t xml:space="preserve">4105                </t>
  </si>
  <si>
    <t xml:space="preserve">COVER PLATE SINGLE RJ45 90751 </t>
  </si>
  <si>
    <t xml:space="preserve">4106                </t>
  </si>
  <si>
    <t xml:space="preserve">COVER PLATE - TELEPHONE 90712 </t>
  </si>
  <si>
    <t xml:space="preserve">4107                </t>
  </si>
  <si>
    <t>COVER PLATE- EARTH SOCKET90631</t>
  </si>
  <si>
    <t xml:space="preserve">4108                </t>
  </si>
  <si>
    <t>SAFETY COVER PLATE EARTH 90843</t>
  </si>
  <si>
    <t xml:space="preserve">4109                </t>
  </si>
  <si>
    <t>COVER PLATE SCHUKO SOCKET90634</t>
  </si>
  <si>
    <t xml:space="preserve">4110                </t>
  </si>
  <si>
    <t xml:space="preserve">BLIND COVER PLATE 90677 TBR   </t>
  </si>
  <si>
    <t xml:space="preserve">4111                </t>
  </si>
  <si>
    <t xml:space="preserve">SINGLE FRAME 90910 TBR        </t>
  </si>
  <si>
    <t xml:space="preserve">4112                </t>
  </si>
  <si>
    <t xml:space="preserve">DOUBLE HORIZONTAL FRAME 90920 </t>
  </si>
  <si>
    <t xml:space="preserve">4113                </t>
  </si>
  <si>
    <t xml:space="preserve">TRIPLE HORIZONTAL FRAME 90930 </t>
  </si>
  <si>
    <t xml:space="preserve">4114                </t>
  </si>
  <si>
    <t xml:space="preserve">4 GANG HORIZONTAL FRAME 90940 </t>
  </si>
  <si>
    <t xml:space="preserve">4115                </t>
  </si>
  <si>
    <t xml:space="preserve">5 GANG HORIZONTAL FRAME 90950 </t>
  </si>
  <si>
    <t xml:space="preserve">4116                </t>
  </si>
  <si>
    <t xml:space="preserve">WATERPROOF FRAME IP 44  90961 </t>
  </si>
  <si>
    <t xml:space="preserve">4117                </t>
  </si>
  <si>
    <t xml:space="preserve">COVER RING WITH DOUBLE 90442  </t>
  </si>
  <si>
    <t xml:space="preserve">4118                </t>
  </si>
  <si>
    <t xml:space="preserve">COVER PLATE  DBL USB CHA90673 </t>
  </si>
  <si>
    <t xml:space="preserve">4119                </t>
  </si>
  <si>
    <t xml:space="preserve">SURFACE MOUNTINGBOX 10976 ABR </t>
  </si>
  <si>
    <t xml:space="preserve">4120                </t>
  </si>
  <si>
    <t xml:space="preserve">SURFACE MOUNTINGBOX DOUBLE    </t>
  </si>
  <si>
    <t xml:space="preserve">4121                </t>
  </si>
  <si>
    <t xml:space="preserve">SURFACE MOUNTINGBOX TRIPLE    </t>
  </si>
  <si>
    <t xml:space="preserve">4122                </t>
  </si>
  <si>
    <t xml:space="preserve">COVER PLATE MOTION  90401 TBR </t>
  </si>
  <si>
    <t xml:space="preserve">4140                </t>
  </si>
  <si>
    <t xml:space="preserve">ROCKER FOR SWITCHES 90601 TPM </t>
  </si>
  <si>
    <t xml:space="preserve">4141                </t>
  </si>
  <si>
    <t xml:space="preserve">DOUBLE ROCKERS 90611 TPM      </t>
  </si>
  <si>
    <t xml:space="preserve">4142                </t>
  </si>
  <si>
    <t xml:space="preserve">TRIPLE ROCKERS 90661 TPM      </t>
  </si>
  <si>
    <t xml:space="preserve">4143                </t>
  </si>
  <si>
    <t>COVER PLATE FOR DIMMER90721TPM</t>
  </si>
  <si>
    <t xml:space="preserve">4144                </t>
  </si>
  <si>
    <t>COV PLATE SINGLE RJ45 90751TPM</t>
  </si>
  <si>
    <t xml:space="preserve">4145                </t>
  </si>
  <si>
    <t>COV PLATE  TELEPHONE 90712 TPM</t>
  </si>
  <si>
    <t xml:space="preserve">4146                </t>
  </si>
  <si>
    <t>COV PLATE EARTH SOCKET90631TPM</t>
  </si>
  <si>
    <t xml:space="preserve">4147                </t>
  </si>
  <si>
    <t xml:space="preserve"> COVERPLATE EARTH 90843 USATPM</t>
  </si>
  <si>
    <t xml:space="preserve">4148                </t>
  </si>
  <si>
    <t>COV PLATE SOCKET IP44 90634TPM</t>
  </si>
  <si>
    <t xml:space="preserve">4149                </t>
  </si>
  <si>
    <t xml:space="preserve">BLIND COVER PLATE 90677 TPM   </t>
  </si>
  <si>
    <t xml:space="preserve">4150                </t>
  </si>
  <si>
    <t xml:space="preserve">SINGLE FRAME 90910 TPM        </t>
  </si>
  <si>
    <t xml:space="preserve">4151                </t>
  </si>
  <si>
    <t>2 X HORIZONTAL FRAME 90920 TPM</t>
  </si>
  <si>
    <t xml:space="preserve">4152                </t>
  </si>
  <si>
    <t xml:space="preserve">3 X HORIZONTAL FRAME90930 TPM </t>
  </si>
  <si>
    <t xml:space="preserve">4153                </t>
  </si>
  <si>
    <t xml:space="preserve">4 X  HORIZONT FRAME 90940 TPM </t>
  </si>
  <si>
    <t xml:space="preserve">4154                </t>
  </si>
  <si>
    <t xml:space="preserve">5 X HORIZONT FRAME 90950 TPM  </t>
  </si>
  <si>
    <t xml:space="preserve">4155                </t>
  </si>
  <si>
    <t>COV RING WITH DOUBLE 90442 SPM</t>
  </si>
  <si>
    <t xml:space="preserve">4156                </t>
  </si>
  <si>
    <t xml:space="preserve">COV PLATE FOR USB 90673 TPM   </t>
  </si>
  <si>
    <t xml:space="preserve">4157                </t>
  </si>
  <si>
    <t xml:space="preserve">COVER PLATE MOTION  90401 TPM </t>
  </si>
  <si>
    <t xml:space="preserve">4200                </t>
  </si>
  <si>
    <t xml:space="preserve">KABELGOOT 12x7MM 10010 FBR    </t>
  </si>
  <si>
    <t xml:space="preserve">4201                </t>
  </si>
  <si>
    <t xml:space="preserve">KABELGOOT 16X10MM 10020 FBR   </t>
  </si>
  <si>
    <t xml:space="preserve">4202                </t>
  </si>
  <si>
    <t xml:space="preserve">KABELGOOT 20X12,5MM 10030 FBR </t>
  </si>
  <si>
    <t xml:space="preserve">4203                </t>
  </si>
  <si>
    <t xml:space="preserve">KABELGOOT 32x12.5MM 10400 FBR </t>
  </si>
  <si>
    <t xml:space="preserve">4204                </t>
  </si>
  <si>
    <t xml:space="preserve">KABELGOOT 32X16MM 10040 FBR   </t>
  </si>
  <si>
    <t xml:space="preserve">4205                </t>
  </si>
  <si>
    <t xml:space="preserve">KABELGOOT 40X12,5MM 10150 FBR </t>
  </si>
  <si>
    <t xml:space="preserve">4206                </t>
  </si>
  <si>
    <t xml:space="preserve">KABELGOOT 40X16MM 10160 FBR   </t>
  </si>
  <si>
    <t xml:space="preserve">4207                </t>
  </si>
  <si>
    <t xml:space="preserve">KABELGOOT 50X20MM 10500 CBR   </t>
  </si>
  <si>
    <t xml:space="preserve">4208                </t>
  </si>
  <si>
    <t xml:space="preserve">KABELGOOT 60X16MM 10070 CBR   </t>
  </si>
  <si>
    <t xml:space="preserve">4209                </t>
  </si>
  <si>
    <t xml:space="preserve">KABELGOOT 75X20MM 10140 CBR   </t>
  </si>
  <si>
    <t xml:space="preserve">4210                </t>
  </si>
  <si>
    <t xml:space="preserve">KABELGOOT 110X34MM 10080 RBR  </t>
  </si>
  <si>
    <t xml:space="preserve">4211                </t>
  </si>
  <si>
    <t xml:space="preserve">KABELGOOT 110X50MM 10090RBR   </t>
  </si>
  <si>
    <t xml:space="preserve">4212                </t>
  </si>
  <si>
    <t xml:space="preserve">KABELGOOT 90X50MM 10180 RBR   </t>
  </si>
  <si>
    <t xml:space="preserve">4213                </t>
  </si>
  <si>
    <t xml:space="preserve">KABELGOOT 180X50MM 10290 RBR  </t>
  </si>
  <si>
    <t xml:space="preserve">4215                </t>
  </si>
  <si>
    <t xml:space="preserve">T STUK 20X12.5MM  10031 ABR   </t>
  </si>
  <si>
    <t xml:space="preserve">4216                </t>
  </si>
  <si>
    <t xml:space="preserve">T STUK 32X12.5MM  10401 ABR   </t>
  </si>
  <si>
    <t xml:space="preserve">4217                </t>
  </si>
  <si>
    <t xml:space="preserve">T STUK 32X16MM     10041 ABR  </t>
  </si>
  <si>
    <t xml:space="preserve">4218                </t>
  </si>
  <si>
    <t xml:space="preserve">T STUK 40X12.5MM  10051 ABR   </t>
  </si>
  <si>
    <t xml:space="preserve">4219                </t>
  </si>
  <si>
    <t xml:space="preserve">T STUK 40X16MM     10061 ABR  </t>
  </si>
  <si>
    <t xml:space="preserve">4220                </t>
  </si>
  <si>
    <t xml:space="preserve">T STUK 50X20MM     10501 ABR  </t>
  </si>
  <si>
    <t xml:space="preserve">4221                </t>
  </si>
  <si>
    <t xml:space="preserve">T STUK 60X16MM     10071 ABR  </t>
  </si>
  <si>
    <t xml:space="preserve">4222                </t>
  </si>
  <si>
    <t xml:space="preserve">T STUK 75X20MM     10141 ABR  </t>
  </si>
  <si>
    <t xml:space="preserve">4223                </t>
  </si>
  <si>
    <t xml:space="preserve">T STUK 110X34MM   10081 RBR   </t>
  </si>
  <si>
    <t xml:space="preserve">4224                </t>
  </si>
  <si>
    <t xml:space="preserve">T STUK 110X50MM   10091 RBR   </t>
  </si>
  <si>
    <t xml:space="preserve">4225                </t>
  </si>
  <si>
    <t xml:space="preserve">T STUK 90X50MM     10181 RBR  </t>
  </si>
  <si>
    <t xml:space="preserve">4226                </t>
  </si>
  <si>
    <t xml:space="preserve">T STUK 180X50MM   10291 RBR   </t>
  </si>
  <si>
    <t xml:space="preserve">4227                </t>
  </si>
  <si>
    <t xml:space="preserve">BINNENHK 20X12.5MM 10032 ABR  </t>
  </si>
  <si>
    <t xml:space="preserve">4228                </t>
  </si>
  <si>
    <t xml:space="preserve">BINNENHK 32X12.5MM 10402  ABR </t>
  </si>
  <si>
    <t xml:space="preserve">4229                </t>
  </si>
  <si>
    <t xml:space="preserve">BINNENHK 32X16MM 10042 ABR    </t>
  </si>
  <si>
    <t xml:space="preserve">4230                </t>
  </si>
  <si>
    <t xml:space="preserve">BINNENHK 40X12.5MM 10052 ABR  </t>
  </si>
  <si>
    <t xml:space="preserve">4231                </t>
  </si>
  <si>
    <t xml:space="preserve"> BINNENHK 40X16MM 10062 ABR   </t>
  </si>
  <si>
    <t xml:space="preserve">4232                </t>
  </si>
  <si>
    <t xml:space="preserve">BINNENHK 50X20MM  10502 ABR   </t>
  </si>
  <si>
    <t xml:space="preserve">4233                </t>
  </si>
  <si>
    <t xml:space="preserve">BINNENHK 60X16MM  10072   ABR </t>
  </si>
  <si>
    <t xml:space="preserve">4234                </t>
  </si>
  <si>
    <t xml:space="preserve">BINNENHK 75X20MM  10142 ABR   </t>
  </si>
  <si>
    <t xml:space="preserve">4235                </t>
  </si>
  <si>
    <t xml:space="preserve">BINNENHK 110X34MM  10082  RBR </t>
  </si>
  <si>
    <t xml:space="preserve">4236                </t>
  </si>
  <si>
    <t xml:space="preserve">BINNENHK 110X50MM  10092 RBR  </t>
  </si>
  <si>
    <t xml:space="preserve">4237                </t>
  </si>
  <si>
    <t xml:space="preserve">BINNENHK 90X50MM  10182 RBR   </t>
  </si>
  <si>
    <t xml:space="preserve">4238                </t>
  </si>
  <si>
    <t xml:space="preserve">BINNENHK 180X50MM  10292 RBR  </t>
  </si>
  <si>
    <t xml:space="preserve">4239                </t>
  </si>
  <si>
    <t xml:space="preserve">VLAKHOEK 20X12.5MM  10033 ABR </t>
  </si>
  <si>
    <t xml:space="preserve">4240                </t>
  </si>
  <si>
    <t xml:space="preserve">VLAKHOEK 32X12.5MM  10403 ABR </t>
  </si>
  <si>
    <t xml:space="preserve">4241                </t>
  </si>
  <si>
    <t xml:space="preserve">VLAKHOEK 32X16MM  10043 ABR   </t>
  </si>
  <si>
    <t xml:space="preserve">4242                </t>
  </si>
  <si>
    <t xml:space="preserve">VLAKHOEK 40X12.5MM 10053  ABR </t>
  </si>
  <si>
    <t xml:space="preserve">4243                </t>
  </si>
  <si>
    <t xml:space="preserve">VLAKHOEK 40X16MM  10063  ABR  </t>
  </si>
  <si>
    <t xml:space="preserve">4244                </t>
  </si>
  <si>
    <t xml:space="preserve">VLAKHOEK 50X20MM  10503 ABR   </t>
  </si>
  <si>
    <t xml:space="preserve">4245                </t>
  </si>
  <si>
    <t xml:space="preserve">VLAKHOEK 60X16MM  10073  ABR  </t>
  </si>
  <si>
    <t xml:space="preserve">4246                </t>
  </si>
  <si>
    <t xml:space="preserve">VLAKHOEK 75X20MM 10143  ABR   </t>
  </si>
  <si>
    <t xml:space="preserve">4247                </t>
  </si>
  <si>
    <t xml:space="preserve">VLAKHOEK 110X34MM  10083  RBR </t>
  </si>
  <si>
    <t xml:space="preserve">4248                </t>
  </si>
  <si>
    <t xml:space="preserve">VLAKHOEK 110X50MM  10093  RBR </t>
  </si>
  <si>
    <t xml:space="preserve">4249                </t>
  </si>
  <si>
    <t xml:space="preserve">VLAKHOEK 90X50MM    10183 RBR </t>
  </si>
  <si>
    <t xml:space="preserve">4250                </t>
  </si>
  <si>
    <t xml:space="preserve">VLAKHOEK 180X50MM  10293  RBR </t>
  </si>
  <si>
    <t xml:space="preserve">4251                </t>
  </si>
  <si>
    <t xml:space="preserve">VERLENG 20X12.5MM 10034 ABR   </t>
  </si>
  <si>
    <t xml:space="preserve">4252                </t>
  </si>
  <si>
    <t xml:space="preserve">VERLENG 32X12.5MM  10404 ABR  </t>
  </si>
  <si>
    <t xml:space="preserve">4253                </t>
  </si>
  <si>
    <t xml:space="preserve">VERLENG 32X16MM  10044 ABR    </t>
  </si>
  <si>
    <t xml:space="preserve">4254                </t>
  </si>
  <si>
    <t xml:space="preserve">VERLENG 40X12.5MM  10054  ABR </t>
  </si>
  <si>
    <t xml:space="preserve">4255                </t>
  </si>
  <si>
    <t xml:space="preserve">VERLENG 40X16MM  10064 ABR    </t>
  </si>
  <si>
    <t xml:space="preserve">4256                </t>
  </si>
  <si>
    <t xml:space="preserve">VERLENG 50X20MM    10504  ABR </t>
  </si>
  <si>
    <t xml:space="preserve">4257                </t>
  </si>
  <si>
    <t xml:space="preserve">VERLENG 60X16MM  0074  ABR    </t>
  </si>
  <si>
    <t xml:space="preserve">4258                </t>
  </si>
  <si>
    <t xml:space="preserve">VERLENG 75X20MM   10144  ABR  </t>
  </si>
  <si>
    <t xml:space="preserve">4259                </t>
  </si>
  <si>
    <t xml:space="preserve">VERLENG 110X34MM 10084 RBR    </t>
  </si>
  <si>
    <t xml:space="preserve">4260                </t>
  </si>
  <si>
    <t xml:space="preserve">VERLENG 110X50MM 10094 RBR    </t>
  </si>
  <si>
    <t xml:space="preserve">4261                </t>
  </si>
  <si>
    <t xml:space="preserve">VERLENG 90X50MM  10184 RBR    </t>
  </si>
  <si>
    <t xml:space="preserve">4262                </t>
  </si>
  <si>
    <t xml:space="preserve">VERLENG 180X50MM 10294 RBR    </t>
  </si>
  <si>
    <t xml:space="preserve">4263                </t>
  </si>
  <si>
    <t xml:space="preserve">EINDSTUK 20X12.5MM 10035  ABR </t>
  </si>
  <si>
    <t xml:space="preserve">4264                </t>
  </si>
  <si>
    <t xml:space="preserve">EINDSTUK 32X12.5MM  10405 ABR </t>
  </si>
  <si>
    <t xml:space="preserve">4265                </t>
  </si>
  <si>
    <t xml:space="preserve">EINDSTUK 32X16MM   10045 ABR  </t>
  </si>
  <si>
    <t xml:space="preserve">4266                </t>
  </si>
  <si>
    <t xml:space="preserve">EINDSTUK 40X12.5MM 10055  ABR </t>
  </si>
  <si>
    <t xml:space="preserve">4267                </t>
  </si>
  <si>
    <t xml:space="preserve">EINDSTUK 40X16MM  10065  ABR  </t>
  </si>
  <si>
    <t xml:space="preserve">4268                </t>
  </si>
  <si>
    <t xml:space="preserve">EINDSTUK 50X20MM 10505  ABR   </t>
  </si>
  <si>
    <t xml:space="preserve">4269                </t>
  </si>
  <si>
    <t xml:space="preserve">EINDSTUK 60X16MM  10075  ABR  </t>
  </si>
  <si>
    <t xml:space="preserve">4270                </t>
  </si>
  <si>
    <t xml:space="preserve">EINDSTUK 75X20MM  10145 ABR   </t>
  </si>
  <si>
    <t xml:space="preserve">4271                </t>
  </si>
  <si>
    <t xml:space="preserve">EINDSTUK 110X34MM 10085  RBR  </t>
  </si>
  <si>
    <t xml:space="preserve">4272                </t>
  </si>
  <si>
    <t xml:space="preserve">EINDSTUK 110X50MM 10095  RBR  </t>
  </si>
  <si>
    <t xml:space="preserve">4273                </t>
  </si>
  <si>
    <t xml:space="preserve">EINDSTUK 90X50MM  10185 RBR   </t>
  </si>
  <si>
    <t xml:space="preserve">4274                </t>
  </si>
  <si>
    <t xml:space="preserve">EINDSTUK 180X50MM  10295  RBR </t>
  </si>
  <si>
    <t xml:space="preserve">4275                </t>
  </si>
  <si>
    <t xml:space="preserve">BUITENHK 20X12.5MM 10036 ABR  </t>
  </si>
  <si>
    <t xml:space="preserve">4276                </t>
  </si>
  <si>
    <t xml:space="preserve">BUITENHK 32X12.5MM 10406 ABR  </t>
  </si>
  <si>
    <t xml:space="preserve">4277                </t>
  </si>
  <si>
    <t xml:space="preserve">BUITENHK 32X16MM 10046  ABR   </t>
  </si>
  <si>
    <t xml:space="preserve">4278                </t>
  </si>
  <si>
    <t xml:space="preserve">BUITENHK 40X12.5MM 10056  ABR </t>
  </si>
  <si>
    <t xml:space="preserve">4279                </t>
  </si>
  <si>
    <t xml:space="preserve"> BUITENHK 40X16MM  10066 ABR  </t>
  </si>
  <si>
    <t xml:space="preserve">4280                </t>
  </si>
  <si>
    <t xml:space="preserve">BUITENHK 50X20MM 10506 ABR    </t>
  </si>
  <si>
    <t xml:space="preserve">4281                </t>
  </si>
  <si>
    <t xml:space="preserve">BUITENHK 60X16MM  10076  ABR  </t>
  </si>
  <si>
    <t xml:space="preserve">4282                </t>
  </si>
  <si>
    <t xml:space="preserve">BUITENHK 75X20MM  10146  ABR  </t>
  </si>
  <si>
    <t xml:space="preserve">4283                </t>
  </si>
  <si>
    <t xml:space="preserve">BUITENHK 110X34MM  10086 RBR  </t>
  </si>
  <si>
    <t xml:space="preserve">4284                </t>
  </si>
  <si>
    <t xml:space="preserve">BUITENHK 110X50MM  10096  RBR </t>
  </si>
  <si>
    <t xml:space="preserve">4285                </t>
  </si>
  <si>
    <t xml:space="preserve">BUITENHK 90X50MM  10186  RBR  </t>
  </si>
  <si>
    <t xml:space="preserve">4286                </t>
  </si>
  <si>
    <t xml:space="preserve">BUITENHK 180X50MM 10296  RBR  </t>
  </si>
  <si>
    <t xml:space="preserve">4287                </t>
  </si>
  <si>
    <t>Q45 MOD ADAPTER 2 MOD 10950ABR</t>
  </si>
  <si>
    <t xml:space="preserve">4288                </t>
  </si>
  <si>
    <t>Q45 MOD COV PL 2 MOD 10959 ABR</t>
  </si>
  <si>
    <t xml:space="preserve">4289                </t>
  </si>
  <si>
    <t xml:space="preserve">Q45  ADAPTER 2 MOD 10986 ABR  </t>
  </si>
  <si>
    <t xml:space="preserve">4290                </t>
  </si>
  <si>
    <t xml:space="preserve">Q45  ADAPTER 4 MOD 10952 ABR  </t>
  </si>
  <si>
    <t xml:space="preserve">4291                </t>
  </si>
  <si>
    <t xml:space="preserve">Q45 ADAPTER 6 MOD 10954 ABR   </t>
  </si>
  <si>
    <t xml:space="preserve">4292                </t>
  </si>
  <si>
    <t xml:space="preserve">FLUSH MOUNT BOX USA 10971 ABR </t>
  </si>
  <si>
    <t xml:space="preserve">7000                </t>
  </si>
  <si>
    <t>JVD16 - 63   40A 4P SCHAKELAAR</t>
  </si>
  <si>
    <t xml:space="preserve">7001                </t>
  </si>
  <si>
    <t>JVD16 - 63   63A 4P SCHAKELAAR</t>
  </si>
  <si>
    <t xml:space="preserve">7002                </t>
  </si>
  <si>
    <t xml:space="preserve">JVD16 -125  80A 4P SCHAKELAAR </t>
  </si>
  <si>
    <t xml:space="preserve">7003                </t>
  </si>
  <si>
    <t xml:space="preserve">JVD16 -125 100A 4P SCHAKELAAR </t>
  </si>
  <si>
    <t xml:space="preserve">7004                </t>
  </si>
  <si>
    <t xml:space="preserve">JVD16 -125 125A 4P SCHAKELAAR </t>
  </si>
  <si>
    <t xml:space="preserve">7005                </t>
  </si>
  <si>
    <t>JVL16 -63  40A 4P 30mA AARDLEK</t>
  </si>
  <si>
    <t xml:space="preserve">7006                </t>
  </si>
  <si>
    <t>JVL16 -63  63A 4P 30mA AARDLEK</t>
  </si>
  <si>
    <t xml:space="preserve">7007                </t>
  </si>
  <si>
    <t>JVL16 -63 40A 4P 300mA AARDLEK</t>
  </si>
  <si>
    <t xml:space="preserve">7008                </t>
  </si>
  <si>
    <t>JVL16 -63 63A 4P 300mA AARDLEK</t>
  </si>
  <si>
    <t xml:space="preserve">7009                </t>
  </si>
  <si>
    <t xml:space="preserve"> JVM16 -32   6A1P+N B-TYPE AUT</t>
  </si>
  <si>
    <t xml:space="preserve">7010                </t>
  </si>
  <si>
    <t>JVM16 -32  16A 1P+N B-TYPE AUT</t>
  </si>
  <si>
    <t xml:space="preserve">7011                </t>
  </si>
  <si>
    <t>JVM16 -32  20A 1P+N B-TYPE AUT</t>
  </si>
  <si>
    <t xml:space="preserve">7013                </t>
  </si>
  <si>
    <t>JVM16 -32  16A 1P+N C-TYPE AUT</t>
  </si>
  <si>
    <t xml:space="preserve">7014                </t>
  </si>
  <si>
    <t>JVM16 -32  20A 1P+N C-TYPE AUT</t>
  </si>
  <si>
    <t xml:space="preserve">7015                </t>
  </si>
  <si>
    <t>JVM16 -32  25A 1P+N C-TYPE AUT</t>
  </si>
  <si>
    <t xml:space="preserve">7016                </t>
  </si>
  <si>
    <t>JVM16 -32  32A 1P+N C-TYPE AUT</t>
  </si>
  <si>
    <t xml:space="preserve">7017                </t>
  </si>
  <si>
    <t>JVM19 -63  16A 2P B-TYPE AUTOM</t>
  </si>
  <si>
    <t xml:space="preserve">7018                </t>
  </si>
  <si>
    <t>JVM19-63   6A  2P B-TYPE AUTOM</t>
  </si>
  <si>
    <t xml:space="preserve">7019                </t>
  </si>
  <si>
    <t>JVM16 -63  16A 2P C-TYPE AUTOM</t>
  </si>
  <si>
    <t xml:space="preserve">7020                </t>
  </si>
  <si>
    <t>JVM19 -63  20A 2P C-TYPE AUTOM</t>
  </si>
  <si>
    <t xml:space="preserve">7021                </t>
  </si>
  <si>
    <t>JVM19 -63  25A 2P C-TYPE AUTOM</t>
  </si>
  <si>
    <t xml:space="preserve">7022                </t>
  </si>
  <si>
    <t>JVM19 -63  16A 3P C-TYPE AUTOM</t>
  </si>
  <si>
    <t xml:space="preserve">7023                </t>
  </si>
  <si>
    <t>JVM19 -63  20A 3P C-TYPE AUTOM</t>
  </si>
  <si>
    <t xml:space="preserve">7024                </t>
  </si>
  <si>
    <t>JVM16 -63  25A 3P C-TYPE AUTOM</t>
  </si>
  <si>
    <t xml:space="preserve">7025                </t>
  </si>
  <si>
    <t>JVM16 -63  32A 3P C-TYPE AUTOM</t>
  </si>
  <si>
    <t xml:space="preserve">7026                </t>
  </si>
  <si>
    <t>JVM16 -63  40A 3P C-TYPE AUTOM</t>
  </si>
  <si>
    <t xml:space="preserve">7027                </t>
  </si>
  <si>
    <t>JVM19 -63  50A 3P C-TYPE AUTOM</t>
  </si>
  <si>
    <t xml:space="preserve">7028                </t>
  </si>
  <si>
    <t>JVM19 -63  63A 3P C-TYPE AUTOM</t>
  </si>
  <si>
    <t xml:space="preserve">7030                </t>
  </si>
  <si>
    <t>JVM16-63 16A 3P+N C-TYPE AUTOM</t>
  </si>
  <si>
    <t xml:space="preserve">7031                </t>
  </si>
  <si>
    <t>JVM16-63 25A 3P+N C-TYPE AUTOM</t>
  </si>
  <si>
    <t xml:space="preserve">7032                </t>
  </si>
  <si>
    <t>JVM16 -63 32A 3P+N C-TYPE AUTO</t>
  </si>
  <si>
    <t xml:space="preserve">7033                </t>
  </si>
  <si>
    <t>JVM16 -63 40A 3P+N C-TYPE AUTO</t>
  </si>
  <si>
    <t xml:space="preserve">7034                </t>
  </si>
  <si>
    <t>JVM16 -63 50A 3P+N C-TYPE AUTO</t>
  </si>
  <si>
    <t xml:space="preserve">7035                </t>
  </si>
  <si>
    <t>JVM16 -63 63A 3P+N C-TYPE AUTO</t>
  </si>
  <si>
    <t xml:space="preserve">7036                </t>
  </si>
  <si>
    <t xml:space="preserve">JVM 65-125  80A 3P+N C-TYPE   </t>
  </si>
  <si>
    <t xml:space="preserve">7037                </t>
  </si>
  <si>
    <t xml:space="preserve">JVM 65-125 100A 3P+N C-TYPE   </t>
  </si>
  <si>
    <t xml:space="preserve">7038                </t>
  </si>
  <si>
    <t xml:space="preserve">JVM 65-125 125A 3P+N C-TYPE   </t>
  </si>
  <si>
    <t xml:space="preserve">7039                </t>
  </si>
  <si>
    <t xml:space="preserve">JVT3-16D TIMER                </t>
  </si>
  <si>
    <t xml:space="preserve">7040                </t>
  </si>
  <si>
    <t xml:space="preserve">LNC1  20A  2P 1MOD CONTACTOR  </t>
  </si>
  <si>
    <t xml:space="preserve">7041                </t>
  </si>
  <si>
    <t xml:space="preserve">LNC1  20A  4P 2MOD CONTACTOR  </t>
  </si>
  <si>
    <t xml:space="preserve">7042                </t>
  </si>
  <si>
    <t xml:space="preserve">LNC1 25A 4P 2MOD CONTACTOR    </t>
  </si>
  <si>
    <t xml:space="preserve">7043                </t>
  </si>
  <si>
    <t xml:space="preserve">JVL5-40 16A 1P+N - C 30mA     </t>
  </si>
  <si>
    <t xml:space="preserve">7044                </t>
  </si>
  <si>
    <t xml:space="preserve">LNC1 25A 2P 1MOD CONTACTOR    </t>
  </si>
  <si>
    <t xml:space="preserve">7051                </t>
  </si>
  <si>
    <t xml:space="preserve">JUNCTION BOX 125A  4*7        </t>
  </si>
  <si>
    <t xml:space="preserve">7052                </t>
  </si>
  <si>
    <t xml:space="preserve">JUNCTION BOX 125A  4*11       </t>
  </si>
  <si>
    <t xml:space="preserve">7054                </t>
  </si>
  <si>
    <t>FTG VerdeelBlok 4F 125A 1x35mm</t>
  </si>
  <si>
    <t xml:space="preserve">7055                </t>
  </si>
  <si>
    <t>FTG Verdeel Blok1F 160A 1x70mm</t>
  </si>
  <si>
    <t xml:space="preserve">7056                </t>
  </si>
  <si>
    <t>FTG Verdeel Blok4F 160A 1x35mm</t>
  </si>
  <si>
    <t xml:space="preserve">7060                </t>
  </si>
  <si>
    <t xml:space="preserve">JVRO16-32 1P+N B16 30 mA      </t>
  </si>
  <si>
    <t xml:space="preserve">7061                </t>
  </si>
  <si>
    <t xml:space="preserve">JVRO16-32 1P+N C 16 30 mA     </t>
  </si>
  <si>
    <t xml:space="preserve">7062                </t>
  </si>
  <si>
    <t xml:space="preserve">JVRO16-32 1P+N C 20 30 mA     </t>
  </si>
  <si>
    <t xml:space="preserve">7063                </t>
  </si>
  <si>
    <t xml:space="preserve">JVRO16-32 1P+N C 25 30 mA     </t>
  </si>
  <si>
    <t xml:space="preserve">7070                </t>
  </si>
  <si>
    <t xml:space="preserve">ADER EINDHULS 1.5mm E1508     </t>
  </si>
  <si>
    <t xml:space="preserve">7071                </t>
  </si>
  <si>
    <t xml:space="preserve">ADER EINDHULS 2.5mm E2508     </t>
  </si>
  <si>
    <t xml:space="preserve">7072                </t>
  </si>
  <si>
    <t xml:space="preserve">ADER EINDHULS 4mm E4012       </t>
  </si>
  <si>
    <t xml:space="preserve">7073                </t>
  </si>
  <si>
    <t xml:space="preserve">ADER EINDHULS 6mm E6012       </t>
  </si>
  <si>
    <t xml:space="preserve">7074                </t>
  </si>
  <si>
    <t xml:space="preserve">ADER EINDHULS 10mm E1012      </t>
  </si>
  <si>
    <t xml:space="preserve">7075                </t>
  </si>
  <si>
    <t xml:space="preserve">ADER EINDHULS 16mm E1612      </t>
  </si>
  <si>
    <t xml:space="preserve">7076                </t>
  </si>
  <si>
    <t xml:space="preserve">ADER EINDHULS 25mm E2516      </t>
  </si>
  <si>
    <t xml:space="preserve">7077                </t>
  </si>
  <si>
    <t xml:space="preserve">ADER EINDHULS 35mm E3516      </t>
  </si>
  <si>
    <t xml:space="preserve">7078                </t>
  </si>
  <si>
    <t xml:space="preserve">ADER EINDHULS 50mm E5020      </t>
  </si>
  <si>
    <t xml:space="preserve">7079                </t>
  </si>
  <si>
    <t xml:space="preserve">ADER EINDHULS 2X1.5mm TE1508  </t>
  </si>
  <si>
    <t xml:space="preserve">7080                </t>
  </si>
  <si>
    <t xml:space="preserve">ADER EINDHULS 2X2.5mm TE2510  </t>
  </si>
  <si>
    <t xml:space="preserve">7081                </t>
  </si>
  <si>
    <t xml:space="preserve">ADER EINDHULS 2X4mm TE4012    </t>
  </si>
  <si>
    <t xml:space="preserve">7082                </t>
  </si>
  <si>
    <t xml:space="preserve">ADER EINDHULS 2X6mm TE6014    </t>
  </si>
  <si>
    <t xml:space="preserve">7083                </t>
  </si>
  <si>
    <t xml:space="preserve">ADER EINDHULS 2X10mm TE1014   </t>
  </si>
  <si>
    <t xml:space="preserve">7084                </t>
  </si>
  <si>
    <t xml:space="preserve">ADER EINDHULS 2X16mm TE1614   </t>
  </si>
  <si>
    <t xml:space="preserve">7100                </t>
  </si>
  <si>
    <t xml:space="preserve">PL-U 2pins 7W 127v/6400k      </t>
  </si>
  <si>
    <t xml:space="preserve">7102                </t>
  </si>
  <si>
    <t xml:space="preserve">ESL 305 SLIM 7W SPIRAAL 127V  </t>
  </si>
  <si>
    <t xml:space="preserve">7103                </t>
  </si>
  <si>
    <t xml:space="preserve">ESL 305 SLIM 9W SPIRAAL 127V  </t>
  </si>
  <si>
    <t xml:space="preserve">7104                </t>
  </si>
  <si>
    <t xml:space="preserve">ESL 305 SLIM 11W SPIRAAL 127V </t>
  </si>
  <si>
    <t xml:space="preserve">7105                </t>
  </si>
  <si>
    <t xml:space="preserve">ESL 305 SLIM 13W SPIRAAL 127V </t>
  </si>
  <si>
    <t xml:space="preserve">7106                </t>
  </si>
  <si>
    <t xml:space="preserve">ESL 305 SLIM 15W SPIRAAL 127V </t>
  </si>
  <si>
    <t xml:space="preserve">7110                </t>
  </si>
  <si>
    <t xml:space="preserve">ESL 211 15W SPIRAAL 127V      </t>
  </si>
  <si>
    <t xml:space="preserve">7111                </t>
  </si>
  <si>
    <t xml:space="preserve">ESL 211 18W SPIRAAL 127V      </t>
  </si>
  <si>
    <t xml:space="preserve">7112                </t>
  </si>
  <si>
    <t xml:space="preserve">ESL 211 20W SPIRAAL 127V      </t>
  </si>
  <si>
    <t xml:space="preserve">7115                </t>
  </si>
  <si>
    <t xml:space="preserve">T8 18W TL BUIS 6400K          </t>
  </si>
  <si>
    <t xml:space="preserve">7116                </t>
  </si>
  <si>
    <t xml:space="preserve">T8 36W TL BUIS 6400K          </t>
  </si>
  <si>
    <t xml:space="preserve">7117                </t>
  </si>
  <si>
    <t xml:space="preserve">T12 20W TL BUIS 6400K         </t>
  </si>
  <si>
    <t xml:space="preserve">7118                </t>
  </si>
  <si>
    <t xml:space="preserve">T12 40W TL BUIS 6400K         </t>
  </si>
  <si>
    <t xml:space="preserve">7120                </t>
  </si>
  <si>
    <t xml:space="preserve">TL ARMATUUR WD 1X18 127V      </t>
  </si>
  <si>
    <t xml:space="preserve">7121                </t>
  </si>
  <si>
    <t xml:space="preserve">TL ARMATUUR WD 1X36 127V      </t>
  </si>
  <si>
    <t xml:space="preserve">7122                </t>
  </si>
  <si>
    <t xml:space="preserve">TL ARMATUUR WD 2X36 127V      </t>
  </si>
  <si>
    <t xml:space="preserve">7123                </t>
  </si>
  <si>
    <t xml:space="preserve">TL ARMATUUR WD 1X18 220V      </t>
  </si>
  <si>
    <t xml:space="preserve">7124                </t>
  </si>
  <si>
    <t xml:space="preserve">TL ARMATUUR WD 1X36 220V      </t>
  </si>
  <si>
    <t xml:space="preserve">7125                </t>
  </si>
  <si>
    <t xml:space="preserve">TL ARMATUUR WD 2X36 220V      </t>
  </si>
  <si>
    <t xml:space="preserve">7127                </t>
  </si>
  <si>
    <t xml:space="preserve">HALOGEEN SCHIJNW 500W MHL002  </t>
  </si>
  <si>
    <t xml:space="preserve">7128                </t>
  </si>
  <si>
    <t xml:space="preserve">HALOGEEN SCHIJNW 1000W MHL005 </t>
  </si>
  <si>
    <t xml:space="preserve">7129                </t>
  </si>
  <si>
    <t xml:space="preserve">HALOGEEN SCHIJNW 1500W MHL006 </t>
  </si>
  <si>
    <t xml:space="preserve">7130                </t>
  </si>
  <si>
    <t xml:space="preserve">HPS ARMATUUR 70W FML005       </t>
  </si>
  <si>
    <t xml:space="preserve">7131                </t>
  </si>
  <si>
    <t xml:space="preserve">HPS ARMATUUR 150W FML005      </t>
  </si>
  <si>
    <t xml:space="preserve">7132                </t>
  </si>
  <si>
    <t xml:space="preserve">HPS ARMATUUR 250W FML006      </t>
  </si>
  <si>
    <t xml:space="preserve">7133                </t>
  </si>
  <si>
    <t xml:space="preserve">HALOGEEN LAMP 500W            </t>
  </si>
  <si>
    <t xml:space="preserve">7134                </t>
  </si>
  <si>
    <t xml:space="preserve">HALOGEENLAMP 1000W            </t>
  </si>
  <si>
    <t xml:space="preserve">7135                </t>
  </si>
  <si>
    <t xml:space="preserve">HALOGEENLAMP 1500W            </t>
  </si>
  <si>
    <t xml:space="preserve">7136                </t>
  </si>
  <si>
    <t xml:space="preserve">HPLN LAMP 70W                 </t>
  </si>
  <si>
    <t xml:space="preserve">7137                </t>
  </si>
  <si>
    <t xml:space="preserve">HPLN LAMP 150W                </t>
  </si>
  <si>
    <t xml:space="preserve">7138                </t>
  </si>
  <si>
    <t xml:space="preserve">HPLN LAMP 250W                </t>
  </si>
  <si>
    <t xml:space="preserve">7139                </t>
  </si>
  <si>
    <t xml:space="preserve">HPLN LAMP 400W OSRAM          </t>
  </si>
  <si>
    <t xml:space="preserve">7140                </t>
  </si>
  <si>
    <t xml:space="preserve">OPB.KAST WD 12MD 1312R1       </t>
  </si>
  <si>
    <t xml:space="preserve">7141                </t>
  </si>
  <si>
    <t xml:space="preserve">BW.KAST WD 16MD  1316P-R1     </t>
  </si>
  <si>
    <t xml:space="preserve">7142                </t>
  </si>
  <si>
    <t xml:space="preserve">OPB.KAST WD 3MD 1303          </t>
  </si>
  <si>
    <t xml:space="preserve">7143                </t>
  </si>
  <si>
    <t xml:space="preserve">OPB.KAST WD 4MD 1304R1        </t>
  </si>
  <si>
    <t xml:space="preserve">7144                </t>
  </si>
  <si>
    <t xml:space="preserve">OPB.KAST WD 6MD R1306BR1      </t>
  </si>
  <si>
    <t xml:space="preserve">7145                </t>
  </si>
  <si>
    <t xml:space="preserve">BW.KAST WD 32MD 1332PR1       </t>
  </si>
  <si>
    <t xml:space="preserve">7146                </t>
  </si>
  <si>
    <t xml:space="preserve">OPB.KAST WD 8MD 1308PR1 BW    </t>
  </si>
  <si>
    <t xml:space="preserve">7147                </t>
  </si>
  <si>
    <t xml:space="preserve">OPB.KAST WD 48MD 1348R1       </t>
  </si>
  <si>
    <t xml:space="preserve">7148                </t>
  </si>
  <si>
    <t xml:space="preserve">OPB.KAST WD 8MD 1308BR1       </t>
  </si>
  <si>
    <t xml:space="preserve">7149                </t>
  </si>
  <si>
    <t xml:space="preserve">OPB.KAST 8MD 5109R1           </t>
  </si>
  <si>
    <t xml:space="preserve">7150                </t>
  </si>
  <si>
    <t xml:space="preserve">OPB.KAST 14MD 5021R1          </t>
  </si>
  <si>
    <t xml:space="preserve">7151                </t>
  </si>
  <si>
    <t xml:space="preserve">OPB.KAST 28MD 5281R1          </t>
  </si>
  <si>
    <t xml:space="preserve">7152                </t>
  </si>
  <si>
    <t xml:space="preserve">OPB.KAST 42MD 5261R1          </t>
  </si>
  <si>
    <t xml:space="preserve">7153                </t>
  </si>
  <si>
    <t xml:space="preserve">OPB.KAST 56MD 5271R1          </t>
  </si>
  <si>
    <t xml:space="preserve">7154                </t>
  </si>
  <si>
    <t xml:space="preserve">INB.KAST 12/14MD 5012R1       </t>
  </si>
  <si>
    <t xml:space="preserve">7155                </t>
  </si>
  <si>
    <t xml:space="preserve">INB.KAST 24/28MD 5250R1       </t>
  </si>
  <si>
    <t xml:space="preserve">7156                </t>
  </si>
  <si>
    <t xml:space="preserve">INB.KAST 36/42MD 5260R1       </t>
  </si>
  <si>
    <t xml:space="preserve">7157                </t>
  </si>
  <si>
    <t xml:space="preserve">INB.KAST 48/56MD 5270R1       </t>
  </si>
  <si>
    <t xml:space="preserve">7158                </t>
  </si>
  <si>
    <t xml:space="preserve">OPB.STOPCONTACT WD 3160       </t>
  </si>
  <si>
    <t xml:space="preserve">7159                </t>
  </si>
  <si>
    <t>INB.STOPCONTACT WD IP67 931431</t>
  </si>
  <si>
    <t xml:space="preserve">7160                </t>
  </si>
  <si>
    <t xml:space="preserve">RUBBER STEKKER 5706C          </t>
  </si>
  <si>
    <t xml:space="preserve">7161                </t>
  </si>
  <si>
    <t xml:space="preserve">TERMOPLASTIC STEKKER 6706CN   </t>
  </si>
  <si>
    <t xml:space="preserve">7162                </t>
  </si>
  <si>
    <t>TERMOPLASTIC STEKKER 6706B WIT</t>
  </si>
  <si>
    <t xml:space="preserve">7163                </t>
  </si>
  <si>
    <t xml:space="preserve">TERMOPLASTIC STEKKER 6428 WIT </t>
  </si>
  <si>
    <t xml:space="preserve">7164                </t>
  </si>
  <si>
    <t xml:space="preserve">TERMOPLASTIC CONTRA 6707B WIT </t>
  </si>
  <si>
    <t xml:space="preserve">7165                </t>
  </si>
  <si>
    <t xml:space="preserve">TERMOPLASTIC CONTRA 6707CN    </t>
  </si>
  <si>
    <t xml:space="preserve">7166                </t>
  </si>
  <si>
    <t xml:space="preserve">TERMOPLASTIC CONTRA 5019      </t>
  </si>
  <si>
    <t xml:space="preserve">7167                </t>
  </si>
  <si>
    <t xml:space="preserve">OPB.KAST 12MD 8703R1          </t>
  </si>
  <si>
    <t xml:space="preserve">7168                </t>
  </si>
  <si>
    <t xml:space="preserve">OPB.KAST WD 36MD 1336PR1      </t>
  </si>
  <si>
    <t xml:space="preserve">7169                </t>
  </si>
  <si>
    <t xml:space="preserve">OPB.KAST WD 11MD BW 1311AR1   </t>
  </si>
  <si>
    <t xml:space="preserve">7170                </t>
  </si>
  <si>
    <t xml:space="preserve">KABELDOOS GRIJS 886A          </t>
  </si>
  <si>
    <t xml:space="preserve">7171                </t>
  </si>
  <si>
    <t xml:space="preserve">KABELDOOS TRANSP 886 ATP      </t>
  </si>
  <si>
    <t xml:space="preserve">7172                </t>
  </si>
  <si>
    <t xml:space="preserve">KABELDOOS TRANSP 715          </t>
  </si>
  <si>
    <t xml:space="preserve">7173                </t>
  </si>
  <si>
    <t>TERMOPLASTIC ZIJK STEKKER 6566</t>
  </si>
  <si>
    <t xml:space="preserve">7174                </t>
  </si>
  <si>
    <t xml:space="preserve">INSTEEK FLEXIBLE CLE24        </t>
  </si>
  <si>
    <t xml:space="preserve">7175                </t>
  </si>
  <si>
    <t xml:space="preserve">INSTEEK FLEXIBLE CLE34        </t>
  </si>
  <si>
    <t xml:space="preserve">7176                </t>
  </si>
  <si>
    <t xml:space="preserve">INSTEEK FLEXIBLE CLE54        </t>
  </si>
  <si>
    <t xml:space="preserve">7177                </t>
  </si>
  <si>
    <t xml:space="preserve">LAMPHOUDER 6511/75            </t>
  </si>
  <si>
    <t xml:space="preserve">7178                </t>
  </si>
  <si>
    <t xml:space="preserve">BASE MULTI 3 TOMAS 8013 IL    </t>
  </si>
  <si>
    <t xml:space="preserve">7179                </t>
  </si>
  <si>
    <t xml:space="preserve">BASE MULTI 4 TOMAS 8014 IL    </t>
  </si>
  <si>
    <t xml:space="preserve">7180                </t>
  </si>
  <si>
    <t xml:space="preserve">BASE MULTI 5 TOMAS 8015 IL    </t>
  </si>
  <si>
    <t xml:space="preserve">7181                </t>
  </si>
  <si>
    <t xml:space="preserve">BASE MULTI 6 TOMAS 8016 IL    </t>
  </si>
  <si>
    <t xml:space="preserve">7182                </t>
  </si>
  <si>
    <t xml:space="preserve">ROL VERLENGSNOER 15M 7423/1   </t>
  </si>
  <si>
    <t xml:space="preserve">7183                </t>
  </si>
  <si>
    <t xml:space="preserve">ROL VERLENGSNOER 25M 7425/1   </t>
  </si>
  <si>
    <t xml:space="preserve">7184                </t>
  </si>
  <si>
    <t xml:space="preserve">INB.KAST MP14 METALBOX        </t>
  </si>
  <si>
    <t xml:space="preserve">7185                </t>
  </si>
  <si>
    <t xml:space="preserve">INB.KAST MP28 METALBOX        </t>
  </si>
  <si>
    <t xml:space="preserve">7186                </t>
  </si>
  <si>
    <t xml:space="preserve">INB.KAST MP42 METALBOX        </t>
  </si>
  <si>
    <t xml:space="preserve">7187                </t>
  </si>
  <si>
    <t xml:space="preserve">INB.KAST MP56 METALBOX        </t>
  </si>
  <si>
    <t xml:space="preserve">7188                </t>
  </si>
  <si>
    <t xml:space="preserve">KABEL DOOS 615 100 X 100 X 45 </t>
  </si>
  <si>
    <t xml:space="preserve">7189                </t>
  </si>
  <si>
    <t xml:space="preserve">KABEL DOOS 665 ROND  70 X 35  </t>
  </si>
  <si>
    <t xml:space="preserve">7190                </t>
  </si>
  <si>
    <t xml:space="preserve">KABEL DOOS 604 80 X 80 X 35   </t>
  </si>
  <si>
    <t xml:space="preserve">7191                </t>
  </si>
  <si>
    <t xml:space="preserve">EARTH TERMINAL GREEN          </t>
  </si>
  <si>
    <t xml:space="preserve">7192                </t>
  </si>
  <si>
    <t xml:space="preserve"> ARMARIO ABS 200X300X130+PLAC </t>
  </si>
  <si>
    <t xml:space="preserve">7193                </t>
  </si>
  <si>
    <t xml:space="preserve">INB.KAST MP14 METALBOX NG     </t>
  </si>
  <si>
    <t xml:space="preserve">7194                </t>
  </si>
  <si>
    <t xml:space="preserve">INB.KAST MP28 METALBOX NG     </t>
  </si>
  <si>
    <t xml:space="preserve">7195                </t>
  </si>
  <si>
    <t xml:space="preserve">INB.KAST MP42 METALBOX NG     </t>
  </si>
  <si>
    <t xml:space="preserve">7196                </t>
  </si>
  <si>
    <t xml:space="preserve">INB.KAST MP56 METALBOX NG     </t>
  </si>
  <si>
    <t xml:space="preserve">8000                </t>
  </si>
  <si>
    <t xml:space="preserve">Penta Pine Poles Class 3/40   </t>
  </si>
  <si>
    <t xml:space="preserve">8001                </t>
  </si>
  <si>
    <t xml:space="preserve">Penta Pine Poles Class 3/30   </t>
  </si>
  <si>
    <t xml:space="preserve">8002                </t>
  </si>
  <si>
    <t xml:space="preserve">Penta Pine Poles Class 5/30   </t>
  </si>
  <si>
    <t xml:space="preserve">8003                </t>
  </si>
  <si>
    <t xml:space="preserve">Penta Pine Poles Class 5/40   </t>
  </si>
  <si>
    <t xml:space="preserve">8004                </t>
  </si>
  <si>
    <t xml:space="preserve">Penta Pine Poles Class 7/7    </t>
  </si>
  <si>
    <t xml:space="preserve">8005                </t>
  </si>
  <si>
    <t xml:space="preserve">12" Butt 30 FT SYP 80# CCA PI </t>
  </si>
  <si>
    <t xml:space="preserve">8009                </t>
  </si>
  <si>
    <t xml:space="preserve">TRANSFORMER 127/110 V 400 VA  </t>
  </si>
  <si>
    <t xml:space="preserve">8010                </t>
  </si>
  <si>
    <t xml:space="preserve">TRANSFORMER 127/110 V 1500 VA </t>
  </si>
  <si>
    <t xml:space="preserve">8011                </t>
  </si>
  <si>
    <t>SHORTING CAP SCCL-PECTIL 73251</t>
  </si>
  <si>
    <t xml:space="preserve">8012                </t>
  </si>
  <si>
    <t xml:space="preserve">Fuse-Holder FPG1 Slotted IP40 </t>
  </si>
  <si>
    <t xml:space="preserve">8014                </t>
  </si>
  <si>
    <t xml:space="preserve">Fuse-5x20mm  10 A 250V        </t>
  </si>
  <si>
    <t xml:space="preserve">8015                </t>
  </si>
  <si>
    <t xml:space="preserve">Fuse-5x25mm 6.3 A 250V        </t>
  </si>
  <si>
    <t xml:space="preserve">8020                </t>
  </si>
  <si>
    <t>CMH70/TT/UVC/730/E27 SKU 77401</t>
  </si>
  <si>
    <t xml:space="preserve">8021                </t>
  </si>
  <si>
    <t>CMH100/TT/UVC/730/E40 SKU 7739</t>
  </si>
  <si>
    <t xml:space="preserve">8022                </t>
  </si>
  <si>
    <t xml:space="preserve">SMARTTIJDKLOK FINDER          </t>
  </si>
  <si>
    <t xml:space="preserve">8023                </t>
  </si>
  <si>
    <t xml:space="preserve">SPRAY PAINT RED 400ML         </t>
  </si>
  <si>
    <t xml:space="preserve">8024                </t>
  </si>
  <si>
    <t xml:space="preserve">3W MINI LED BULB E27 WW       </t>
  </si>
  <si>
    <t xml:space="preserve">8025                </t>
  </si>
  <si>
    <t xml:space="preserve">SCHROEFPATROONHOUDER 25A DII  </t>
  </si>
  <si>
    <t xml:space="preserve">8026                </t>
  </si>
  <si>
    <t xml:space="preserve">GP ALKALINE ULTRA  12V        </t>
  </si>
  <si>
    <t xml:space="preserve">8028                </t>
  </si>
  <si>
    <t xml:space="preserve">GLASSES TEAL                  </t>
  </si>
  <si>
    <t xml:space="preserve">8029                </t>
  </si>
  <si>
    <t xml:space="preserve">GLOVE PALM SPLIT              </t>
  </si>
  <si>
    <t xml:space="preserve">8030                </t>
  </si>
  <si>
    <t xml:space="preserve">EARTHLEAK AUTMAT 1P+N B16     </t>
  </si>
  <si>
    <t xml:space="preserve">8031                </t>
  </si>
  <si>
    <t>ETI aardleksch 40A 4P0,03 127V</t>
  </si>
  <si>
    <t xml:space="preserve">8039                </t>
  </si>
  <si>
    <t xml:space="preserve">CVL 3.5 PT60-VPL GST114       </t>
  </si>
  <si>
    <t xml:space="preserve">8040                </t>
  </si>
  <si>
    <t xml:space="preserve">CVL 4.0 PT76 EUV60-GST114     </t>
  </si>
  <si>
    <t xml:space="preserve">8041                </t>
  </si>
  <si>
    <t xml:space="preserve">CCOL8.0PT60 GST140            </t>
  </si>
  <si>
    <t xml:space="preserve">8042                </t>
  </si>
  <si>
    <t xml:space="preserve">CCOL8.0/6.0 PT60 GST140       </t>
  </si>
  <si>
    <t xml:space="preserve">8043                </t>
  </si>
  <si>
    <t xml:space="preserve">CCOL 4.0 PT60 GST114          </t>
  </si>
  <si>
    <t xml:space="preserve">8044                </t>
  </si>
  <si>
    <t xml:space="preserve">CCOL 9.0 PT60 GST159          </t>
  </si>
  <si>
    <t xml:space="preserve">8049                </t>
  </si>
  <si>
    <t xml:space="preserve">CVA 12.0 PT168-GST273         </t>
  </si>
  <si>
    <t xml:space="preserve">8050                </t>
  </si>
  <si>
    <t xml:space="preserve">EUO 0.4 60 1200/5 PTU60 ENKEL </t>
  </si>
  <si>
    <t xml:space="preserve">8051                </t>
  </si>
  <si>
    <t xml:space="preserve">DUO 0.4 60 1200/5 PTU60 DUB   </t>
  </si>
  <si>
    <t xml:space="preserve">8077                </t>
  </si>
  <si>
    <t xml:space="preserve">NYY-O  0,6/1kV 2x2.5mm2       </t>
  </si>
  <si>
    <t xml:space="preserve">8078                </t>
  </si>
  <si>
    <t xml:space="preserve">VMvK 4x4  mm2   0.6/1kv  Gray </t>
  </si>
  <si>
    <t xml:space="preserve">8079                </t>
  </si>
  <si>
    <t xml:space="preserve">VMvK 4x6  mm2   0.6/1Kv  Gray </t>
  </si>
  <si>
    <t xml:space="preserve">8080                </t>
  </si>
  <si>
    <t xml:space="preserve">VMvK 4x10mm2   0.6/1Kv  Gray  </t>
  </si>
  <si>
    <t xml:space="preserve">8081                </t>
  </si>
  <si>
    <t xml:space="preserve">VMvK 4x16mm2   0.6/1Kv  Gray  </t>
  </si>
  <si>
    <t xml:space="preserve">8082                </t>
  </si>
  <si>
    <t xml:space="preserve">VMvK 4x25mm2   0.6/1Kv  Gray  </t>
  </si>
  <si>
    <t xml:space="preserve">8083                </t>
  </si>
  <si>
    <t xml:space="preserve">VMvK 4x50mm2   0.6/1Kv  Gray  </t>
  </si>
  <si>
    <t xml:space="preserve">8084                </t>
  </si>
  <si>
    <t xml:space="preserve">VMvK 4x95mm2   0,6/1kv   Gray </t>
  </si>
  <si>
    <t xml:space="preserve">8085                </t>
  </si>
  <si>
    <t>YmeKrvaslqwd3x35rs+as35 8.7/15</t>
  </si>
  <si>
    <t xml:space="preserve">8086                </t>
  </si>
  <si>
    <t>VMvK 4x150mm2 AL 0,6/1kV Grijs</t>
  </si>
  <si>
    <t xml:space="preserve">80861               </t>
  </si>
  <si>
    <t xml:space="preserve">VERTINT BLANK KOPERDRAAD 16mm </t>
  </si>
  <si>
    <t xml:space="preserve">80862               </t>
  </si>
  <si>
    <t>VERTINT BLANK KOPERDRAAD 25 mm</t>
  </si>
  <si>
    <t xml:space="preserve">80863               </t>
  </si>
  <si>
    <t>VERTINT BLANK KOPERDRAAD 50 mm</t>
  </si>
  <si>
    <t xml:space="preserve">8087                </t>
  </si>
  <si>
    <t>YmeKrvaslqwd3x70rs+as35 8.7/15</t>
  </si>
  <si>
    <t xml:space="preserve">80871               </t>
  </si>
  <si>
    <t xml:space="preserve">LUXMETER N49990               </t>
  </si>
  <si>
    <t xml:space="preserve">8088                </t>
  </si>
  <si>
    <t xml:space="preserve">YmeKrvaslqwd1x185rs+as35 15KV </t>
  </si>
  <si>
    <t xml:space="preserve">8089                </t>
  </si>
  <si>
    <t>YMeKrvasdlwd 1x630re+as35 30KV</t>
  </si>
  <si>
    <t xml:space="preserve">80896               </t>
  </si>
  <si>
    <t xml:space="preserve">KWH METER PULS CE4DMID32 63A  </t>
  </si>
  <si>
    <t xml:space="preserve">80897               </t>
  </si>
  <si>
    <t xml:space="preserve">IME STROOMTRAFO 150/5A        </t>
  </si>
  <si>
    <t xml:space="preserve">8100                </t>
  </si>
  <si>
    <t xml:space="preserve">WAARSCHUWINGSLINT ELECTRA     </t>
  </si>
  <si>
    <t xml:space="preserve">8101                </t>
  </si>
  <si>
    <t>YMeKrvasdlwd 1x300re+as35 15KV</t>
  </si>
  <si>
    <t xml:space="preserve">8102                </t>
  </si>
  <si>
    <t xml:space="preserve">A2XS2Y 150 MM2 12/20 KV AL    </t>
  </si>
  <si>
    <t xml:space="preserve">8103                </t>
  </si>
  <si>
    <t xml:space="preserve">ELASPEED EPJM- 1-240/36       </t>
  </si>
  <si>
    <t xml:space="preserve">8104                </t>
  </si>
  <si>
    <t xml:space="preserve">105-305V PHOTOCELL EX124-12A  </t>
  </si>
  <si>
    <t xml:space="preserve">8105                </t>
  </si>
  <si>
    <t xml:space="preserve">2223 MOUNTING RECEPTACLE TORK </t>
  </si>
  <si>
    <t xml:space="preserve">8107                </t>
  </si>
  <si>
    <t xml:space="preserve">NA2XS2Y 1X240/35 - 30KV       </t>
  </si>
  <si>
    <t xml:space="preserve">8108                </t>
  </si>
  <si>
    <t>YMeKrvaslqwd3X150lAlrm+35 15KV</t>
  </si>
  <si>
    <t xml:space="preserve">8109                </t>
  </si>
  <si>
    <t>A2XS (F)K2Y-GC 1X630RE 36/66kV</t>
  </si>
  <si>
    <t xml:space="preserve">8110                </t>
  </si>
  <si>
    <t xml:space="preserve">A2X(F)KL2Y-SC 1X630RE 36/66kV </t>
  </si>
  <si>
    <t xml:space="preserve">8152                </t>
  </si>
  <si>
    <t>PORCEL.ISOL ANSI 53-2 RO-12012</t>
  </si>
  <si>
    <t xml:space="preserve">90002               </t>
  </si>
  <si>
    <t xml:space="preserve">NAIL MASON FLUTED 3"          </t>
  </si>
  <si>
    <t xml:space="preserve">90100               </t>
  </si>
  <si>
    <t xml:space="preserve">SINGLE FRAME ALU 90910TAA     </t>
  </si>
  <si>
    <t xml:space="preserve">90101               </t>
  </si>
  <si>
    <t xml:space="preserve">DOUBLE FRAME ALU 90920TAA     </t>
  </si>
  <si>
    <t xml:space="preserve">90102               </t>
  </si>
  <si>
    <t xml:space="preserve">TRIPLE FRAME ALU 90930TAA     </t>
  </si>
  <si>
    <t xml:space="preserve">90103               </t>
  </si>
  <si>
    <t xml:space="preserve">FOUR GANG FRAME ALU 90940TAA  </t>
  </si>
  <si>
    <t xml:space="preserve">90104               </t>
  </si>
  <si>
    <t>COV PL/EARTH SOCK ALU 90632TAA</t>
  </si>
  <si>
    <t xml:space="preserve">90105               </t>
  </si>
  <si>
    <t xml:space="preserve">COV PLATE EARTH SOCK 90843TAA </t>
  </si>
  <si>
    <t xml:space="preserve">90106               </t>
  </si>
  <si>
    <t xml:space="preserve">COV PLATE SINGL RJ45 90751TAL </t>
  </si>
  <si>
    <t xml:space="preserve">90107               </t>
  </si>
  <si>
    <t>COV PLATE DIMM 2WAY SW90721TAL</t>
  </si>
  <si>
    <t xml:space="preserve">90108               </t>
  </si>
  <si>
    <t>DBL ROCKER SWITCH ALU 90611TAL</t>
  </si>
  <si>
    <t xml:space="preserve">90109               </t>
  </si>
  <si>
    <t xml:space="preserve">ROCKER SWITCH ALU 90601TAL    </t>
  </si>
  <si>
    <t xml:space="preserve">90110               </t>
  </si>
  <si>
    <t xml:space="preserve">BLIND COV PLATE ALU 90677TAL  </t>
  </si>
  <si>
    <t xml:space="preserve">90120               </t>
  </si>
  <si>
    <t>SINGLE FRAME MATTE BLACK 50910</t>
  </si>
  <si>
    <t xml:space="preserve">90121               </t>
  </si>
  <si>
    <t xml:space="preserve">DOUBLE HORIZONTAL FRAME 50921 </t>
  </si>
  <si>
    <t xml:space="preserve">90122               </t>
  </si>
  <si>
    <t xml:space="preserve">TRIPLE HORIZONTAL FRAME 50931 </t>
  </si>
  <si>
    <t xml:space="preserve">90124               </t>
  </si>
  <si>
    <t xml:space="preserve">ROCKER FOR SWITCHES 50601     </t>
  </si>
  <si>
    <t xml:space="preserve">90125               </t>
  </si>
  <si>
    <t xml:space="preserve">DOUBLE ROCKERS 50611 TPM      </t>
  </si>
  <si>
    <t xml:space="preserve">90126               </t>
  </si>
  <si>
    <t xml:space="preserve">TRIPLE ROCKERS  BLACK 50661   </t>
  </si>
  <si>
    <t xml:space="preserve">90127               </t>
  </si>
  <si>
    <t xml:space="preserve">COVER PLATE FOR DIMMER 50721  </t>
  </si>
  <si>
    <t xml:space="preserve">90128               </t>
  </si>
  <si>
    <t xml:space="preserve">COVER PLATE FOR EARTH 50631   </t>
  </si>
  <si>
    <t xml:space="preserve">90129               </t>
  </si>
  <si>
    <t xml:space="preserve">SAFETY COVER PLATE USA 50843  </t>
  </si>
  <si>
    <t xml:space="preserve">90130               </t>
  </si>
  <si>
    <t xml:space="preserve">BLIND COVER PLATE 50677 TPM   </t>
  </si>
  <si>
    <t xml:space="preserve">90131               </t>
  </si>
  <si>
    <t>ELECTRONIC DIMMER/ 2 WAY 50212</t>
  </si>
  <si>
    <t xml:space="preserve">9070                </t>
  </si>
  <si>
    <t xml:space="preserve">LUMEC PH9                     </t>
  </si>
  <si>
    <t xml:space="preserve">9071                </t>
  </si>
  <si>
    <t>PHILIPS TOWNGUIDE 102GRN15-830</t>
  </si>
  <si>
    <t xml:space="preserve">9072                </t>
  </si>
  <si>
    <t xml:space="preserve">PHILIPS SON 70W E27 I         </t>
  </si>
  <si>
    <t xml:space="preserve">9073                </t>
  </si>
  <si>
    <t xml:space="preserve">PHILIPS SON PIA PLUS 100W E40 </t>
  </si>
  <si>
    <t xml:space="preserve">9074                </t>
  </si>
  <si>
    <t xml:space="preserve">PHILIPS HPLN 125W E27         </t>
  </si>
  <si>
    <t xml:space="preserve">9075                </t>
  </si>
  <si>
    <t xml:space="preserve">MODUS LV  led 3000lm/740      </t>
  </si>
  <si>
    <t xml:space="preserve">9077                </t>
  </si>
  <si>
    <t xml:space="preserve">MODUS LVN 1x55W 230V 50Hz     </t>
  </si>
  <si>
    <t xml:space="preserve">9078                </t>
  </si>
  <si>
    <t xml:space="preserve">MODUS LVN 1x36W 230V 50Hz     </t>
  </si>
  <si>
    <t xml:space="preserve">9079                </t>
  </si>
  <si>
    <t xml:space="preserve">PLL36W840 PL LAMP 2G11        </t>
  </si>
  <si>
    <t xml:space="preserve">9080                </t>
  </si>
  <si>
    <t xml:space="preserve">PLL55W840 PL LAMP 2G11        </t>
  </si>
  <si>
    <t xml:space="preserve">9081                </t>
  </si>
  <si>
    <t xml:space="preserve">NATRIUMLAMP SOX 90WATT BY22 D </t>
  </si>
  <si>
    <t xml:space="preserve">9082                </t>
  </si>
  <si>
    <t xml:space="preserve">GE LU 250/D/40                </t>
  </si>
  <si>
    <t xml:space="preserve">9084                </t>
  </si>
  <si>
    <t xml:space="preserve">KLEINHUIS 2652/4 KLEMBLOK     </t>
  </si>
  <si>
    <t xml:space="preserve">9085                </t>
  </si>
  <si>
    <t xml:space="preserve">Pole Distrib Transf 25KV 1PH  </t>
  </si>
  <si>
    <t xml:space="preserve">9087                </t>
  </si>
  <si>
    <t xml:space="preserve">CAUTION TAPE 94 MTR           </t>
  </si>
  <si>
    <t xml:space="preserve">9088                </t>
  </si>
  <si>
    <t xml:space="preserve">GE ERS1023D17502GRAY          </t>
  </si>
  <si>
    <t xml:space="preserve">9089                </t>
  </si>
  <si>
    <t xml:space="preserve">GE ERS1023B15404GRAY          </t>
  </si>
  <si>
    <t xml:space="preserve">9090                </t>
  </si>
  <si>
    <t xml:space="preserve">GE ERL1008A150AGRAYR          </t>
  </si>
  <si>
    <t xml:space="preserve">9100                </t>
  </si>
  <si>
    <t xml:space="preserve">OPBOUW KAST 120 MODULE        </t>
  </si>
  <si>
    <t xml:space="preserve">9101                </t>
  </si>
  <si>
    <t xml:space="preserve">Verdeelkast  UCH 0 (6groep)   </t>
  </si>
  <si>
    <t xml:space="preserve">9102                </t>
  </si>
  <si>
    <t>Slotplaat dead036art.833554012</t>
  </si>
  <si>
    <t xml:space="preserve">9103                </t>
  </si>
  <si>
    <t>SPECIAL ORDER IDE STAANDE KAST</t>
  </si>
  <si>
    <t xml:space="preserve">9104                </t>
  </si>
  <si>
    <t xml:space="preserve">TCA1580 BLINDE PLAAT IDE      </t>
  </si>
  <si>
    <t xml:space="preserve">9105                </t>
  </si>
  <si>
    <t xml:space="preserve">TCA2080 BLINDE PLAAT          </t>
  </si>
  <si>
    <t xml:space="preserve">9200                </t>
  </si>
  <si>
    <t xml:space="preserve">DS11602 #16 2/C Shld 300V Com </t>
  </si>
  <si>
    <t xml:space="preserve">9201                </t>
  </si>
  <si>
    <t xml:space="preserve">HDPE 100 BUIS 20x2,0mm        </t>
  </si>
  <si>
    <t xml:space="preserve">9202                </t>
  </si>
  <si>
    <t>WATERMETERBEUGEL3/4x1/2 346011</t>
  </si>
  <si>
    <t xml:space="preserve">9203                </t>
  </si>
  <si>
    <t xml:space="preserve">ONSTEKER SND 57 220-240 50HZ  </t>
  </si>
  <si>
    <t xml:space="preserve">9204                </t>
  </si>
  <si>
    <t>PICKENS HDMI CABLE DMM248-0300</t>
  </si>
  <si>
    <t xml:space="preserve">9205                </t>
  </si>
  <si>
    <t xml:space="preserve">PICKENS HDMI CABLE DMM271     </t>
  </si>
  <si>
    <t xml:space="preserve">9206                </t>
  </si>
  <si>
    <t xml:space="preserve">PICKENS HDMI CABLE DMC270     </t>
  </si>
  <si>
    <t xml:space="preserve">9207                </t>
  </si>
  <si>
    <t xml:space="preserve">VOORSCHAK APPA BSN150 K302    </t>
  </si>
  <si>
    <t xml:space="preserve">9208                </t>
  </si>
  <si>
    <t xml:space="preserve">VOORSCHAKAPPA BSN100 L33      </t>
  </si>
  <si>
    <t xml:space="preserve">9209                </t>
  </si>
  <si>
    <t xml:space="preserve">VOORSCHAKAPPA BHL400 K307     </t>
  </si>
  <si>
    <t xml:space="preserve">9210                </t>
  </si>
  <si>
    <t xml:space="preserve">VOORSCHAKAPPA BSN250K407 ITS  </t>
  </si>
  <si>
    <t xml:space="preserve">9211                </t>
  </si>
  <si>
    <t xml:space="preserve">VOORSCH VSA HF P 155 PL L III </t>
  </si>
  <si>
    <t xml:space="preserve">9212                </t>
  </si>
  <si>
    <t xml:space="preserve">VOORSCHAK APPARAAT BHL400L40  </t>
  </si>
  <si>
    <t xml:space="preserve">9213                </t>
  </si>
  <si>
    <t xml:space="preserve">VOORSCH APPAR SON BSN 70 K302 </t>
  </si>
  <si>
    <t xml:space="preserve">9302                </t>
  </si>
  <si>
    <t xml:space="preserve">Kabelbaan KBS60.100.100       </t>
  </si>
  <si>
    <t xml:space="preserve">9304                </t>
  </si>
  <si>
    <t xml:space="preserve">Kabelbaan KBS60.200.100       </t>
  </si>
  <si>
    <t xml:space="preserve">9311                </t>
  </si>
  <si>
    <t xml:space="preserve"> CCLI 200                     </t>
  </si>
  <si>
    <t xml:space="preserve">9315                </t>
  </si>
  <si>
    <t xml:space="preserve">STRAIN CLAMP # 805002000      </t>
  </si>
  <si>
    <t xml:space="preserve">9401                </t>
  </si>
  <si>
    <t xml:space="preserve">CU GRIPCLAMPS 25-35MM         </t>
  </si>
  <si>
    <t xml:space="preserve">9402                </t>
  </si>
  <si>
    <t xml:space="preserve">CU GRIPCLAMPS 50-70MM         </t>
  </si>
  <si>
    <t xml:space="preserve">9410                </t>
  </si>
  <si>
    <t xml:space="preserve">REMA CU AFTAKKLEM 2.5-16MM    </t>
  </si>
  <si>
    <t xml:space="preserve">9411                </t>
  </si>
  <si>
    <t xml:space="preserve">REMA CU AFTAKKLEM 2.5-25MM    </t>
  </si>
  <si>
    <t xml:space="preserve">9412                </t>
  </si>
  <si>
    <t xml:space="preserve">REMA CU AFTAKKLEM 6-50MM      </t>
  </si>
  <si>
    <t xml:space="preserve">9413                </t>
  </si>
  <si>
    <t xml:space="preserve">REMA CU AFTAKKLEM 10 - 95MM   </t>
  </si>
  <si>
    <t xml:space="preserve">9414                </t>
  </si>
  <si>
    <t xml:space="preserve">CU TAP OF CLAMPS 16-150MM     </t>
  </si>
  <si>
    <t xml:space="preserve">9416                </t>
  </si>
  <si>
    <t>REMA AFTAKKL 25-150AL/10-95 CU</t>
  </si>
  <si>
    <t xml:space="preserve">9500                </t>
  </si>
  <si>
    <t>1862812KRACHTGROEPENKAST 442-B</t>
  </si>
  <si>
    <t xml:space="preserve">9501                </t>
  </si>
  <si>
    <t>1862816KRACHTGROEPENKAST 443-B</t>
  </si>
  <si>
    <t xml:space="preserve">9502                </t>
  </si>
  <si>
    <t>1862820KRACHTGROEPENKAST 444-B</t>
  </si>
  <si>
    <t xml:space="preserve">9503                </t>
  </si>
  <si>
    <t>1862802VEILKAST3X160A VKH160-1</t>
  </si>
  <si>
    <t xml:space="preserve">9504                </t>
  </si>
  <si>
    <t xml:space="preserve">VEILKAST 3X160A VKH 160/1D    </t>
  </si>
  <si>
    <t xml:space="preserve">9505                </t>
  </si>
  <si>
    <t xml:space="preserve">VEILKAST 3X250A VKH 250/1H    </t>
  </si>
  <si>
    <t xml:space="preserve">9506                </t>
  </si>
  <si>
    <t xml:space="preserve">VEILKAST 3X400A VKH 400/1     </t>
  </si>
  <si>
    <t xml:space="preserve">9515                </t>
  </si>
  <si>
    <t>1959521AANSLUITKAST HA5520 S24</t>
  </si>
  <si>
    <t xml:space="preserve">9516                </t>
  </si>
  <si>
    <t>1959595AANSLUITKASTHA5530-1S34</t>
  </si>
  <si>
    <t xml:space="preserve">9600                </t>
  </si>
  <si>
    <t xml:space="preserve">1860722 TUSSEN-STUK U 430     </t>
  </si>
  <si>
    <t xml:space="preserve">9601                </t>
  </si>
  <si>
    <t xml:space="preserve">1860718 EINDDEKSEL U402 OPEN2 </t>
  </si>
  <si>
    <t xml:space="preserve">9602                </t>
  </si>
  <si>
    <t xml:space="preserve">1860719 EINDDEKSEL U403 OPEN3 </t>
  </si>
  <si>
    <t xml:space="preserve">9603                </t>
  </si>
  <si>
    <t xml:space="preserve">1860720 EINDDEKSEL U404 OPEN4 </t>
  </si>
  <si>
    <t xml:space="preserve">9604                </t>
  </si>
  <si>
    <t>1027004 RUBBRNG TBV HIH/H ZK10</t>
  </si>
  <si>
    <t xml:space="preserve">9605                </t>
  </si>
  <si>
    <t xml:space="preserve">1013401 RAILKOPST 1013.401 SE </t>
  </si>
  <si>
    <t xml:space="preserve">9606                </t>
  </si>
  <si>
    <t xml:space="preserve">1965917 KABLINVIK HIL1        </t>
  </si>
  <si>
    <t xml:space="preserve">9607                </t>
  </si>
  <si>
    <t xml:space="preserve">1965915 KABLINVIK HIH1        </t>
  </si>
  <si>
    <t xml:space="preserve">9608                </t>
  </si>
  <si>
    <t xml:space="preserve">1365908 KABLINVIK HJ5908      </t>
  </si>
  <si>
    <t xml:space="preserve">9700                </t>
  </si>
  <si>
    <t xml:space="preserve">REST YMVK 3G2.5MM             </t>
  </si>
  <si>
    <t xml:space="preserve">9701                </t>
  </si>
  <si>
    <t xml:space="preserve">REST YMVK 4G2.5MM             </t>
  </si>
  <si>
    <t xml:space="preserve">9702                </t>
  </si>
  <si>
    <t xml:space="preserve">REST YMVK 5G2.5MM             </t>
  </si>
  <si>
    <t xml:space="preserve">9703                </t>
  </si>
  <si>
    <t xml:space="preserve">REST YMVK 3G4MM               </t>
  </si>
  <si>
    <t xml:space="preserve">9704                </t>
  </si>
  <si>
    <t xml:space="preserve">REST YMVK 5G4MM               </t>
  </si>
  <si>
    <t xml:space="preserve">9705                </t>
  </si>
  <si>
    <t xml:space="preserve">REST YMVK 4X6MM               </t>
  </si>
  <si>
    <t xml:space="preserve">9706                </t>
  </si>
  <si>
    <t xml:space="preserve">REST YMVK 5G6MM               </t>
  </si>
  <si>
    <t xml:space="preserve">9707                </t>
  </si>
  <si>
    <t xml:space="preserve">REST YMVK 4X10MM              </t>
  </si>
  <si>
    <t xml:space="preserve">9708                </t>
  </si>
  <si>
    <t xml:space="preserve">REST YMVK 5G10MM              </t>
  </si>
  <si>
    <t xml:space="preserve">9709                </t>
  </si>
  <si>
    <t xml:space="preserve">REST YMVK 4X16MM              </t>
  </si>
  <si>
    <t xml:space="preserve">9710                </t>
  </si>
  <si>
    <t xml:space="preserve">REST YMVK 5G16MM              </t>
  </si>
  <si>
    <t xml:space="preserve">9711                </t>
  </si>
  <si>
    <t xml:space="preserve">REST YMVK 5G25MM              </t>
  </si>
  <si>
    <t xml:space="preserve">9712                </t>
  </si>
  <si>
    <t xml:space="preserve">REST YMVK 4X35MM              </t>
  </si>
  <si>
    <t xml:space="preserve">9713                </t>
  </si>
  <si>
    <t xml:space="preserve">REST YMVK 4X50MM              </t>
  </si>
  <si>
    <t xml:space="preserve">9714                </t>
  </si>
  <si>
    <t xml:space="preserve">REST YMVK 4X95MM              </t>
  </si>
  <si>
    <t xml:space="preserve">9715                </t>
  </si>
  <si>
    <t xml:space="preserve">REST YMVK 1X95MM              </t>
  </si>
  <si>
    <t xml:space="preserve">9716                </t>
  </si>
  <si>
    <t xml:space="preserve">REST YMVK 1X120MM             </t>
  </si>
  <si>
    <t xml:space="preserve">9717                </t>
  </si>
  <si>
    <t xml:space="preserve">REST YMVKAS 4X4MM             </t>
  </si>
  <si>
    <t xml:space="preserve">9718                </t>
  </si>
  <si>
    <t xml:space="preserve">REST YMVKAS 4X6MM             </t>
  </si>
  <si>
    <t xml:space="preserve">9719                </t>
  </si>
  <si>
    <t xml:space="preserve">REST YMVKAS 4X10MM            </t>
  </si>
  <si>
    <t xml:space="preserve">9720                </t>
  </si>
  <si>
    <t xml:space="preserve">REST YMVKAS 4X16MM            </t>
  </si>
  <si>
    <t xml:space="preserve">9721                </t>
  </si>
  <si>
    <t xml:space="preserve">REST YMVKAS 4X25MM            </t>
  </si>
  <si>
    <t xml:space="preserve">9722                </t>
  </si>
  <si>
    <t xml:space="preserve">REST YMVKAS 4X35MM            </t>
  </si>
  <si>
    <t xml:space="preserve">9723                </t>
  </si>
  <si>
    <t xml:space="preserve">REST YMVKAS 4X50MM            </t>
  </si>
  <si>
    <t xml:space="preserve">9724                </t>
  </si>
  <si>
    <t xml:space="preserve">REST YMVKAS 4X70MM            </t>
  </si>
  <si>
    <t xml:space="preserve">9725                </t>
  </si>
  <si>
    <t xml:space="preserve">REST YMVKAS 4X95MM            </t>
  </si>
  <si>
    <t xml:space="preserve">Number      </t>
  </si>
  <si>
    <t>Magazijn</t>
  </si>
  <si>
    <t>Winkel</t>
  </si>
  <si>
    <t>Total</t>
  </si>
  <si>
    <t>Código</t>
  </si>
  <si>
    <t>Referencia</t>
  </si>
  <si>
    <t>Cajas</t>
  </si>
  <si>
    <t>Sueltos</t>
  </si>
  <si>
    <t>0490</t>
  </si>
  <si>
    <t>6+1</t>
  </si>
  <si>
    <t>C-3</t>
  </si>
  <si>
    <t>C-5</t>
  </si>
  <si>
    <r>
      <t xml:space="preserve">BERKER DUBB SCHUKO </t>
    </r>
    <r>
      <rPr>
        <u/>
        <sz val="11"/>
        <color theme="1"/>
        <rFont val="Calibri"/>
        <family val="2"/>
      </rPr>
      <t>IP44 427505</t>
    </r>
  </si>
  <si>
    <r>
      <t xml:space="preserve">BERKER AFDEKPL SERIE </t>
    </r>
    <r>
      <rPr>
        <u/>
        <sz val="11"/>
        <color theme="1"/>
        <rFont val="Calibri"/>
        <family val="2"/>
      </rPr>
      <t xml:space="preserve">16238989 </t>
    </r>
  </si>
  <si>
    <r>
      <t xml:space="preserve">BERKER AFDPL SCHAK2xW </t>
    </r>
    <r>
      <rPr>
        <u/>
        <sz val="11"/>
        <color theme="1"/>
        <rFont val="Calibri"/>
        <family val="2"/>
      </rPr>
      <t>16238989</t>
    </r>
  </si>
  <si>
    <t>Cajas 0x0</t>
  </si>
  <si>
    <t>Fecha</t>
  </si>
  <si>
    <t>Deposito Nro 2</t>
  </si>
  <si>
    <t>Unidades</t>
  </si>
  <si>
    <t>4x200</t>
  </si>
  <si>
    <t>1x100</t>
  </si>
  <si>
    <t>29-01-26</t>
  </si>
  <si>
    <t>28-01-26</t>
  </si>
  <si>
    <t>28-01-27</t>
  </si>
  <si>
    <t>28-01-28</t>
  </si>
  <si>
    <t>28-01-29</t>
  </si>
  <si>
    <t>28-01-30</t>
  </si>
  <si>
    <t>B-1</t>
  </si>
  <si>
    <t>27-01-26</t>
  </si>
  <si>
    <t>1x9</t>
  </si>
  <si>
    <t>Cajas import</t>
  </si>
  <si>
    <t>Observaciones</t>
  </si>
  <si>
    <t>C-1</t>
  </si>
  <si>
    <t>verificar codigo</t>
  </si>
  <si>
    <t>verificar no coincide nombre</t>
  </si>
  <si>
    <t>15?</t>
  </si>
  <si>
    <t>4x2</t>
  </si>
  <si>
    <t>10x3</t>
  </si>
  <si>
    <t>13x3</t>
  </si>
  <si>
    <t>2x3</t>
  </si>
  <si>
    <t>5x3</t>
  </si>
  <si>
    <t>13x6</t>
  </si>
  <si>
    <t>5x4</t>
  </si>
  <si>
    <t>12x4</t>
  </si>
  <si>
    <t>1x4</t>
  </si>
  <si>
    <t>7x4</t>
  </si>
  <si>
    <t>B-2</t>
  </si>
  <si>
    <t>300+72</t>
  </si>
  <si>
    <t>7x6</t>
  </si>
  <si>
    <t>DCCLA 11</t>
  </si>
  <si>
    <t>UBICACIÓN?</t>
  </si>
  <si>
    <t>9+1</t>
  </si>
  <si>
    <t xml:space="preserve">Deposito Nro </t>
  </si>
  <si>
    <t>B-3</t>
  </si>
  <si>
    <t>Deposito Nro 1</t>
  </si>
  <si>
    <t>B-6</t>
  </si>
  <si>
    <t>23-01-26</t>
  </si>
  <si>
    <t>Prima Led Tube 1x60 20507</t>
  </si>
  <si>
    <t>Prima Led Tube 2x60 20507</t>
  </si>
  <si>
    <t>no conto</t>
  </si>
  <si>
    <t>Cinta N 20</t>
  </si>
  <si>
    <t>falta codigo</t>
  </si>
  <si>
    <t>66+24</t>
  </si>
  <si>
    <t>B2</t>
  </si>
  <si>
    <t>Sueltos Unidades</t>
  </si>
  <si>
    <t>Sueltos cajas</t>
  </si>
  <si>
    <t>0102</t>
  </si>
  <si>
    <t>Fluorescent Fitting</t>
  </si>
  <si>
    <t>29+14</t>
  </si>
  <si>
    <t xml:space="preserve">se conto </t>
  </si>
  <si>
    <t>junto</t>
  </si>
  <si>
    <t>B3</t>
  </si>
  <si>
    <t>B1</t>
  </si>
  <si>
    <t>26-01-26</t>
  </si>
  <si>
    <t>ubicación?</t>
  </si>
  <si>
    <t>Rema 212.430 Bi-metallic tap-off clamp</t>
  </si>
  <si>
    <t>no</t>
  </si>
  <si>
    <t>coincide</t>
  </si>
  <si>
    <t>descripcion</t>
  </si>
  <si>
    <t>con anotado</t>
  </si>
  <si>
    <t>C2</t>
  </si>
  <si>
    <t>8X100</t>
  </si>
  <si>
    <t>2X100</t>
  </si>
  <si>
    <t>Ubucacion ?</t>
  </si>
  <si>
    <t>A-1</t>
  </si>
  <si>
    <t>A-2</t>
  </si>
  <si>
    <t>A-3</t>
  </si>
  <si>
    <t>A-4</t>
  </si>
  <si>
    <t>A-5</t>
  </si>
  <si>
    <t>A-6</t>
  </si>
  <si>
    <t>0103</t>
  </si>
  <si>
    <t>0101</t>
  </si>
  <si>
    <t>01??</t>
  </si>
  <si>
    <t>CODIGO?</t>
  </si>
  <si>
    <t>Amarillas</t>
  </si>
  <si>
    <t>3x4</t>
  </si>
  <si>
    <t>C1</t>
  </si>
  <si>
    <t>C3</t>
  </si>
  <si>
    <t xml:space="preserve">FML-005 E27 70W </t>
  </si>
  <si>
    <t>CELLPACK NRO 145825</t>
  </si>
  <si>
    <t>Producto sin codigo por antiguo, este codigo mas nuevo aprox.</t>
  </si>
  <si>
    <t>Foto</t>
  </si>
  <si>
    <t>Cajas de sueltos</t>
  </si>
  <si>
    <t>D-1</t>
  </si>
  <si>
    <t>D-2</t>
  </si>
  <si>
    <t>D-3</t>
  </si>
  <si>
    <t>D-4</t>
  </si>
  <si>
    <t>D-5</t>
  </si>
  <si>
    <t>D-6</t>
  </si>
  <si>
    <t>1 CAJA DE SUELTOS DAÑADOS</t>
  </si>
  <si>
    <t>1CAJA DE SUELTOS DAÑADOS</t>
  </si>
  <si>
    <t>Caja de sueltos</t>
  </si>
  <si>
    <t>0511</t>
  </si>
  <si>
    <t>Muestra Indubox Solera</t>
  </si>
  <si>
    <t>3 cajas restante de proyecto</t>
  </si>
  <si>
    <t>1 cajetin restnate</t>
  </si>
  <si>
    <t xml:space="preserve">1 caja con cajetin faltan otras partes </t>
  </si>
  <si>
    <t>piso D-6</t>
  </si>
  <si>
    <t>8x5</t>
  </si>
  <si>
    <t>8x50</t>
  </si>
  <si>
    <t>2x50</t>
  </si>
  <si>
    <t>3x20</t>
  </si>
  <si>
    <t>1x20</t>
  </si>
  <si>
    <t>falto?</t>
  </si>
  <si>
    <t>1x50</t>
  </si>
  <si>
    <t>1x75</t>
  </si>
  <si>
    <t>7x50</t>
  </si>
  <si>
    <t>C-2</t>
  </si>
  <si>
    <t>C-4</t>
  </si>
  <si>
    <t>C-6</t>
  </si>
  <si>
    <t>Deposito Nro 3</t>
  </si>
  <si>
    <t>A1</t>
  </si>
  <si>
    <t>29-01-2026</t>
  </si>
  <si>
    <t>1X20</t>
  </si>
  <si>
    <t>0494</t>
  </si>
  <si>
    <t>2X85</t>
  </si>
  <si>
    <t>A2</t>
  </si>
  <si>
    <t>8+4</t>
  </si>
  <si>
    <t>30-01-2026</t>
  </si>
  <si>
    <t>0408</t>
  </si>
  <si>
    <t>3X3000</t>
  </si>
  <si>
    <t>1X1000</t>
  </si>
  <si>
    <t>1X100</t>
  </si>
  <si>
    <t>Bolsa con tornillos</t>
  </si>
  <si>
    <t>44x200</t>
  </si>
  <si>
    <t>41x100</t>
  </si>
  <si>
    <t>0391</t>
  </si>
  <si>
    <t>0390</t>
  </si>
  <si>
    <t>12x10</t>
  </si>
  <si>
    <t>13x10</t>
  </si>
  <si>
    <t>19x500</t>
  </si>
  <si>
    <t>mirar despues</t>
  </si>
  <si>
    <t>3x10</t>
  </si>
  <si>
    <t>4x10</t>
  </si>
  <si>
    <t>3x3</t>
  </si>
  <si>
    <t>D1</t>
  </si>
  <si>
    <t>0489</t>
  </si>
  <si>
    <t>2x45</t>
  </si>
  <si>
    <t>0492</t>
  </si>
  <si>
    <t>1x14</t>
  </si>
  <si>
    <t>12+2</t>
  </si>
  <si>
    <t>0487</t>
  </si>
  <si>
    <t>2x51</t>
  </si>
  <si>
    <t>D2</t>
  </si>
  <si>
    <t>0311</t>
  </si>
  <si>
    <t>6x800</t>
  </si>
  <si>
    <t>60x25</t>
  </si>
  <si>
    <t>17x25</t>
  </si>
  <si>
    <t>40x25</t>
  </si>
  <si>
    <t>16x25</t>
  </si>
  <si>
    <t>4x50 2x25</t>
  </si>
  <si>
    <t>3x50</t>
  </si>
  <si>
    <t>6x50</t>
  </si>
  <si>
    <t>4x100</t>
  </si>
  <si>
    <t>1x12</t>
  </si>
  <si>
    <t>1x10</t>
  </si>
  <si>
    <t>D3</t>
  </si>
  <si>
    <t>3 cajas de 20 entonces 60?</t>
  </si>
  <si>
    <t>2 cajas de 20 entonces 40?</t>
  </si>
  <si>
    <t>60x4</t>
  </si>
  <si>
    <t>17x4</t>
  </si>
  <si>
    <t>51x2</t>
  </si>
  <si>
    <t>10x2</t>
  </si>
  <si>
    <t>1x2</t>
  </si>
  <si>
    <t>36x2</t>
  </si>
  <si>
    <t>6x10</t>
  </si>
  <si>
    <t>D4</t>
  </si>
  <si>
    <t>9x25</t>
  </si>
  <si>
    <t>16x45</t>
  </si>
  <si>
    <t>sueltos unidades?</t>
  </si>
  <si>
    <t>12x1000</t>
  </si>
  <si>
    <t>8x1000</t>
  </si>
  <si>
    <t>25x96</t>
  </si>
  <si>
    <t>3x100</t>
  </si>
  <si>
    <t>90+2</t>
  </si>
  <si>
    <t>11x100</t>
  </si>
  <si>
    <t>3x60</t>
  </si>
  <si>
    <t>13x4</t>
  </si>
  <si>
    <t>D5</t>
  </si>
  <si>
    <t>2x1</t>
  </si>
  <si>
    <t>0518</t>
  </si>
  <si>
    <t>8x1</t>
  </si>
  <si>
    <t>D6</t>
  </si>
  <si>
    <t>10x1</t>
  </si>
  <si>
    <t>D7</t>
  </si>
  <si>
    <t>0345</t>
  </si>
  <si>
    <t>0353</t>
  </si>
  <si>
    <t>27x500</t>
  </si>
  <si>
    <t>21x150</t>
  </si>
  <si>
    <t>0346</t>
  </si>
  <si>
    <t>0355</t>
  </si>
  <si>
    <t>0342</t>
  </si>
  <si>
    <t>0340</t>
  </si>
  <si>
    <t>28x50</t>
  </si>
  <si>
    <t>22x250</t>
  </si>
  <si>
    <t>46x500</t>
  </si>
  <si>
    <t>25+9</t>
  </si>
  <si>
    <t>4x5</t>
  </si>
  <si>
    <t>mensaje cja sin nada</t>
  </si>
  <si>
    <t>0317</t>
  </si>
  <si>
    <t>12x800</t>
  </si>
  <si>
    <t>4x25</t>
  </si>
  <si>
    <t>0815</t>
  </si>
  <si>
    <t>chequear codigo</t>
  </si>
  <si>
    <t>2x30</t>
  </si>
  <si>
    <t>1x170 1x200</t>
  </si>
  <si>
    <t>32x25</t>
  </si>
  <si>
    <t>D8</t>
  </si>
  <si>
    <t>0349</t>
  </si>
  <si>
    <t>0526</t>
  </si>
  <si>
    <t>Pediente por pesar</t>
  </si>
  <si>
    <t>7x75</t>
  </si>
  <si>
    <t>1x25</t>
  </si>
  <si>
    <t>1x22</t>
  </si>
  <si>
    <t>3x500</t>
  </si>
  <si>
    <t>4x500</t>
  </si>
  <si>
    <t>4x50</t>
  </si>
  <si>
    <t>0314</t>
  </si>
  <si>
    <t>4x800</t>
  </si>
  <si>
    <t>D9</t>
  </si>
  <si>
    <t>0318</t>
  </si>
  <si>
    <t>0319</t>
  </si>
  <si>
    <t>9x10</t>
  </si>
  <si>
    <t>28x25</t>
  </si>
  <si>
    <t>D10</t>
  </si>
  <si>
    <t>0532</t>
  </si>
  <si>
    <t>2x200</t>
  </si>
  <si>
    <t>7x100</t>
  </si>
  <si>
    <t>0531</t>
  </si>
  <si>
    <t>0316</t>
  </si>
  <si>
    <t>0313</t>
  </si>
  <si>
    <t>0315</t>
  </si>
  <si>
    <t>0322</t>
  </si>
  <si>
    <t>6x32</t>
  </si>
  <si>
    <t>8x25</t>
  </si>
  <si>
    <t>16x6</t>
  </si>
  <si>
    <t>D11</t>
  </si>
  <si>
    <t>0528</t>
  </si>
  <si>
    <t>04945</t>
  </si>
  <si>
    <t>0527</t>
  </si>
  <si>
    <t>0305</t>
  </si>
  <si>
    <t>0320</t>
  </si>
  <si>
    <t>5x50</t>
  </si>
  <si>
    <t>48x150</t>
  </si>
  <si>
    <t>10x10</t>
  </si>
  <si>
    <t>D12</t>
  </si>
  <si>
    <t>0324</t>
  </si>
  <si>
    <t>0325</t>
  </si>
  <si>
    <t>0326</t>
  </si>
  <si>
    <t>0323</t>
  </si>
  <si>
    <t>6x25</t>
  </si>
  <si>
    <t>3x125</t>
  </si>
  <si>
    <t>3x150</t>
  </si>
  <si>
    <t>8x75</t>
  </si>
  <si>
    <t>0321</t>
  </si>
  <si>
    <t>04891</t>
  </si>
  <si>
    <t>3124</t>
  </si>
  <si>
    <t>04943</t>
  </si>
  <si>
    <t>16x100</t>
  </si>
  <si>
    <t>6x4</t>
  </si>
  <si>
    <t>Viejo y feo</t>
  </si>
  <si>
    <t>0560</t>
  </si>
  <si>
    <t>0550</t>
  </si>
  <si>
    <t>Deposito Nro 4</t>
  </si>
  <si>
    <t>?</t>
  </si>
  <si>
    <t>7X1</t>
  </si>
  <si>
    <t>94X50</t>
  </si>
  <si>
    <t>31X50</t>
  </si>
  <si>
    <t>A3</t>
  </si>
  <si>
    <t>5x6</t>
  </si>
  <si>
    <t>5x8</t>
  </si>
  <si>
    <t>2x5</t>
  </si>
  <si>
    <t>1x8</t>
  </si>
  <si>
    <t>3x6</t>
  </si>
  <si>
    <t>2x10</t>
  </si>
  <si>
    <t>1x5</t>
  </si>
  <si>
    <t>A4</t>
  </si>
  <si>
    <t>0554</t>
  </si>
  <si>
    <t>0565</t>
  </si>
  <si>
    <t>0547</t>
  </si>
  <si>
    <t>0548</t>
  </si>
  <si>
    <t>A5</t>
  </si>
  <si>
    <t>0549</t>
  </si>
  <si>
    <t>11x2</t>
  </si>
  <si>
    <t>9x2</t>
  </si>
  <si>
    <t>21x10</t>
  </si>
  <si>
    <t>42x5  y  9x10</t>
  </si>
  <si>
    <t>Complemento y tuerca</t>
  </si>
  <si>
    <t>13x50</t>
  </si>
  <si>
    <t>22x50</t>
  </si>
  <si>
    <t>42x20</t>
  </si>
  <si>
    <t>A6</t>
  </si>
  <si>
    <t>2x8</t>
  </si>
  <si>
    <t>4x6</t>
  </si>
  <si>
    <t>2x12</t>
  </si>
  <si>
    <t>9x5</t>
  </si>
  <si>
    <t>A7</t>
  </si>
  <si>
    <t>A8</t>
  </si>
  <si>
    <t>9x1</t>
  </si>
  <si>
    <t>2x6</t>
  </si>
  <si>
    <t>21x1</t>
  </si>
  <si>
    <t>15x1</t>
  </si>
  <si>
    <t>12x1</t>
  </si>
  <si>
    <t>22x1</t>
  </si>
  <si>
    <t>4x1</t>
  </si>
  <si>
    <t>6x2 y 6x1</t>
  </si>
  <si>
    <t>2 Cjas diferentes</t>
  </si>
  <si>
    <t>0557</t>
  </si>
  <si>
    <t>0558</t>
  </si>
  <si>
    <t>0559</t>
  </si>
  <si>
    <t>A9</t>
  </si>
  <si>
    <t>63x10</t>
  </si>
  <si>
    <t>12x5</t>
  </si>
  <si>
    <t>24x5</t>
  </si>
  <si>
    <t>2x800</t>
  </si>
  <si>
    <t>A10</t>
  </si>
  <si>
    <t>3x5</t>
  </si>
  <si>
    <t>3x8</t>
  </si>
  <si>
    <t>4x8</t>
  </si>
  <si>
    <t>1x6</t>
  </si>
  <si>
    <t>A11</t>
  </si>
  <si>
    <t>A12</t>
  </si>
  <si>
    <t>5x5</t>
  </si>
  <si>
    <t>C9</t>
  </si>
  <si>
    <t>C5</t>
  </si>
  <si>
    <t>C12</t>
  </si>
  <si>
    <t>C8</t>
  </si>
  <si>
    <t>2X30</t>
  </si>
  <si>
    <t>5X1</t>
  </si>
  <si>
    <t>2X5</t>
  </si>
  <si>
    <t>0708</t>
  </si>
  <si>
    <t>0709</t>
  </si>
  <si>
    <t>0707</t>
  </si>
  <si>
    <t>3X60</t>
  </si>
  <si>
    <t>1x120</t>
  </si>
  <si>
    <t>1x500</t>
  </si>
  <si>
    <t>7x10</t>
  </si>
  <si>
    <t>23x2</t>
  </si>
  <si>
    <t>1x1</t>
  </si>
  <si>
    <t>5x1</t>
  </si>
  <si>
    <t>1x28</t>
  </si>
  <si>
    <t>2x2</t>
  </si>
  <si>
    <t>Las cantidades se doblan</t>
  </si>
  <si>
    <t>C4</t>
  </si>
  <si>
    <t>10+1</t>
  </si>
  <si>
    <t>5 tapas</t>
  </si>
  <si>
    <t>falta</t>
  </si>
  <si>
    <t>sin codigo</t>
  </si>
  <si>
    <t>No tiene codigo</t>
  </si>
  <si>
    <t>6x2</t>
  </si>
  <si>
    <t>11+1</t>
  </si>
  <si>
    <t>C10</t>
  </si>
  <si>
    <t>B10</t>
  </si>
  <si>
    <t>no esta completo</t>
  </si>
  <si>
    <t>0421</t>
  </si>
  <si>
    <t>0476</t>
  </si>
  <si>
    <t>0419</t>
  </si>
  <si>
    <t>0447</t>
  </si>
  <si>
    <t>2  -  60  /  10</t>
  </si>
  <si>
    <t>B11</t>
  </si>
  <si>
    <t>tapas y conjuntos</t>
  </si>
  <si>
    <t>conjuntos</t>
  </si>
  <si>
    <t>26+1</t>
  </si>
  <si>
    <t>B12</t>
  </si>
  <si>
    <t>40x50</t>
  </si>
  <si>
    <t>18x10 +2x300</t>
  </si>
  <si>
    <t>1x200</t>
  </si>
  <si>
    <t>B6</t>
  </si>
  <si>
    <t>0446</t>
  </si>
  <si>
    <t>0452</t>
  </si>
  <si>
    <t>0445</t>
  </si>
  <si>
    <t>0444</t>
  </si>
  <si>
    <t>0416</t>
  </si>
  <si>
    <t>0451</t>
  </si>
  <si>
    <t>0443</t>
  </si>
  <si>
    <t>0442</t>
  </si>
  <si>
    <t>3x80</t>
  </si>
  <si>
    <t>4x80</t>
  </si>
  <si>
    <t>240x20</t>
  </si>
  <si>
    <t>5x20</t>
  </si>
  <si>
    <t>no se entiende lo que copiaste</t>
  </si>
  <si>
    <t>2x160x2</t>
  </si>
  <si>
    <t>4x160</t>
  </si>
  <si>
    <t>1x180</t>
  </si>
  <si>
    <t>1x200 / 50</t>
  </si>
  <si>
    <t>3x200</t>
  </si>
  <si>
    <t>28-01-2026</t>
  </si>
  <si>
    <t>10x6 y 2x6</t>
  </si>
  <si>
    <t>40x3 y 6x3</t>
  </si>
  <si>
    <t>20x3 y 5x3</t>
  </si>
  <si>
    <t>7x3</t>
  </si>
  <si>
    <t>9x12</t>
  </si>
  <si>
    <t>6x12</t>
  </si>
  <si>
    <t>6x3</t>
  </si>
  <si>
    <t>1x3</t>
  </si>
  <si>
    <t>1x30</t>
  </si>
  <si>
    <t>cajas de 3 unidades</t>
  </si>
  <si>
    <t>JVM19-636 50A C</t>
  </si>
  <si>
    <t>2X12</t>
  </si>
  <si>
    <t>7X4</t>
  </si>
  <si>
    <t>10X4</t>
  </si>
  <si>
    <t>30X4</t>
  </si>
  <si>
    <t>VERIFICAR CANTIDADES</t>
  </si>
  <si>
    <t>5X4</t>
  </si>
  <si>
    <t>4X4</t>
  </si>
  <si>
    <t>6X4</t>
  </si>
  <si>
    <t>3X4</t>
  </si>
  <si>
    <t>B-4</t>
  </si>
  <si>
    <t>26-01-2026</t>
  </si>
  <si>
    <t>0288</t>
  </si>
  <si>
    <t>0291</t>
  </si>
  <si>
    <t>0289</t>
  </si>
  <si>
    <t>0292</t>
  </si>
  <si>
    <t>0278</t>
  </si>
  <si>
    <t>0290</t>
  </si>
  <si>
    <t>0293</t>
  </si>
  <si>
    <t>0285</t>
  </si>
  <si>
    <t>0284</t>
  </si>
  <si>
    <t>0201</t>
  </si>
  <si>
    <t>5+8</t>
  </si>
  <si>
    <t>3 CAJAS SIN ABRIR NUEVAS</t>
  </si>
  <si>
    <t>B-5</t>
  </si>
  <si>
    <t>23-01-2026</t>
  </si>
  <si>
    <t>B-8</t>
  </si>
  <si>
    <t xml:space="preserve">4 JABON ANTIBACTERIAL </t>
  </si>
  <si>
    <t>1 CAJA DE PAPEL DE BAÑO</t>
  </si>
  <si>
    <t>NO APARECE</t>
  </si>
  <si>
    <t>21212 TIENE  MISMO CODIGP 21217</t>
  </si>
  <si>
    <t>C7</t>
  </si>
  <si>
    <t>0577</t>
  </si>
  <si>
    <t>0575</t>
  </si>
  <si>
    <t>0576</t>
  </si>
  <si>
    <t>0569</t>
  </si>
  <si>
    <t>0570</t>
  </si>
  <si>
    <t>0571</t>
  </si>
  <si>
    <t>5000 STUCKS</t>
  </si>
  <si>
    <t>1650 STUCKS</t>
  </si>
  <si>
    <t>12000 STUCKS</t>
  </si>
  <si>
    <t>2400 STUCKS</t>
  </si>
  <si>
    <t>10500 STUCKS</t>
  </si>
  <si>
    <t>CAJA ROTA HAY OTRAS C10</t>
  </si>
  <si>
    <t>0631</t>
  </si>
  <si>
    <t>0630</t>
  </si>
  <si>
    <t>0628</t>
  </si>
  <si>
    <t>0627</t>
  </si>
  <si>
    <t>0625</t>
  </si>
  <si>
    <t>0624</t>
  </si>
  <si>
    <t xml:space="preserve">Cable azul 95m </t>
  </si>
  <si>
    <t>15x50</t>
  </si>
  <si>
    <t>55x50 + 12x50</t>
  </si>
  <si>
    <t>55 modelo viejo 12 modelo nuevo</t>
  </si>
  <si>
    <t>2x4 y 3x4</t>
  </si>
  <si>
    <t>16x50</t>
  </si>
  <si>
    <t>30x50</t>
  </si>
  <si>
    <t>Modelo nuevo</t>
  </si>
  <si>
    <t>30boxes 600frames 15000pcs</t>
  </si>
  <si>
    <t>24boxes 480frames 12000pcs</t>
  </si>
  <si>
    <t>16boxes 320frames 8000pcs</t>
  </si>
  <si>
    <t>12boxes 240frames 6000pcs</t>
  </si>
  <si>
    <t>0620</t>
  </si>
  <si>
    <t>0621</t>
  </si>
  <si>
    <t>0600</t>
  </si>
  <si>
    <t>0601</t>
  </si>
  <si>
    <t>0602</t>
  </si>
  <si>
    <t>0603</t>
  </si>
  <si>
    <t>0604</t>
  </si>
  <si>
    <t>0605</t>
  </si>
  <si>
    <t>0646</t>
  </si>
  <si>
    <t>0644</t>
  </si>
  <si>
    <t>0643</t>
  </si>
  <si>
    <t>0641</t>
  </si>
  <si>
    <t>0639</t>
  </si>
  <si>
    <t>0638</t>
  </si>
  <si>
    <t>0637</t>
  </si>
  <si>
    <t>0636</t>
  </si>
  <si>
    <t>0635</t>
  </si>
  <si>
    <t>8x20</t>
  </si>
  <si>
    <t>4x3</t>
  </si>
  <si>
    <t>12x3</t>
  </si>
  <si>
    <t>9x3</t>
  </si>
  <si>
    <t>14x3</t>
  </si>
  <si>
    <t>24x3</t>
  </si>
  <si>
    <t>22x3</t>
  </si>
  <si>
    <t>34x3</t>
  </si>
  <si>
    <t>17x3</t>
  </si>
  <si>
    <t>C6</t>
  </si>
  <si>
    <t>0703</t>
  </si>
  <si>
    <t>0702</t>
  </si>
  <si>
    <t>0517</t>
  </si>
  <si>
    <t>0513</t>
  </si>
  <si>
    <t>0505</t>
  </si>
  <si>
    <t>3x120</t>
  </si>
  <si>
    <t>0534</t>
  </si>
  <si>
    <t>0700</t>
  </si>
  <si>
    <t>0535</t>
  </si>
  <si>
    <t>9x50</t>
  </si>
  <si>
    <t>2x100</t>
  </si>
  <si>
    <t>NOTA APARTE  MISMO SERIAL MISMO NOMBRE</t>
  </si>
  <si>
    <t>5X25</t>
  </si>
  <si>
    <t>16X10</t>
  </si>
  <si>
    <t>7X25</t>
  </si>
  <si>
    <t>19X10</t>
  </si>
  <si>
    <t>0540</t>
  </si>
  <si>
    <t>0506</t>
  </si>
  <si>
    <t>0514</t>
  </si>
  <si>
    <t>0483</t>
  </si>
  <si>
    <t>0482</t>
  </si>
  <si>
    <t>0495</t>
  </si>
  <si>
    <t>05421</t>
  </si>
  <si>
    <t>6X100</t>
  </si>
  <si>
    <t>3X100</t>
  </si>
  <si>
    <t>10X50</t>
  </si>
  <si>
    <t>3X50</t>
  </si>
  <si>
    <t>0580</t>
  </si>
  <si>
    <t>0583</t>
  </si>
  <si>
    <t>0584</t>
  </si>
  <si>
    <t>0335</t>
  </si>
  <si>
    <t>0333</t>
  </si>
  <si>
    <t>0331</t>
  </si>
  <si>
    <t>0336</t>
  </si>
  <si>
    <t>0334</t>
  </si>
  <si>
    <t>0332</t>
  </si>
  <si>
    <t>37X10</t>
  </si>
  <si>
    <t>29X5</t>
  </si>
  <si>
    <t>18X5  Y  4X10</t>
  </si>
  <si>
    <t>11X100</t>
  </si>
  <si>
    <t>20X100</t>
  </si>
  <si>
    <t>5X100</t>
  </si>
  <si>
    <t>18X100</t>
  </si>
  <si>
    <t>26X100</t>
  </si>
  <si>
    <t>04944</t>
  </si>
  <si>
    <t>0715</t>
  </si>
  <si>
    <t>0486</t>
  </si>
  <si>
    <t>0615</t>
  </si>
  <si>
    <t>0610</t>
  </si>
  <si>
    <t>0614</t>
  </si>
  <si>
    <t>0613</t>
  </si>
  <si>
    <t>0612</t>
  </si>
  <si>
    <t>0611</t>
  </si>
  <si>
    <t>12X5</t>
  </si>
  <si>
    <t>9X8</t>
  </si>
  <si>
    <t>6X6</t>
  </si>
  <si>
    <t>29X10</t>
  </si>
  <si>
    <t>5X20</t>
  </si>
  <si>
    <t>1X24</t>
  </si>
  <si>
    <t>5X3</t>
  </si>
  <si>
    <t>17X3</t>
  </si>
  <si>
    <t>9X9</t>
  </si>
  <si>
    <t>35X3</t>
  </si>
  <si>
    <t>12X3</t>
  </si>
  <si>
    <t>CONFIRMAR CODIGO</t>
  </si>
  <si>
    <t>0533</t>
  </si>
  <si>
    <t>04946</t>
  </si>
  <si>
    <t>04942</t>
  </si>
  <si>
    <t>04941</t>
  </si>
  <si>
    <t>26X10</t>
  </si>
  <si>
    <t>40X100</t>
  </si>
  <si>
    <t>C11</t>
  </si>
  <si>
    <t>0500</t>
  </si>
  <si>
    <t>0530</t>
  </si>
  <si>
    <t>0542</t>
  </si>
  <si>
    <t>0525</t>
  </si>
  <si>
    <t>0706</t>
  </si>
  <si>
    <t>CABLE AZUL Y NEGRO FOTO PISO</t>
  </si>
  <si>
    <t>2X50</t>
  </si>
  <si>
    <t>8X50</t>
  </si>
  <si>
    <t>ROTO</t>
  </si>
  <si>
    <t>0481</t>
  </si>
  <si>
    <t>0480</t>
  </si>
  <si>
    <t>0484</t>
  </si>
  <si>
    <t>0485</t>
  </si>
  <si>
    <t>20X10</t>
  </si>
  <si>
    <t>10X10</t>
  </si>
  <si>
    <t>90X10</t>
  </si>
  <si>
    <t>50X10</t>
  </si>
  <si>
    <t>B5</t>
  </si>
  <si>
    <t>0502</t>
  </si>
  <si>
    <t>0501</t>
  </si>
  <si>
    <t>0510</t>
  </si>
  <si>
    <t>0504</t>
  </si>
  <si>
    <t>0509</t>
  </si>
  <si>
    <t>40X10</t>
  </si>
  <si>
    <t>15X20</t>
  </si>
  <si>
    <t>25X20</t>
  </si>
  <si>
    <t>6X20</t>
  </si>
  <si>
    <t>B9</t>
  </si>
  <si>
    <t>0521</t>
  </si>
  <si>
    <t>0520</t>
  </si>
  <si>
    <t>0524</t>
  </si>
  <si>
    <t>code_item</t>
  </si>
  <si>
    <t>description_item</t>
  </si>
  <si>
    <t>current_inventory</t>
  </si>
  <si>
    <t>)</t>
  </si>
  <si>
    <t>XLOOKUP(TRIM(CLEAN(TEXT(C4,"@"))),TRIM(CLEAN(Catalog!A:A)),Catalog!B:B)</t>
  </si>
  <si>
    <t>IFERROR(XLOOKUP(TEXT(C4,"0000"),TEXT(Catalog!A:A,"0000"),Catalog!B:B),"")</t>
  </si>
  <si>
    <t>counter_name</t>
  </si>
  <si>
    <t>count_date</t>
  </si>
  <si>
    <t>codeitem</t>
  </si>
  <si>
    <t>boxqty</t>
  </si>
  <si>
    <t>boxunitqty</t>
  </si>
  <si>
    <t>boxunittotal</t>
  </si>
  <si>
    <t>magazijn</t>
  </si>
  <si>
    <t>winkel</t>
  </si>
  <si>
    <t>total</t>
  </si>
  <si>
    <t>VICTORIA</t>
  </si>
  <si>
    <t>deposit_id</t>
  </si>
  <si>
    <t>rack_id</t>
  </si>
  <si>
    <t xml:space="preserve"> </t>
  </si>
  <si>
    <t>MALINA</t>
  </si>
  <si>
    <t>remarks</t>
  </si>
  <si>
    <t>VICTORIA D3</t>
  </si>
  <si>
    <t>VICTORIA D3 ***</t>
  </si>
  <si>
    <t>VICTORIA D1</t>
  </si>
  <si>
    <t>VICTORIA D2</t>
  </si>
  <si>
    <t>VICTORIA D1 ***</t>
  </si>
  <si>
    <t>VICTORIA D2 ***</t>
  </si>
  <si>
    <t>MALINA D1</t>
  </si>
  <si>
    <t>V</t>
  </si>
  <si>
    <t>MALINA D1 ***</t>
  </si>
  <si>
    <t>MALINA D1 Dup ***</t>
  </si>
  <si>
    <t>VICTORIA D1 CODIGO ??? ***</t>
  </si>
  <si>
    <t>REMA 212430 BI-METALLIC TOP-OFF\</t>
  </si>
  <si>
    <t>MALINA D1 Dup X? ***</t>
  </si>
  <si>
    <t>MALINA D1***</t>
  </si>
  <si>
    <t>MALINA D1 CODIGO ???***</t>
  </si>
  <si>
    <t>CELLPACK NR 145 825</t>
  </si>
  <si>
    <t>MALINA D2</t>
  </si>
  <si>
    <t>MALINA D2 ***</t>
  </si>
  <si>
    <t>MALINA D2 1 incompleto ***</t>
  </si>
  <si>
    <t>MALINA D2 CODIGO ???***</t>
  </si>
  <si>
    <t>MALINA D2 codigo ??? ***</t>
  </si>
  <si>
    <t>MALINA D3</t>
  </si>
  <si>
    <t>0493</t>
  </si>
  <si>
    <t>MALINA D3 Mirar despues ***</t>
  </si>
  <si>
    <t>MALINA D3 ***</t>
  </si>
  <si>
    <t>MALINA D3 sueltos ?</t>
  </si>
  <si>
    <t>MALINA D3 Mucha Dif ***</t>
  </si>
  <si>
    <t>MALINA D3 6 barras restante sobrando ***</t>
  </si>
  <si>
    <t>MALINA D3 mensaje cja sin nada ***</t>
  </si>
  <si>
    <t>MALINA D3 4 restante sobrando ***</t>
  </si>
  <si>
    <t>MALINA D3 Codigo no existe ***</t>
  </si>
  <si>
    <t>MALINA D3 Pendiente pesar ***</t>
  </si>
  <si>
    <t>MALINA D10</t>
  </si>
  <si>
    <t>MALINA D3 Viejo y Deteriorado ***</t>
  </si>
  <si>
    <t>0312</t>
  </si>
  <si>
    <t>MALINA D4</t>
  </si>
  <si>
    <t>MALINA D4 Verificar RACK ***</t>
  </si>
  <si>
    <t>MALINA D4 Verificar RACK y Existencia***</t>
  </si>
  <si>
    <t>MALINA D4 Complemento y tuerca ***</t>
  </si>
  <si>
    <t>MALINA D4 Cajas ***</t>
  </si>
  <si>
    <t>MALINA D4 No Completo ***</t>
  </si>
  <si>
    <t>MALINA D4 Cantidades se doblan ***</t>
  </si>
  <si>
    <t>MALINA D4 No tiene codigo ***</t>
  </si>
  <si>
    <t>MALINA D4 No Encontrado ***</t>
  </si>
  <si>
    <t>MALINA D4 Sin Codigo TAPA #29 ***</t>
  </si>
  <si>
    <t>MALINA D4 Verificar Existencia ***</t>
  </si>
  <si>
    <t>MALINA D4 VerificarExistencia 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</si>
</sst>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1"/>
      <color theme="1"/>
      <name val="Calibri"/>
      <family val="2"/>
    </font>
    <font>
      <sz val="8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u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4">
    <xf numFmtId="0" fontId="0" fillId="0" borderId="0" xfId="0"/>
    <xf numFmtId="0" fontId="2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1" applyFont="1"/>
    <xf numFmtId="0" fontId="3" fillId="0" borderId="0" xfId="0" applyFont="1"/>
    <xf numFmtId="0" fontId="2" fillId="0" borderId="0" xfId="1" applyFont="1" applyAlignment="1">
      <alignment horizontal="left" vertical="center"/>
    </xf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0" fontId="0" fillId="2" borderId="0" xfId="0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3" fillId="2" borderId="0" xfId="1" applyFont="1" applyFill="1"/>
    <xf numFmtId="0" fontId="5" fillId="0" borderId="1" xfId="0" applyFont="1" applyBorder="1" applyAlignment="1">
      <alignment horizontal="center"/>
    </xf>
    <xf numFmtId="0" fontId="3" fillId="0" borderId="0" xfId="1" applyFont="1" applyFill="1"/>
    <xf numFmtId="0" fontId="0" fillId="2" borderId="0" xfId="0" applyFill="1" applyAlignment="1">
      <alignment horizontal="right"/>
    </xf>
    <xf numFmtId="0" fontId="0" fillId="0" borderId="6" xfId="0" applyBorder="1"/>
    <xf numFmtId="0" fontId="0" fillId="0" borderId="10" xfId="0" applyBorder="1"/>
    <xf numFmtId="0" fontId="0" fillId="0" borderId="7" xfId="0" applyBorder="1"/>
    <xf numFmtId="0" fontId="3" fillId="0" borderId="0" xfId="1" applyFont="1" applyBorder="1"/>
    <xf numFmtId="0" fontId="4" fillId="0" borderId="1" xfId="0" applyFont="1" applyBorder="1" applyAlignment="1">
      <alignment horizontal="center" wrapText="1"/>
    </xf>
    <xf numFmtId="0" fontId="0" fillId="0" borderId="0" xfId="0" quotePrefix="1"/>
    <xf numFmtId="14" fontId="0" fillId="0" borderId="0" xfId="0" applyNumberFormat="1"/>
    <xf numFmtId="0" fontId="16" fillId="0" borderId="0" xfId="0" applyFont="1"/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49" fontId="0" fillId="0" borderId="0" xfId="0" quotePrefix="1" applyNumberFormat="1"/>
    <xf numFmtId="0" fontId="0" fillId="3" borderId="0" xfId="0" applyFill="1"/>
    <xf numFmtId="0" fontId="11" fillId="0" borderId="0" xfId="0" applyFont="1"/>
    <xf numFmtId="0" fontId="0" fillId="2" borderId="7" xfId="0" applyFill="1" applyBorder="1"/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right"/>
    </xf>
    <xf numFmtId="0" fontId="0" fillId="0" borderId="0" xfId="0" applyAlignment="1">
      <alignment horizontal="right"/>
    </xf>
    <xf numFmtId="0" fontId="10" fillId="0" borderId="5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quotePrefix="1" applyFill="1" applyAlignment="1">
      <alignment horizontal="right"/>
    </xf>
    <xf numFmtId="0" fontId="0" fillId="0" borderId="0" xfId="0" applyFill="1" applyBorder="1"/>
    <xf numFmtId="0" fontId="0" fillId="2" borderId="0" xfId="0" applyFill="1" applyBorder="1"/>
    <xf numFmtId="0" fontId="17" fillId="2" borderId="0" xfId="0" applyFont="1" applyFill="1"/>
    <xf numFmtId="0" fontId="18" fillId="2" borderId="0" xfId="1" applyFont="1" applyFill="1"/>
    <xf numFmtId="0" fontId="0" fillId="2" borderId="10" xfId="0" applyFill="1" applyBorder="1"/>
    <xf numFmtId="0" fontId="0" fillId="2" borderId="6" xfId="0" applyFill="1" applyBorder="1"/>
    <xf numFmtId="0" fontId="0" fillId="0" borderId="0" xfId="0" applyFill="1" applyBorder="1" applyAlignment="1">
      <alignment horizontal="right"/>
    </xf>
    <xf numFmtId="0" fontId="17" fillId="2" borderId="0" xfId="0" quotePrefix="1" applyFont="1" applyFill="1" applyAlignment="1">
      <alignment horizontal="right"/>
    </xf>
    <xf numFmtId="0" fontId="0" fillId="0" borderId="1" xfId="0" applyBorder="1"/>
    <xf numFmtId="0" fontId="0" fillId="0" borderId="1" xfId="0" quotePrefix="1" applyBorder="1" applyAlignment="1">
      <alignment horizontal="right"/>
    </xf>
    <xf numFmtId="0" fontId="3" fillId="0" borderId="1" xfId="1" applyFont="1" applyBorder="1"/>
    <xf numFmtId="14" fontId="0" fillId="0" borderId="0" xfId="0" applyNumberFormat="1" applyAlignment="1">
      <alignment horizontal="right"/>
    </xf>
    <xf numFmtId="14" fontId="0" fillId="2" borderId="0" xfId="0" applyNumberFormat="1" applyFill="1"/>
    <xf numFmtId="49" fontId="0" fillId="0" borderId="0" xfId="0" quotePrefix="1" applyNumberFormat="1" applyAlignment="1">
      <alignment horizontal="right"/>
    </xf>
    <xf numFmtId="14" fontId="17" fillId="2" borderId="0" xfId="0" applyNumberFormat="1" applyFont="1" applyFill="1"/>
  </cellXfs>
  <cellStyles count="2">
    <cellStyle name="Normal" xfId="0" builtinId="0"/>
    <cellStyle name="Normal 2" xfId="1" xr:uid="{0E00D77F-7586-40B8-BACD-C4F24005B8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7233C-1E08-47F9-ABBE-AE871A955A3C}">
  <sheetPr filterMode="1"/>
  <dimension ref="A1:I2218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5" x14ac:dyDescent="0.25"/>
  <cols>
    <col min="1" max="1" width="9" style="4"/>
    <col min="2" max="2" width="33.42578125" style="4" bestFit="1" customWidth="1"/>
    <col min="3" max="3" width="13.28515625" style="4" customWidth="1"/>
    <col min="4" max="4" width="13.42578125" style="4" customWidth="1"/>
    <col min="5" max="7" width="9" style="4"/>
    <col min="8" max="8" width="13.28515625" style="4" customWidth="1"/>
    <col min="9" max="9" width="37.85546875" style="4" customWidth="1"/>
    <col min="10" max="10" width="21" style="4" customWidth="1"/>
    <col min="11" max="16384" width="9" style="4"/>
  </cols>
  <sheetData>
    <row r="1" spans="1:5" s="2" customFormat="1" x14ac:dyDescent="0.25">
      <c r="A1" s="5" t="s">
        <v>4429</v>
      </c>
      <c r="B1" s="1" t="s">
        <v>0</v>
      </c>
      <c r="C1" s="1" t="s">
        <v>4430</v>
      </c>
      <c r="D1" s="1" t="s">
        <v>4431</v>
      </c>
      <c r="E1" s="1" t="s">
        <v>4432</v>
      </c>
    </row>
    <row r="2" spans="1:5" s="2" customFormat="1" x14ac:dyDescent="0.25">
      <c r="A2" s="1"/>
      <c r="B2" s="1"/>
      <c r="C2" s="1"/>
      <c r="D2" s="1"/>
      <c r="E2" s="1"/>
    </row>
    <row r="3" spans="1:5" x14ac:dyDescent="0.25">
      <c r="A3" s="3" t="s">
        <v>1</v>
      </c>
      <c r="B3" s="3" t="s">
        <v>2</v>
      </c>
      <c r="C3" s="3" t="s">
        <v>3</v>
      </c>
      <c r="D3" s="3" t="s">
        <v>3</v>
      </c>
      <c r="E3" s="3" t="s">
        <v>4</v>
      </c>
    </row>
    <row r="4" spans="1:5" hidden="1" x14ac:dyDescent="0.25">
      <c r="A4" s="3" t="s">
        <v>5</v>
      </c>
      <c r="B4" s="3" t="s">
        <v>6</v>
      </c>
      <c r="C4" s="3" t="s">
        <v>3</v>
      </c>
      <c r="D4" s="3" t="s">
        <v>3</v>
      </c>
      <c r="E4" s="3" t="s">
        <v>4</v>
      </c>
    </row>
    <row r="5" spans="1:5" hidden="1" x14ac:dyDescent="0.25">
      <c r="A5" s="3" t="s">
        <v>7</v>
      </c>
      <c r="B5" s="3" t="s">
        <v>8</v>
      </c>
      <c r="C5" s="3" t="s">
        <v>3</v>
      </c>
      <c r="D5" s="3" t="s">
        <v>3</v>
      </c>
      <c r="E5" s="3" t="s">
        <v>4</v>
      </c>
    </row>
    <row r="6" spans="1:5" hidden="1" x14ac:dyDescent="0.25">
      <c r="A6" s="3" t="s">
        <v>9</v>
      </c>
      <c r="B6" s="3" t="s">
        <v>10</v>
      </c>
      <c r="C6" s="3" t="s">
        <v>3</v>
      </c>
      <c r="D6" s="3" t="s">
        <v>3</v>
      </c>
      <c r="E6" s="3" t="s">
        <v>4</v>
      </c>
    </row>
    <row r="7" spans="1:5" hidden="1" x14ac:dyDescent="0.25">
      <c r="A7" s="3" t="s">
        <v>11</v>
      </c>
      <c r="B7" s="3" t="s">
        <v>10</v>
      </c>
      <c r="C7" s="3" t="s">
        <v>3</v>
      </c>
      <c r="D7" s="3" t="s">
        <v>3</v>
      </c>
      <c r="E7" s="3" t="s">
        <v>4</v>
      </c>
    </row>
    <row r="8" spans="1:5" hidden="1" x14ac:dyDescent="0.25">
      <c r="A8" s="3" t="s">
        <v>12</v>
      </c>
      <c r="B8" s="3" t="s">
        <v>13</v>
      </c>
      <c r="C8" s="3" t="s">
        <v>3</v>
      </c>
      <c r="D8" s="3" t="s">
        <v>3</v>
      </c>
      <c r="E8" s="3" t="s">
        <v>4</v>
      </c>
    </row>
    <row r="9" spans="1:5" hidden="1" x14ac:dyDescent="0.25">
      <c r="A9" s="3" t="s">
        <v>14</v>
      </c>
      <c r="B9" s="3" t="s">
        <v>15</v>
      </c>
      <c r="C9" s="3" t="s">
        <v>3</v>
      </c>
      <c r="D9" s="3" t="s">
        <v>3</v>
      </c>
      <c r="E9" s="3" t="s">
        <v>4</v>
      </c>
    </row>
    <row r="10" spans="1:5" hidden="1" x14ac:dyDescent="0.25">
      <c r="A10" s="3" t="s">
        <v>16</v>
      </c>
      <c r="B10" s="3" t="s">
        <v>17</v>
      </c>
      <c r="C10" s="3" t="s">
        <v>3</v>
      </c>
      <c r="D10" s="3" t="s">
        <v>3</v>
      </c>
      <c r="E10" s="3" t="s">
        <v>4</v>
      </c>
    </row>
    <row r="11" spans="1:5" hidden="1" x14ac:dyDescent="0.25">
      <c r="A11" s="3" t="s">
        <v>18</v>
      </c>
      <c r="B11" s="3" t="s">
        <v>19</v>
      </c>
      <c r="C11" s="3" t="s">
        <v>3</v>
      </c>
      <c r="D11" s="3" t="s">
        <v>3</v>
      </c>
      <c r="E11" s="3" t="s">
        <v>4</v>
      </c>
    </row>
    <row r="12" spans="1:5" hidden="1" x14ac:dyDescent="0.25">
      <c r="A12" s="3" t="s">
        <v>20</v>
      </c>
      <c r="B12" s="3" t="s">
        <v>21</v>
      </c>
      <c r="C12" s="3" t="s">
        <v>3</v>
      </c>
      <c r="D12" s="3" t="s">
        <v>3</v>
      </c>
      <c r="E12" s="3" t="s">
        <v>4</v>
      </c>
    </row>
    <row r="13" spans="1:5" hidden="1" x14ac:dyDescent="0.25">
      <c r="A13" s="3" t="s">
        <v>22</v>
      </c>
      <c r="B13" s="3" t="s">
        <v>23</v>
      </c>
      <c r="C13" s="3" t="s">
        <v>3</v>
      </c>
      <c r="D13" s="3" t="s">
        <v>3</v>
      </c>
      <c r="E13" s="3" t="s">
        <v>4</v>
      </c>
    </row>
    <row r="14" spans="1:5" hidden="1" x14ac:dyDescent="0.25">
      <c r="A14" s="3" t="s">
        <v>24</v>
      </c>
      <c r="B14" s="3" t="s">
        <v>25</v>
      </c>
      <c r="C14" s="3" t="s">
        <v>3</v>
      </c>
      <c r="D14" s="3" t="s">
        <v>3</v>
      </c>
      <c r="E14" s="3" t="s">
        <v>4</v>
      </c>
    </row>
    <row r="15" spans="1:5" hidden="1" x14ac:dyDescent="0.25">
      <c r="A15" s="3" t="s">
        <v>26</v>
      </c>
      <c r="B15" s="3" t="s">
        <v>27</v>
      </c>
      <c r="C15" s="3" t="s">
        <v>3</v>
      </c>
      <c r="D15" s="3" t="s">
        <v>3</v>
      </c>
      <c r="E15" s="3" t="s">
        <v>4</v>
      </c>
    </row>
    <row r="16" spans="1:5" hidden="1" x14ac:dyDescent="0.25">
      <c r="A16" s="3" t="s">
        <v>28</v>
      </c>
      <c r="B16" s="3" t="s">
        <v>29</v>
      </c>
      <c r="C16" s="3" t="s">
        <v>3</v>
      </c>
      <c r="D16" s="3" t="s">
        <v>3</v>
      </c>
      <c r="E16" s="3" t="s">
        <v>4</v>
      </c>
    </row>
    <row r="17" spans="1:5" hidden="1" x14ac:dyDescent="0.25">
      <c r="A17" s="3" t="s">
        <v>30</v>
      </c>
      <c r="B17" s="3" t="s">
        <v>31</v>
      </c>
      <c r="C17" s="3" t="s">
        <v>3</v>
      </c>
      <c r="D17" s="3" t="s">
        <v>3</v>
      </c>
      <c r="E17" s="3" t="s">
        <v>4</v>
      </c>
    </row>
    <row r="18" spans="1:5" hidden="1" x14ac:dyDescent="0.25">
      <c r="A18" s="3" t="s">
        <v>32</v>
      </c>
      <c r="B18" s="3" t="s">
        <v>33</v>
      </c>
      <c r="C18" s="3" t="s">
        <v>3</v>
      </c>
      <c r="D18" s="3" t="s">
        <v>3</v>
      </c>
      <c r="E18" s="3" t="s">
        <v>4</v>
      </c>
    </row>
    <row r="19" spans="1:5" hidden="1" x14ac:dyDescent="0.25">
      <c r="A19" s="3" t="s">
        <v>34</v>
      </c>
      <c r="B19" s="3" t="s">
        <v>35</v>
      </c>
      <c r="C19" s="3" t="s">
        <v>3</v>
      </c>
      <c r="D19" s="3" t="s">
        <v>3</v>
      </c>
      <c r="E19" s="3" t="s">
        <v>4</v>
      </c>
    </row>
    <row r="20" spans="1:5" hidden="1" x14ac:dyDescent="0.25">
      <c r="A20" s="3" t="s">
        <v>36</v>
      </c>
      <c r="B20" s="3" t="s">
        <v>37</v>
      </c>
      <c r="C20" s="3" t="s">
        <v>3</v>
      </c>
      <c r="D20" s="3" t="s">
        <v>3</v>
      </c>
      <c r="E20" s="3" t="s">
        <v>4</v>
      </c>
    </row>
    <row r="21" spans="1:5" hidden="1" x14ac:dyDescent="0.25">
      <c r="A21" s="3" t="s">
        <v>38</v>
      </c>
      <c r="B21" s="3" t="s">
        <v>39</v>
      </c>
      <c r="C21" s="3" t="s">
        <v>3</v>
      </c>
      <c r="D21" s="3" t="s">
        <v>3</v>
      </c>
      <c r="E21" s="3" t="s">
        <v>4</v>
      </c>
    </row>
    <row r="22" spans="1:5" hidden="1" x14ac:dyDescent="0.25">
      <c r="A22" s="3" t="s">
        <v>40</v>
      </c>
      <c r="B22" s="3" t="s">
        <v>41</v>
      </c>
      <c r="C22" s="3" t="s">
        <v>3</v>
      </c>
      <c r="D22" s="3" t="s">
        <v>3</v>
      </c>
      <c r="E22" s="3" t="s">
        <v>4</v>
      </c>
    </row>
    <row r="23" spans="1:5" hidden="1" x14ac:dyDescent="0.25">
      <c r="A23" s="3" t="s">
        <v>42</v>
      </c>
      <c r="B23" s="3" t="s">
        <v>43</v>
      </c>
      <c r="C23" s="3" t="s">
        <v>3</v>
      </c>
      <c r="D23" s="3" t="s">
        <v>3</v>
      </c>
      <c r="E23" s="3" t="s">
        <v>4</v>
      </c>
    </row>
    <row r="24" spans="1:5" hidden="1" x14ac:dyDescent="0.25">
      <c r="A24" s="3" t="s">
        <v>44</v>
      </c>
      <c r="B24" s="3" t="s">
        <v>45</v>
      </c>
      <c r="C24" s="3" t="s">
        <v>3</v>
      </c>
      <c r="D24" s="3" t="s">
        <v>3</v>
      </c>
      <c r="E24" s="3" t="s">
        <v>4</v>
      </c>
    </row>
    <row r="25" spans="1:5" hidden="1" x14ac:dyDescent="0.25">
      <c r="A25" s="3" t="s">
        <v>46</v>
      </c>
      <c r="B25" s="3" t="s">
        <v>47</v>
      </c>
      <c r="C25" s="3" t="s">
        <v>3</v>
      </c>
      <c r="D25" s="3" t="s">
        <v>3</v>
      </c>
      <c r="E25" s="3" t="s">
        <v>4</v>
      </c>
    </row>
    <row r="26" spans="1:5" hidden="1" x14ac:dyDescent="0.25">
      <c r="A26" s="3" t="s">
        <v>48</v>
      </c>
      <c r="B26" s="3" t="s">
        <v>49</v>
      </c>
      <c r="C26" s="3" t="s">
        <v>3</v>
      </c>
      <c r="D26" s="3" t="s">
        <v>3</v>
      </c>
      <c r="E26" s="3" t="s">
        <v>4</v>
      </c>
    </row>
    <row r="27" spans="1:5" hidden="1" x14ac:dyDescent="0.25">
      <c r="A27" s="3" t="s">
        <v>50</v>
      </c>
      <c r="B27" s="3" t="s">
        <v>51</v>
      </c>
      <c r="C27" s="3" t="s">
        <v>3</v>
      </c>
      <c r="D27" s="3" t="s">
        <v>3</v>
      </c>
      <c r="E27" s="3" t="s">
        <v>4</v>
      </c>
    </row>
    <row r="28" spans="1:5" hidden="1" x14ac:dyDescent="0.25">
      <c r="A28" s="3" t="s">
        <v>52</v>
      </c>
      <c r="B28" s="3" t="s">
        <v>53</v>
      </c>
      <c r="C28" s="3" t="s">
        <v>3</v>
      </c>
      <c r="D28" s="3" t="s">
        <v>3</v>
      </c>
      <c r="E28" s="3" t="s">
        <v>4</v>
      </c>
    </row>
    <row r="29" spans="1:5" hidden="1" x14ac:dyDescent="0.25">
      <c r="A29" s="3" t="s">
        <v>54</v>
      </c>
      <c r="B29" s="3" t="s">
        <v>55</v>
      </c>
      <c r="C29" s="3" t="s">
        <v>3</v>
      </c>
      <c r="D29" s="3" t="s">
        <v>3</v>
      </c>
      <c r="E29" s="3" t="s">
        <v>4</v>
      </c>
    </row>
    <row r="30" spans="1:5" hidden="1" x14ac:dyDescent="0.25">
      <c r="A30" s="3" t="s">
        <v>56</v>
      </c>
      <c r="B30" s="3" t="s">
        <v>57</v>
      </c>
      <c r="C30" s="3" t="s">
        <v>3</v>
      </c>
      <c r="D30" s="3" t="s">
        <v>3</v>
      </c>
      <c r="E30" s="3" t="s">
        <v>4</v>
      </c>
    </row>
    <row r="31" spans="1:5" hidden="1" x14ac:dyDescent="0.25">
      <c r="A31" s="3" t="s">
        <v>58</v>
      </c>
      <c r="B31" s="3" t="s">
        <v>59</v>
      </c>
      <c r="C31" s="3" t="s">
        <v>3</v>
      </c>
      <c r="D31" s="3" t="s">
        <v>3</v>
      </c>
      <c r="E31" s="3" t="s">
        <v>4</v>
      </c>
    </row>
    <row r="32" spans="1:5" hidden="1" x14ac:dyDescent="0.25">
      <c r="A32" s="3" t="s">
        <v>60</v>
      </c>
      <c r="B32" s="3" t="s">
        <v>61</v>
      </c>
      <c r="C32" s="3" t="s">
        <v>3</v>
      </c>
      <c r="D32" s="3" t="s">
        <v>3</v>
      </c>
      <c r="E32" s="3" t="s">
        <v>4</v>
      </c>
    </row>
    <row r="33" spans="1:5" hidden="1" x14ac:dyDescent="0.25">
      <c r="A33" s="3" t="s">
        <v>62</v>
      </c>
      <c r="B33" s="3" t="s">
        <v>63</v>
      </c>
      <c r="C33" s="3" t="s">
        <v>3</v>
      </c>
      <c r="D33" s="3" t="s">
        <v>3</v>
      </c>
      <c r="E33" s="3" t="s">
        <v>4</v>
      </c>
    </row>
    <row r="34" spans="1:5" hidden="1" x14ac:dyDescent="0.25">
      <c r="A34" s="3" t="s">
        <v>64</v>
      </c>
      <c r="B34" s="3" t="s">
        <v>65</v>
      </c>
      <c r="C34" s="3" t="s">
        <v>3</v>
      </c>
      <c r="D34" s="3" t="s">
        <v>3</v>
      </c>
      <c r="E34" s="3" t="s">
        <v>4</v>
      </c>
    </row>
    <row r="35" spans="1:5" hidden="1" x14ac:dyDescent="0.25">
      <c r="A35" s="3" t="s">
        <v>66</v>
      </c>
      <c r="B35" s="3" t="s">
        <v>67</v>
      </c>
      <c r="C35" s="3" t="s">
        <v>3</v>
      </c>
      <c r="D35" s="3" t="s">
        <v>3</v>
      </c>
      <c r="E35" s="3" t="s">
        <v>4</v>
      </c>
    </row>
    <row r="36" spans="1:5" hidden="1" x14ac:dyDescent="0.25">
      <c r="A36" s="3" t="s">
        <v>68</v>
      </c>
      <c r="B36" s="3" t="s">
        <v>69</v>
      </c>
      <c r="C36" s="3" t="s">
        <v>3</v>
      </c>
      <c r="D36" s="3" t="s">
        <v>3</v>
      </c>
      <c r="E36" s="3" t="s">
        <v>4</v>
      </c>
    </row>
    <row r="37" spans="1:5" hidden="1" x14ac:dyDescent="0.25">
      <c r="A37" s="3" t="s">
        <v>70</v>
      </c>
      <c r="B37" s="3" t="s">
        <v>71</v>
      </c>
      <c r="C37" s="3" t="s">
        <v>3</v>
      </c>
      <c r="D37" s="3" t="s">
        <v>3</v>
      </c>
      <c r="E37" s="3" t="s">
        <v>4</v>
      </c>
    </row>
    <row r="38" spans="1:5" hidden="1" x14ac:dyDescent="0.25">
      <c r="A38" s="3" t="s">
        <v>72</v>
      </c>
      <c r="B38" s="3" t="s">
        <v>73</v>
      </c>
      <c r="C38" s="3" t="s">
        <v>3</v>
      </c>
      <c r="D38" s="3" t="s">
        <v>3</v>
      </c>
      <c r="E38" s="3" t="s">
        <v>4</v>
      </c>
    </row>
    <row r="39" spans="1:5" hidden="1" x14ac:dyDescent="0.25">
      <c r="A39" s="3" t="s">
        <v>74</v>
      </c>
      <c r="B39" s="3" t="s">
        <v>75</v>
      </c>
      <c r="C39" s="3" t="s">
        <v>3</v>
      </c>
      <c r="D39" s="3" t="s">
        <v>3</v>
      </c>
      <c r="E39" s="3" t="s">
        <v>4</v>
      </c>
    </row>
    <row r="40" spans="1:5" hidden="1" x14ac:dyDescent="0.25">
      <c r="A40" s="3" t="s">
        <v>76</v>
      </c>
      <c r="B40" s="3" t="s">
        <v>77</v>
      </c>
      <c r="C40" s="3" t="s">
        <v>3</v>
      </c>
      <c r="D40" s="3" t="s">
        <v>3</v>
      </c>
      <c r="E40" s="3" t="s">
        <v>4</v>
      </c>
    </row>
    <row r="41" spans="1:5" hidden="1" x14ac:dyDescent="0.25">
      <c r="A41" s="3" t="s">
        <v>78</v>
      </c>
      <c r="B41" s="3" t="s">
        <v>79</v>
      </c>
      <c r="C41" s="3" t="s">
        <v>3</v>
      </c>
      <c r="D41" s="3" t="s">
        <v>3</v>
      </c>
      <c r="E41" s="3" t="s">
        <v>4</v>
      </c>
    </row>
    <row r="42" spans="1:5" hidden="1" x14ac:dyDescent="0.25">
      <c r="A42" s="3" t="s">
        <v>80</v>
      </c>
      <c r="B42" s="3" t="s">
        <v>81</v>
      </c>
      <c r="C42" s="3" t="s">
        <v>3</v>
      </c>
      <c r="D42" s="3" t="s">
        <v>3</v>
      </c>
      <c r="E42" s="3" t="s">
        <v>4</v>
      </c>
    </row>
    <row r="43" spans="1:5" hidden="1" x14ac:dyDescent="0.25">
      <c r="A43" s="3" t="s">
        <v>82</v>
      </c>
      <c r="B43" s="3" t="s">
        <v>83</v>
      </c>
      <c r="C43" s="3" t="s">
        <v>3</v>
      </c>
      <c r="D43" s="3" t="s">
        <v>3</v>
      </c>
      <c r="E43" s="3" t="s">
        <v>4</v>
      </c>
    </row>
    <row r="44" spans="1:5" hidden="1" x14ac:dyDescent="0.25">
      <c r="A44" s="3" t="s">
        <v>84</v>
      </c>
      <c r="B44" s="3" t="s">
        <v>85</v>
      </c>
      <c r="C44" s="3" t="s">
        <v>3</v>
      </c>
      <c r="D44" s="3" t="s">
        <v>3</v>
      </c>
      <c r="E44" s="3" t="s">
        <v>4</v>
      </c>
    </row>
    <row r="45" spans="1:5" hidden="1" x14ac:dyDescent="0.25">
      <c r="A45" s="3" t="s">
        <v>86</v>
      </c>
      <c r="B45" s="3" t="s">
        <v>87</v>
      </c>
      <c r="C45" s="3" t="s">
        <v>3</v>
      </c>
      <c r="D45" s="3" t="s">
        <v>3</v>
      </c>
      <c r="E45" s="3" t="s">
        <v>4</v>
      </c>
    </row>
    <row r="46" spans="1:5" hidden="1" x14ac:dyDescent="0.25">
      <c r="A46" s="3" t="s">
        <v>88</v>
      </c>
      <c r="B46" s="3" t="s">
        <v>89</v>
      </c>
      <c r="C46" s="3" t="s">
        <v>3</v>
      </c>
      <c r="D46" s="3" t="s">
        <v>3</v>
      </c>
      <c r="E46" s="3" t="s">
        <v>4</v>
      </c>
    </row>
    <row r="47" spans="1:5" hidden="1" x14ac:dyDescent="0.25">
      <c r="A47" s="3" t="s">
        <v>90</v>
      </c>
      <c r="B47" s="3" t="s">
        <v>91</v>
      </c>
      <c r="C47" s="3" t="s">
        <v>3</v>
      </c>
      <c r="D47" s="3" t="s">
        <v>3</v>
      </c>
      <c r="E47" s="3" t="s">
        <v>4</v>
      </c>
    </row>
    <row r="48" spans="1:5" hidden="1" x14ac:dyDescent="0.25">
      <c r="A48" s="3" t="s">
        <v>92</v>
      </c>
      <c r="B48" s="3" t="s">
        <v>93</v>
      </c>
      <c r="C48" s="3" t="s">
        <v>3</v>
      </c>
      <c r="D48" s="3" t="s">
        <v>3</v>
      </c>
      <c r="E48" s="3" t="s">
        <v>4</v>
      </c>
    </row>
    <row r="49" spans="1:5" hidden="1" x14ac:dyDescent="0.25">
      <c r="A49" s="3" t="s">
        <v>94</v>
      </c>
      <c r="B49" s="3" t="s">
        <v>95</v>
      </c>
      <c r="C49" s="3" t="s">
        <v>3</v>
      </c>
      <c r="D49" s="3" t="s">
        <v>3</v>
      </c>
      <c r="E49" s="3" t="s">
        <v>4</v>
      </c>
    </row>
    <row r="50" spans="1:5" hidden="1" x14ac:dyDescent="0.25">
      <c r="A50" s="3" t="s">
        <v>96</v>
      </c>
      <c r="B50" s="3" t="s">
        <v>97</v>
      </c>
      <c r="C50" s="3" t="s">
        <v>3</v>
      </c>
      <c r="D50" s="3" t="s">
        <v>3</v>
      </c>
      <c r="E50" s="3" t="s">
        <v>4</v>
      </c>
    </row>
    <row r="51" spans="1:5" hidden="1" x14ac:dyDescent="0.25">
      <c r="A51" s="3" t="s">
        <v>98</v>
      </c>
      <c r="B51" s="3" t="s">
        <v>99</v>
      </c>
      <c r="C51" s="3" t="s">
        <v>3</v>
      </c>
      <c r="D51" s="3" t="s">
        <v>3</v>
      </c>
      <c r="E51" s="3" t="s">
        <v>4</v>
      </c>
    </row>
    <row r="52" spans="1:5" hidden="1" x14ac:dyDescent="0.25">
      <c r="A52" s="3" t="s">
        <v>100</v>
      </c>
      <c r="B52" s="3" t="s">
        <v>101</v>
      </c>
      <c r="C52" s="3" t="s">
        <v>3</v>
      </c>
      <c r="D52" s="3" t="s">
        <v>3</v>
      </c>
      <c r="E52" s="3" t="s">
        <v>4</v>
      </c>
    </row>
    <row r="53" spans="1:5" hidden="1" x14ac:dyDescent="0.25">
      <c r="A53" s="3" t="s">
        <v>102</v>
      </c>
      <c r="B53" s="3" t="s">
        <v>103</v>
      </c>
      <c r="C53" s="3" t="s">
        <v>3</v>
      </c>
      <c r="D53" s="3" t="s">
        <v>3</v>
      </c>
      <c r="E53" s="3" t="s">
        <v>4</v>
      </c>
    </row>
    <row r="54" spans="1:5" hidden="1" x14ac:dyDescent="0.25">
      <c r="A54" s="3" t="s">
        <v>104</v>
      </c>
      <c r="B54" s="3" t="s">
        <v>105</v>
      </c>
      <c r="C54" s="3" t="s">
        <v>3</v>
      </c>
      <c r="D54" s="3" t="s">
        <v>3</v>
      </c>
      <c r="E54" s="3" t="s">
        <v>4</v>
      </c>
    </row>
    <row r="55" spans="1:5" hidden="1" x14ac:dyDescent="0.25">
      <c r="A55" s="3" t="s">
        <v>106</v>
      </c>
      <c r="B55" s="3" t="s">
        <v>107</v>
      </c>
      <c r="C55" s="3" t="s">
        <v>3</v>
      </c>
      <c r="D55" s="3" t="s">
        <v>3</v>
      </c>
      <c r="E55" s="3" t="s">
        <v>4</v>
      </c>
    </row>
    <row r="56" spans="1:5" hidden="1" x14ac:dyDescent="0.25">
      <c r="A56" s="3" t="s">
        <v>108</v>
      </c>
      <c r="B56" s="3" t="s">
        <v>109</v>
      </c>
      <c r="C56" s="3" t="s">
        <v>3</v>
      </c>
      <c r="D56" s="3" t="s">
        <v>3</v>
      </c>
      <c r="E56" s="3" t="s">
        <v>4</v>
      </c>
    </row>
    <row r="57" spans="1:5" hidden="1" x14ac:dyDescent="0.25">
      <c r="A57" s="3" t="s">
        <v>110</v>
      </c>
      <c r="B57" s="3" t="s">
        <v>111</v>
      </c>
      <c r="C57" s="3" t="s">
        <v>3</v>
      </c>
      <c r="D57" s="3" t="s">
        <v>3</v>
      </c>
      <c r="E57" s="3" t="s">
        <v>4</v>
      </c>
    </row>
    <row r="58" spans="1:5" hidden="1" x14ac:dyDescent="0.25">
      <c r="A58" s="3" t="s">
        <v>112</v>
      </c>
      <c r="B58" s="3" t="s">
        <v>113</v>
      </c>
      <c r="C58" s="3" t="s">
        <v>3</v>
      </c>
      <c r="D58" s="3" t="s">
        <v>3</v>
      </c>
      <c r="E58" s="3" t="s">
        <v>4</v>
      </c>
    </row>
    <row r="59" spans="1:5" hidden="1" x14ac:dyDescent="0.25">
      <c r="A59" s="3" t="s">
        <v>114</v>
      </c>
      <c r="B59" s="3" t="s">
        <v>115</v>
      </c>
      <c r="C59" s="3" t="s">
        <v>3</v>
      </c>
      <c r="D59" s="3" t="s">
        <v>3</v>
      </c>
      <c r="E59" s="3" t="s">
        <v>4</v>
      </c>
    </row>
    <row r="60" spans="1:5" hidden="1" x14ac:dyDescent="0.25">
      <c r="A60" s="3" t="s">
        <v>116</v>
      </c>
      <c r="B60" s="3" t="s">
        <v>117</v>
      </c>
      <c r="C60" s="3" t="s">
        <v>3</v>
      </c>
      <c r="D60" s="3" t="s">
        <v>3</v>
      </c>
      <c r="E60" s="3" t="s">
        <v>4</v>
      </c>
    </row>
    <row r="61" spans="1:5" hidden="1" x14ac:dyDescent="0.25">
      <c r="A61" s="3" t="s">
        <v>118</v>
      </c>
      <c r="B61" s="3" t="s">
        <v>119</v>
      </c>
      <c r="C61" s="3" t="s">
        <v>3</v>
      </c>
      <c r="D61" s="3" t="s">
        <v>3</v>
      </c>
      <c r="E61" s="3" t="s">
        <v>4</v>
      </c>
    </row>
    <row r="62" spans="1:5" hidden="1" x14ac:dyDescent="0.25">
      <c r="A62" s="3" t="s">
        <v>120</v>
      </c>
      <c r="B62" s="3" t="s">
        <v>121</v>
      </c>
      <c r="C62" s="3" t="s">
        <v>3</v>
      </c>
      <c r="D62" s="3" t="s">
        <v>3</v>
      </c>
      <c r="E62" s="3" t="s">
        <v>4</v>
      </c>
    </row>
    <row r="63" spans="1:5" hidden="1" x14ac:dyDescent="0.25">
      <c r="A63" s="3" t="s">
        <v>122</v>
      </c>
      <c r="B63" s="3" t="s">
        <v>123</v>
      </c>
      <c r="C63" s="3" t="s">
        <v>3</v>
      </c>
      <c r="D63" s="3" t="s">
        <v>3</v>
      </c>
      <c r="E63" s="3" t="s">
        <v>4</v>
      </c>
    </row>
    <row r="64" spans="1:5" hidden="1" x14ac:dyDescent="0.25">
      <c r="A64" s="3" t="s">
        <v>124</v>
      </c>
      <c r="B64" s="3" t="s">
        <v>125</v>
      </c>
      <c r="C64" s="3" t="s">
        <v>3</v>
      </c>
      <c r="D64" s="3" t="s">
        <v>3</v>
      </c>
      <c r="E64" s="3" t="s">
        <v>4</v>
      </c>
    </row>
    <row r="65" spans="1:5" hidden="1" x14ac:dyDescent="0.25">
      <c r="A65" s="3" t="s">
        <v>126</v>
      </c>
      <c r="B65" s="3" t="s">
        <v>127</v>
      </c>
      <c r="C65" s="3" t="s">
        <v>3</v>
      </c>
      <c r="D65" s="3" t="s">
        <v>3</v>
      </c>
      <c r="E65" s="3" t="s">
        <v>4</v>
      </c>
    </row>
    <row r="66" spans="1:5" hidden="1" x14ac:dyDescent="0.25">
      <c r="A66" s="3" t="s">
        <v>128</v>
      </c>
      <c r="B66" s="3" t="s">
        <v>129</v>
      </c>
      <c r="C66" s="3" t="s">
        <v>3</v>
      </c>
      <c r="D66" s="3" t="s">
        <v>3</v>
      </c>
      <c r="E66" s="3" t="s">
        <v>4</v>
      </c>
    </row>
    <row r="67" spans="1:5" hidden="1" x14ac:dyDescent="0.25">
      <c r="A67" s="3" t="s">
        <v>130</v>
      </c>
      <c r="B67" s="3" t="s">
        <v>131</v>
      </c>
      <c r="C67" s="3" t="s">
        <v>3</v>
      </c>
      <c r="D67" s="3" t="s">
        <v>3</v>
      </c>
      <c r="E67" s="3" t="s">
        <v>4</v>
      </c>
    </row>
    <row r="68" spans="1:5" hidden="1" x14ac:dyDescent="0.25">
      <c r="A68" s="3" t="s">
        <v>132</v>
      </c>
      <c r="B68" s="3" t="s">
        <v>133</v>
      </c>
      <c r="C68" s="3" t="s">
        <v>3</v>
      </c>
      <c r="D68" s="3" t="s">
        <v>3</v>
      </c>
      <c r="E68" s="3" t="s">
        <v>4</v>
      </c>
    </row>
    <row r="69" spans="1:5" hidden="1" x14ac:dyDescent="0.25">
      <c r="A69" s="3" t="s">
        <v>134</v>
      </c>
      <c r="B69" s="3" t="s">
        <v>135</v>
      </c>
      <c r="C69" s="3" t="s">
        <v>3</v>
      </c>
      <c r="D69" s="3" t="s">
        <v>3</v>
      </c>
      <c r="E69" s="3" t="s">
        <v>4</v>
      </c>
    </row>
    <row r="70" spans="1:5" hidden="1" x14ac:dyDescent="0.25">
      <c r="A70" s="3" t="s">
        <v>136</v>
      </c>
      <c r="B70" s="3" t="s">
        <v>137</v>
      </c>
      <c r="C70" s="3" t="s">
        <v>3</v>
      </c>
      <c r="D70" s="3" t="s">
        <v>3</v>
      </c>
      <c r="E70" s="3" t="s">
        <v>4</v>
      </c>
    </row>
    <row r="71" spans="1:5" hidden="1" x14ac:dyDescent="0.25">
      <c r="A71" s="3" t="s">
        <v>138</v>
      </c>
      <c r="B71" s="3" t="s">
        <v>139</v>
      </c>
      <c r="C71" s="3" t="s">
        <v>3</v>
      </c>
      <c r="D71" s="3" t="s">
        <v>3</v>
      </c>
      <c r="E71" s="3" t="s">
        <v>4</v>
      </c>
    </row>
    <row r="72" spans="1:5" hidden="1" x14ac:dyDescent="0.25">
      <c r="A72" s="3" t="s">
        <v>140</v>
      </c>
      <c r="B72" s="3" t="s">
        <v>141</v>
      </c>
      <c r="C72" s="3" t="s">
        <v>3</v>
      </c>
      <c r="D72" s="3" t="s">
        <v>3</v>
      </c>
      <c r="E72" s="3" t="s">
        <v>4</v>
      </c>
    </row>
    <row r="73" spans="1:5" hidden="1" x14ac:dyDescent="0.25">
      <c r="A73" s="3" t="s">
        <v>142</v>
      </c>
      <c r="B73" s="3" t="s">
        <v>143</v>
      </c>
      <c r="C73" s="3" t="s">
        <v>3</v>
      </c>
      <c r="D73" s="3" t="s">
        <v>3</v>
      </c>
      <c r="E73" s="3" t="s">
        <v>4</v>
      </c>
    </row>
    <row r="74" spans="1:5" hidden="1" x14ac:dyDescent="0.25">
      <c r="A74" s="3" t="s">
        <v>144</v>
      </c>
      <c r="B74" s="3" t="s">
        <v>145</v>
      </c>
      <c r="C74" s="3" t="s">
        <v>3</v>
      </c>
      <c r="D74" s="3" t="s">
        <v>3</v>
      </c>
      <c r="E74" s="3" t="s">
        <v>4</v>
      </c>
    </row>
    <row r="75" spans="1:5" hidden="1" x14ac:dyDescent="0.25">
      <c r="A75" s="3" t="s">
        <v>146</v>
      </c>
      <c r="B75" s="3" t="s">
        <v>147</v>
      </c>
      <c r="C75" s="3" t="s">
        <v>3</v>
      </c>
      <c r="D75" s="3" t="s">
        <v>3</v>
      </c>
      <c r="E75" s="3" t="s">
        <v>4</v>
      </c>
    </row>
    <row r="76" spans="1:5" hidden="1" x14ac:dyDescent="0.25">
      <c r="A76" s="3" t="s">
        <v>148</v>
      </c>
      <c r="B76" s="3" t="s">
        <v>149</v>
      </c>
      <c r="C76" s="3" t="s">
        <v>3</v>
      </c>
      <c r="D76" s="3" t="s">
        <v>3</v>
      </c>
      <c r="E76" s="3" t="s">
        <v>4</v>
      </c>
    </row>
    <row r="77" spans="1:5" hidden="1" x14ac:dyDescent="0.25">
      <c r="A77" s="3" t="s">
        <v>150</v>
      </c>
      <c r="B77" s="3" t="s">
        <v>151</v>
      </c>
      <c r="C77" s="3" t="s">
        <v>3</v>
      </c>
      <c r="D77" s="3" t="s">
        <v>3</v>
      </c>
      <c r="E77" s="3" t="s">
        <v>4</v>
      </c>
    </row>
    <row r="78" spans="1:5" hidden="1" x14ac:dyDescent="0.25">
      <c r="A78" s="3" t="s">
        <v>152</v>
      </c>
      <c r="B78" s="3" t="s">
        <v>153</v>
      </c>
      <c r="C78" s="3" t="s">
        <v>3</v>
      </c>
      <c r="D78" s="3" t="s">
        <v>3</v>
      </c>
      <c r="E78" s="3" t="s">
        <v>4</v>
      </c>
    </row>
    <row r="79" spans="1:5" hidden="1" x14ac:dyDescent="0.25">
      <c r="A79" s="3" t="s">
        <v>154</v>
      </c>
      <c r="B79" s="3" t="s">
        <v>155</v>
      </c>
      <c r="C79" s="3" t="s">
        <v>3</v>
      </c>
      <c r="D79" s="3" t="s">
        <v>3</v>
      </c>
      <c r="E79" s="3" t="s">
        <v>4</v>
      </c>
    </row>
    <row r="80" spans="1:5" hidden="1" x14ac:dyDescent="0.25">
      <c r="A80" s="3" t="s">
        <v>156</v>
      </c>
      <c r="B80" s="3" t="s">
        <v>157</v>
      </c>
      <c r="C80" s="3" t="s">
        <v>3</v>
      </c>
      <c r="D80" s="3" t="s">
        <v>3</v>
      </c>
      <c r="E80" s="3" t="s">
        <v>4</v>
      </c>
    </row>
    <row r="81" spans="1:5" hidden="1" x14ac:dyDescent="0.25">
      <c r="A81" s="3" t="s">
        <v>158</v>
      </c>
      <c r="B81" s="3" t="s">
        <v>159</v>
      </c>
      <c r="C81" s="3" t="s">
        <v>3</v>
      </c>
      <c r="D81" s="3" t="s">
        <v>3</v>
      </c>
      <c r="E81" s="3" t="s">
        <v>4</v>
      </c>
    </row>
    <row r="82" spans="1:5" hidden="1" x14ac:dyDescent="0.25">
      <c r="A82" s="3" t="s">
        <v>160</v>
      </c>
      <c r="B82" s="3" t="s">
        <v>161</v>
      </c>
      <c r="C82" s="3" t="s">
        <v>3</v>
      </c>
      <c r="D82" s="3" t="s">
        <v>3</v>
      </c>
      <c r="E82" s="3" t="s">
        <v>4</v>
      </c>
    </row>
    <row r="83" spans="1:5" hidden="1" x14ac:dyDescent="0.25">
      <c r="A83" s="3" t="s">
        <v>162</v>
      </c>
      <c r="B83" s="3" t="s">
        <v>163</v>
      </c>
      <c r="C83" s="3" t="s">
        <v>3</v>
      </c>
      <c r="D83" s="3" t="s">
        <v>3</v>
      </c>
      <c r="E83" s="3" t="s">
        <v>4</v>
      </c>
    </row>
    <row r="84" spans="1:5" hidden="1" x14ac:dyDescent="0.25">
      <c r="A84" s="3" t="s">
        <v>164</v>
      </c>
      <c r="B84" s="3" t="s">
        <v>165</v>
      </c>
      <c r="C84" s="3" t="s">
        <v>3</v>
      </c>
      <c r="D84" s="3" t="s">
        <v>3</v>
      </c>
      <c r="E84" s="3" t="s">
        <v>4</v>
      </c>
    </row>
    <row r="85" spans="1:5" hidden="1" x14ac:dyDescent="0.25">
      <c r="A85" s="3" t="s">
        <v>166</v>
      </c>
      <c r="B85" s="3" t="s">
        <v>167</v>
      </c>
      <c r="C85" s="3" t="s">
        <v>3</v>
      </c>
      <c r="D85" s="3" t="s">
        <v>3</v>
      </c>
      <c r="E85" s="3" t="s">
        <v>4</v>
      </c>
    </row>
    <row r="86" spans="1:5" hidden="1" x14ac:dyDescent="0.25">
      <c r="A86" s="3" t="s">
        <v>168</v>
      </c>
      <c r="B86" s="3" t="s">
        <v>169</v>
      </c>
      <c r="C86" s="3" t="s">
        <v>3</v>
      </c>
      <c r="D86" s="3" t="s">
        <v>3</v>
      </c>
      <c r="E86" s="3" t="s">
        <v>4</v>
      </c>
    </row>
    <row r="87" spans="1:5" hidden="1" x14ac:dyDescent="0.25">
      <c r="A87" s="3" t="s">
        <v>170</v>
      </c>
      <c r="B87" s="3" t="s">
        <v>171</v>
      </c>
      <c r="C87" s="3" t="s">
        <v>3</v>
      </c>
      <c r="D87" s="3" t="s">
        <v>3</v>
      </c>
      <c r="E87" s="3" t="s">
        <v>4</v>
      </c>
    </row>
    <row r="88" spans="1:5" hidden="1" x14ac:dyDescent="0.25">
      <c r="A88" s="3" t="s">
        <v>172</v>
      </c>
      <c r="B88" s="3" t="s">
        <v>173</v>
      </c>
      <c r="C88" s="3" t="s">
        <v>3</v>
      </c>
      <c r="D88" s="3" t="s">
        <v>3</v>
      </c>
      <c r="E88" s="3" t="s">
        <v>4</v>
      </c>
    </row>
    <row r="89" spans="1:5" hidden="1" x14ac:dyDescent="0.25">
      <c r="A89" s="3" t="s">
        <v>174</v>
      </c>
      <c r="B89" s="3" t="s">
        <v>175</v>
      </c>
      <c r="C89" s="3" t="s">
        <v>3</v>
      </c>
      <c r="D89" s="3" t="s">
        <v>3</v>
      </c>
      <c r="E89" s="3" t="s">
        <v>4</v>
      </c>
    </row>
    <row r="90" spans="1:5" hidden="1" x14ac:dyDescent="0.25">
      <c r="A90" s="3" t="s">
        <v>176</v>
      </c>
      <c r="B90" s="3" t="s">
        <v>177</v>
      </c>
      <c r="C90" s="3" t="s">
        <v>3</v>
      </c>
      <c r="D90" s="3" t="s">
        <v>3</v>
      </c>
      <c r="E90" s="3" t="s">
        <v>4</v>
      </c>
    </row>
    <row r="91" spans="1:5" hidden="1" x14ac:dyDescent="0.25">
      <c r="A91" s="3" t="s">
        <v>178</v>
      </c>
      <c r="B91" s="3" t="s">
        <v>179</v>
      </c>
      <c r="C91" s="3" t="s">
        <v>3</v>
      </c>
      <c r="D91" s="3" t="s">
        <v>3</v>
      </c>
      <c r="E91" s="3" t="s">
        <v>4</v>
      </c>
    </row>
    <row r="92" spans="1:5" hidden="1" x14ac:dyDescent="0.25">
      <c r="A92" s="3" t="s">
        <v>180</v>
      </c>
      <c r="B92" s="3" t="s">
        <v>181</v>
      </c>
      <c r="C92" s="3" t="s">
        <v>3</v>
      </c>
      <c r="D92" s="3" t="s">
        <v>3</v>
      </c>
      <c r="E92" s="3" t="s">
        <v>4</v>
      </c>
    </row>
    <row r="93" spans="1:5" hidden="1" x14ac:dyDescent="0.25">
      <c r="A93" s="3" t="s">
        <v>182</v>
      </c>
      <c r="B93" s="3" t="s">
        <v>183</v>
      </c>
      <c r="C93" s="3" t="s">
        <v>3</v>
      </c>
      <c r="D93" s="3" t="s">
        <v>3</v>
      </c>
      <c r="E93" s="3" t="s">
        <v>4</v>
      </c>
    </row>
    <row r="94" spans="1:5" hidden="1" x14ac:dyDescent="0.25">
      <c r="A94" s="3" t="s">
        <v>184</v>
      </c>
      <c r="B94" s="3" t="s">
        <v>185</v>
      </c>
      <c r="C94" s="3" t="s">
        <v>3</v>
      </c>
      <c r="D94" s="3" t="s">
        <v>3</v>
      </c>
      <c r="E94" s="3" t="s">
        <v>4</v>
      </c>
    </row>
    <row r="95" spans="1:5" hidden="1" x14ac:dyDescent="0.25">
      <c r="A95" s="3" t="s">
        <v>186</v>
      </c>
      <c r="B95" s="3" t="s">
        <v>187</v>
      </c>
      <c r="C95" s="3" t="s">
        <v>3</v>
      </c>
      <c r="D95" s="3" t="s">
        <v>3</v>
      </c>
      <c r="E95" s="3" t="s">
        <v>4</v>
      </c>
    </row>
    <row r="96" spans="1:5" hidden="1" x14ac:dyDescent="0.25">
      <c r="A96" s="3" t="s">
        <v>188</v>
      </c>
      <c r="B96" s="3" t="s">
        <v>189</v>
      </c>
      <c r="C96" s="3" t="s">
        <v>3</v>
      </c>
      <c r="D96" s="3" t="s">
        <v>3</v>
      </c>
      <c r="E96" s="3" t="s">
        <v>4</v>
      </c>
    </row>
    <row r="97" spans="1:5" hidden="1" x14ac:dyDescent="0.25">
      <c r="A97" s="3" t="s">
        <v>190</v>
      </c>
      <c r="B97" s="3" t="s">
        <v>191</v>
      </c>
      <c r="C97" s="3" t="s">
        <v>3</v>
      </c>
      <c r="D97" s="3" t="s">
        <v>3</v>
      </c>
      <c r="E97" s="3" t="s">
        <v>4</v>
      </c>
    </row>
    <row r="98" spans="1:5" hidden="1" x14ac:dyDescent="0.25">
      <c r="A98" s="3" t="s">
        <v>192</v>
      </c>
      <c r="B98" s="3" t="s">
        <v>193</v>
      </c>
      <c r="C98" s="3" t="s">
        <v>3</v>
      </c>
      <c r="D98" s="3" t="s">
        <v>3</v>
      </c>
      <c r="E98" s="3" t="s">
        <v>4</v>
      </c>
    </row>
    <row r="99" spans="1:5" hidden="1" x14ac:dyDescent="0.25">
      <c r="A99" s="3" t="s">
        <v>194</v>
      </c>
      <c r="B99" s="3" t="s">
        <v>195</v>
      </c>
      <c r="C99" s="3" t="s">
        <v>3</v>
      </c>
      <c r="D99" s="3" t="s">
        <v>3</v>
      </c>
      <c r="E99" s="3" t="s">
        <v>4</v>
      </c>
    </row>
    <row r="100" spans="1:5" hidden="1" x14ac:dyDescent="0.25">
      <c r="A100" s="3" t="s">
        <v>196</v>
      </c>
      <c r="B100" s="3" t="s">
        <v>197</v>
      </c>
      <c r="C100" s="3" t="s">
        <v>3</v>
      </c>
      <c r="D100" s="3" t="s">
        <v>3</v>
      </c>
      <c r="E100" s="3" t="s">
        <v>4</v>
      </c>
    </row>
    <row r="101" spans="1:5" hidden="1" x14ac:dyDescent="0.25">
      <c r="A101" s="3" t="s">
        <v>198</v>
      </c>
      <c r="B101" s="3" t="s">
        <v>199</v>
      </c>
      <c r="C101" s="3" t="s">
        <v>3</v>
      </c>
      <c r="D101" s="3" t="s">
        <v>3</v>
      </c>
      <c r="E101" s="3" t="s">
        <v>4</v>
      </c>
    </row>
    <row r="102" spans="1:5" hidden="1" x14ac:dyDescent="0.25">
      <c r="A102" s="3" t="s">
        <v>200</v>
      </c>
      <c r="B102" s="3" t="s">
        <v>201</v>
      </c>
      <c r="C102" s="3" t="s">
        <v>3</v>
      </c>
      <c r="D102" s="3" t="s">
        <v>3</v>
      </c>
      <c r="E102" s="3" t="s">
        <v>4</v>
      </c>
    </row>
    <row r="103" spans="1:5" hidden="1" x14ac:dyDescent="0.25">
      <c r="A103" s="3" t="s">
        <v>202</v>
      </c>
      <c r="B103" s="3" t="s">
        <v>203</v>
      </c>
      <c r="C103" s="3" t="s">
        <v>3</v>
      </c>
      <c r="D103" s="3" t="s">
        <v>3</v>
      </c>
      <c r="E103" s="3" t="s">
        <v>4</v>
      </c>
    </row>
    <row r="104" spans="1:5" hidden="1" x14ac:dyDescent="0.25">
      <c r="A104" s="3" t="s">
        <v>204</v>
      </c>
      <c r="B104" s="3" t="s">
        <v>205</v>
      </c>
      <c r="C104" s="3" t="s">
        <v>3</v>
      </c>
      <c r="D104" s="3" t="s">
        <v>3</v>
      </c>
      <c r="E104" s="3" t="s">
        <v>4</v>
      </c>
    </row>
    <row r="105" spans="1:5" hidden="1" x14ac:dyDescent="0.25">
      <c r="A105" s="3" t="s">
        <v>206</v>
      </c>
      <c r="B105" s="3" t="s">
        <v>207</v>
      </c>
      <c r="C105" s="3" t="s">
        <v>3</v>
      </c>
      <c r="D105" s="3" t="s">
        <v>3</v>
      </c>
      <c r="E105" s="3" t="s">
        <v>4</v>
      </c>
    </row>
    <row r="106" spans="1:5" hidden="1" x14ac:dyDescent="0.25">
      <c r="A106" s="3" t="s">
        <v>208</v>
      </c>
      <c r="B106" s="3" t="s">
        <v>209</v>
      </c>
      <c r="C106" s="3" t="s">
        <v>3</v>
      </c>
      <c r="D106" s="3" t="s">
        <v>3</v>
      </c>
      <c r="E106" s="3" t="s">
        <v>4</v>
      </c>
    </row>
    <row r="107" spans="1:5" hidden="1" x14ac:dyDescent="0.25">
      <c r="A107" s="3" t="s">
        <v>210</v>
      </c>
      <c r="B107" s="3" t="s">
        <v>211</v>
      </c>
      <c r="C107" s="3" t="s">
        <v>3</v>
      </c>
      <c r="D107" s="3" t="s">
        <v>3</v>
      </c>
      <c r="E107" s="3" t="s">
        <v>4</v>
      </c>
    </row>
    <row r="108" spans="1:5" hidden="1" x14ac:dyDescent="0.25">
      <c r="A108" s="3" t="s">
        <v>212</v>
      </c>
      <c r="B108" s="3" t="s">
        <v>213</v>
      </c>
      <c r="C108" s="3" t="s">
        <v>3</v>
      </c>
      <c r="D108" s="3" t="s">
        <v>3</v>
      </c>
      <c r="E108" s="3" t="s">
        <v>4</v>
      </c>
    </row>
    <row r="109" spans="1:5" hidden="1" x14ac:dyDescent="0.25">
      <c r="A109" s="3" t="s">
        <v>214</v>
      </c>
      <c r="B109" s="3" t="s">
        <v>215</v>
      </c>
      <c r="C109" s="3" t="s">
        <v>3</v>
      </c>
      <c r="D109" s="3" t="s">
        <v>3</v>
      </c>
      <c r="E109" s="3" t="s">
        <v>4</v>
      </c>
    </row>
    <row r="110" spans="1:5" hidden="1" x14ac:dyDescent="0.25">
      <c r="A110" s="3" t="s">
        <v>216</v>
      </c>
      <c r="B110" s="3" t="s">
        <v>217</v>
      </c>
      <c r="C110" s="3" t="s">
        <v>3</v>
      </c>
      <c r="D110" s="3" t="s">
        <v>3</v>
      </c>
      <c r="E110" s="3" t="s">
        <v>4</v>
      </c>
    </row>
    <row r="111" spans="1:5" hidden="1" x14ac:dyDescent="0.25">
      <c r="A111" s="3" t="s">
        <v>218</v>
      </c>
      <c r="B111" s="3" t="s">
        <v>219</v>
      </c>
      <c r="C111" s="3" t="s">
        <v>3</v>
      </c>
      <c r="D111" s="3" t="s">
        <v>3</v>
      </c>
      <c r="E111" s="3" t="s">
        <v>4</v>
      </c>
    </row>
    <row r="112" spans="1:5" hidden="1" x14ac:dyDescent="0.25">
      <c r="A112" s="3" t="s">
        <v>220</v>
      </c>
      <c r="B112" s="3" t="s">
        <v>221</v>
      </c>
      <c r="C112" s="3" t="s">
        <v>3</v>
      </c>
      <c r="D112" s="3" t="s">
        <v>3</v>
      </c>
      <c r="E112" s="3" t="s">
        <v>4</v>
      </c>
    </row>
    <row r="113" spans="1:5" hidden="1" x14ac:dyDescent="0.25">
      <c r="A113" s="3" t="s">
        <v>222</v>
      </c>
      <c r="B113" s="3" t="s">
        <v>223</v>
      </c>
      <c r="C113" s="3" t="s">
        <v>3</v>
      </c>
      <c r="D113" s="3" t="s">
        <v>3</v>
      </c>
      <c r="E113" s="3" t="s">
        <v>4</v>
      </c>
    </row>
    <row r="114" spans="1:5" hidden="1" x14ac:dyDescent="0.25">
      <c r="A114" s="3" t="s">
        <v>224</v>
      </c>
      <c r="B114" s="3" t="s">
        <v>225</v>
      </c>
      <c r="C114" s="3" t="s">
        <v>3</v>
      </c>
      <c r="D114" s="3" t="s">
        <v>3</v>
      </c>
      <c r="E114" s="3" t="s">
        <v>4</v>
      </c>
    </row>
    <row r="115" spans="1:5" hidden="1" x14ac:dyDescent="0.25">
      <c r="A115" s="3" t="s">
        <v>226</v>
      </c>
      <c r="B115" s="3" t="s">
        <v>227</v>
      </c>
      <c r="C115" s="3" t="s">
        <v>3</v>
      </c>
      <c r="D115" s="3" t="s">
        <v>3</v>
      </c>
      <c r="E115" s="3" t="s">
        <v>4</v>
      </c>
    </row>
    <row r="116" spans="1:5" hidden="1" x14ac:dyDescent="0.25">
      <c r="A116" s="3" t="s">
        <v>228</v>
      </c>
      <c r="B116" s="3" t="s">
        <v>229</v>
      </c>
      <c r="C116" s="3" t="s">
        <v>3</v>
      </c>
      <c r="D116" s="3" t="s">
        <v>3</v>
      </c>
      <c r="E116" s="3" t="s">
        <v>4</v>
      </c>
    </row>
    <row r="117" spans="1:5" hidden="1" x14ac:dyDescent="0.25">
      <c r="A117" s="3" t="s">
        <v>230</v>
      </c>
      <c r="B117" s="3" t="s">
        <v>231</v>
      </c>
      <c r="C117" s="3" t="s">
        <v>3</v>
      </c>
      <c r="D117" s="3" t="s">
        <v>3</v>
      </c>
      <c r="E117" s="3" t="s">
        <v>4</v>
      </c>
    </row>
    <row r="118" spans="1:5" hidden="1" x14ac:dyDescent="0.25">
      <c r="A118" s="3" t="s">
        <v>232</v>
      </c>
      <c r="B118" s="3" t="s">
        <v>233</v>
      </c>
      <c r="C118" s="3" t="s">
        <v>3</v>
      </c>
      <c r="D118" s="3" t="s">
        <v>3</v>
      </c>
      <c r="E118" s="3" t="s">
        <v>4</v>
      </c>
    </row>
    <row r="119" spans="1:5" hidden="1" x14ac:dyDescent="0.25">
      <c r="A119" s="3" t="s">
        <v>234</v>
      </c>
      <c r="B119" s="3" t="s">
        <v>235</v>
      </c>
      <c r="C119" s="3" t="s">
        <v>3</v>
      </c>
      <c r="D119" s="3" t="s">
        <v>3</v>
      </c>
      <c r="E119" s="3" t="s">
        <v>4</v>
      </c>
    </row>
    <row r="120" spans="1:5" hidden="1" x14ac:dyDescent="0.25">
      <c r="A120" s="3" t="s">
        <v>236</v>
      </c>
      <c r="B120" s="3" t="s">
        <v>237</v>
      </c>
      <c r="C120" s="3" t="s">
        <v>3</v>
      </c>
      <c r="D120" s="3" t="s">
        <v>3</v>
      </c>
      <c r="E120" s="3" t="s">
        <v>4</v>
      </c>
    </row>
    <row r="121" spans="1:5" hidden="1" x14ac:dyDescent="0.25">
      <c r="A121" s="3" t="s">
        <v>238</v>
      </c>
      <c r="B121" s="3" t="s">
        <v>239</v>
      </c>
      <c r="C121" s="3" t="s">
        <v>3</v>
      </c>
      <c r="D121" s="3" t="s">
        <v>3</v>
      </c>
      <c r="E121" s="3" t="s">
        <v>4</v>
      </c>
    </row>
    <row r="122" spans="1:5" hidden="1" x14ac:dyDescent="0.25">
      <c r="A122" s="3" t="s">
        <v>240</v>
      </c>
      <c r="B122" s="3" t="s">
        <v>241</v>
      </c>
      <c r="C122" s="3" t="s">
        <v>3</v>
      </c>
      <c r="D122" s="3" t="s">
        <v>3</v>
      </c>
      <c r="E122" s="3" t="s">
        <v>4</v>
      </c>
    </row>
    <row r="123" spans="1:5" hidden="1" x14ac:dyDescent="0.25">
      <c r="A123" s="3" t="s">
        <v>242</v>
      </c>
      <c r="B123" s="3" t="s">
        <v>243</v>
      </c>
      <c r="C123" s="3" t="s">
        <v>3</v>
      </c>
      <c r="D123" s="3" t="s">
        <v>3</v>
      </c>
      <c r="E123" s="3" t="s">
        <v>4</v>
      </c>
    </row>
    <row r="124" spans="1:5" hidden="1" x14ac:dyDescent="0.25">
      <c r="A124" s="3" t="s">
        <v>244</v>
      </c>
      <c r="B124" s="3" t="s">
        <v>245</v>
      </c>
      <c r="C124" s="3" t="s">
        <v>3</v>
      </c>
      <c r="D124" s="3" t="s">
        <v>3</v>
      </c>
      <c r="E124" s="3" t="s">
        <v>4</v>
      </c>
    </row>
    <row r="125" spans="1:5" hidden="1" x14ac:dyDescent="0.25">
      <c r="A125" s="3" t="s">
        <v>246</v>
      </c>
      <c r="B125" s="3" t="s">
        <v>247</v>
      </c>
      <c r="C125" s="3" t="s">
        <v>3</v>
      </c>
      <c r="D125" s="3" t="s">
        <v>3</v>
      </c>
      <c r="E125" s="3" t="s">
        <v>4</v>
      </c>
    </row>
    <row r="126" spans="1:5" hidden="1" x14ac:dyDescent="0.25">
      <c r="A126" s="3" t="s">
        <v>248</v>
      </c>
      <c r="B126" s="3" t="s">
        <v>249</v>
      </c>
      <c r="C126" s="3" t="s">
        <v>3</v>
      </c>
      <c r="D126" s="3" t="s">
        <v>3</v>
      </c>
      <c r="E126" s="3" t="s">
        <v>4</v>
      </c>
    </row>
    <row r="127" spans="1:5" hidden="1" x14ac:dyDescent="0.25">
      <c r="A127" s="3" t="s">
        <v>250</v>
      </c>
      <c r="B127" s="3" t="s">
        <v>251</v>
      </c>
      <c r="C127" s="3" t="s">
        <v>3</v>
      </c>
      <c r="D127" s="3" t="s">
        <v>3</v>
      </c>
      <c r="E127" s="3" t="s">
        <v>4</v>
      </c>
    </row>
    <row r="128" spans="1:5" hidden="1" x14ac:dyDescent="0.25">
      <c r="A128" s="3" t="s">
        <v>252</v>
      </c>
      <c r="B128" s="3" t="s">
        <v>253</v>
      </c>
      <c r="C128" s="3" t="s">
        <v>3</v>
      </c>
      <c r="D128" s="3" t="s">
        <v>3</v>
      </c>
      <c r="E128" s="3" t="s">
        <v>4</v>
      </c>
    </row>
    <row r="129" spans="1:5" hidden="1" x14ac:dyDescent="0.25">
      <c r="A129" s="3" t="s">
        <v>254</v>
      </c>
      <c r="B129" s="3" t="s">
        <v>255</v>
      </c>
      <c r="C129" s="3" t="s">
        <v>3</v>
      </c>
      <c r="D129" s="3" t="s">
        <v>3</v>
      </c>
      <c r="E129" s="3" t="s">
        <v>4</v>
      </c>
    </row>
    <row r="130" spans="1:5" hidden="1" x14ac:dyDescent="0.25">
      <c r="A130" s="3" t="s">
        <v>256</v>
      </c>
      <c r="B130" s="3" t="s">
        <v>257</v>
      </c>
      <c r="C130" s="3" t="s">
        <v>3</v>
      </c>
      <c r="D130" s="3" t="s">
        <v>3</v>
      </c>
      <c r="E130" s="3" t="s">
        <v>4</v>
      </c>
    </row>
    <row r="131" spans="1:5" hidden="1" x14ac:dyDescent="0.25">
      <c r="A131" s="3" t="s">
        <v>258</v>
      </c>
      <c r="B131" s="3" t="s">
        <v>259</v>
      </c>
      <c r="C131" s="3" t="s">
        <v>3</v>
      </c>
      <c r="D131" s="3" t="s">
        <v>3</v>
      </c>
      <c r="E131" s="3" t="s">
        <v>4</v>
      </c>
    </row>
    <row r="132" spans="1:5" hidden="1" x14ac:dyDescent="0.25">
      <c r="A132" s="3" t="s">
        <v>260</v>
      </c>
      <c r="B132" s="3" t="s">
        <v>261</v>
      </c>
      <c r="C132" s="3" t="s">
        <v>3</v>
      </c>
      <c r="D132" s="3" t="s">
        <v>3</v>
      </c>
      <c r="E132" s="3" t="s">
        <v>4</v>
      </c>
    </row>
    <row r="133" spans="1:5" hidden="1" x14ac:dyDescent="0.25">
      <c r="A133" s="3" t="s">
        <v>262</v>
      </c>
      <c r="B133" s="3" t="s">
        <v>263</v>
      </c>
      <c r="C133" s="3" t="s">
        <v>3</v>
      </c>
      <c r="D133" s="3" t="s">
        <v>3</v>
      </c>
      <c r="E133" s="3" t="s">
        <v>4</v>
      </c>
    </row>
    <row r="134" spans="1:5" hidden="1" x14ac:dyDescent="0.25">
      <c r="A134" s="3" t="s">
        <v>264</v>
      </c>
      <c r="B134" s="3" t="s">
        <v>265</v>
      </c>
      <c r="C134" s="3" t="s">
        <v>3</v>
      </c>
      <c r="D134" s="3" t="s">
        <v>3</v>
      </c>
      <c r="E134" s="3" t="s">
        <v>4</v>
      </c>
    </row>
    <row r="135" spans="1:5" hidden="1" x14ac:dyDescent="0.25">
      <c r="A135" s="3" t="s">
        <v>266</v>
      </c>
      <c r="B135" s="3" t="s">
        <v>267</v>
      </c>
      <c r="C135" s="3" t="s">
        <v>3</v>
      </c>
      <c r="D135" s="3" t="s">
        <v>3</v>
      </c>
      <c r="E135" s="3" t="s">
        <v>4</v>
      </c>
    </row>
    <row r="136" spans="1:5" hidden="1" x14ac:dyDescent="0.25">
      <c r="A136" s="3" t="s">
        <v>268</v>
      </c>
      <c r="B136" s="3" t="s">
        <v>269</v>
      </c>
      <c r="C136" s="3" t="s">
        <v>3</v>
      </c>
      <c r="D136" s="3" t="s">
        <v>3</v>
      </c>
      <c r="E136" s="3" t="s">
        <v>4</v>
      </c>
    </row>
    <row r="137" spans="1:5" hidden="1" x14ac:dyDescent="0.25">
      <c r="A137" s="3" t="s">
        <v>270</v>
      </c>
      <c r="B137" s="3" t="s">
        <v>271</v>
      </c>
      <c r="C137" s="3" t="s">
        <v>3</v>
      </c>
      <c r="D137" s="3" t="s">
        <v>3</v>
      </c>
      <c r="E137" s="3" t="s">
        <v>4</v>
      </c>
    </row>
    <row r="138" spans="1:5" hidden="1" x14ac:dyDescent="0.25">
      <c r="A138" s="3" t="s">
        <v>272</v>
      </c>
      <c r="B138" s="3" t="s">
        <v>273</v>
      </c>
      <c r="C138" s="3" t="s">
        <v>3</v>
      </c>
      <c r="D138" s="3" t="s">
        <v>3</v>
      </c>
      <c r="E138" s="3" t="s">
        <v>4</v>
      </c>
    </row>
    <row r="139" spans="1:5" hidden="1" x14ac:dyDescent="0.25">
      <c r="A139" s="3" t="s">
        <v>274</v>
      </c>
      <c r="B139" s="3" t="s">
        <v>275</v>
      </c>
      <c r="C139" s="3" t="s">
        <v>3</v>
      </c>
      <c r="D139" s="3" t="s">
        <v>3</v>
      </c>
      <c r="E139" s="3" t="s">
        <v>4</v>
      </c>
    </row>
    <row r="140" spans="1:5" hidden="1" x14ac:dyDescent="0.25">
      <c r="A140" s="3" t="s">
        <v>276</v>
      </c>
      <c r="B140" s="3" t="s">
        <v>277</v>
      </c>
      <c r="C140" s="3" t="s">
        <v>3</v>
      </c>
      <c r="D140" s="3" t="s">
        <v>3</v>
      </c>
      <c r="E140" s="3" t="s">
        <v>4</v>
      </c>
    </row>
    <row r="141" spans="1:5" hidden="1" x14ac:dyDescent="0.25">
      <c r="A141" s="3" t="s">
        <v>278</v>
      </c>
      <c r="B141" s="3" t="s">
        <v>279</v>
      </c>
      <c r="C141" s="3" t="s">
        <v>3</v>
      </c>
      <c r="D141" s="3" t="s">
        <v>3</v>
      </c>
      <c r="E141" s="3" t="s">
        <v>4</v>
      </c>
    </row>
    <row r="142" spans="1:5" hidden="1" x14ac:dyDescent="0.25">
      <c r="A142" s="3" t="s">
        <v>280</v>
      </c>
      <c r="B142" s="3" t="s">
        <v>281</v>
      </c>
      <c r="C142" s="3" t="s">
        <v>3</v>
      </c>
      <c r="D142" s="3" t="s">
        <v>3</v>
      </c>
      <c r="E142" s="3" t="s">
        <v>4</v>
      </c>
    </row>
    <row r="143" spans="1:5" hidden="1" x14ac:dyDescent="0.25">
      <c r="A143" s="3" t="s">
        <v>282</v>
      </c>
      <c r="B143" s="3" t="s">
        <v>283</v>
      </c>
      <c r="C143" s="3" t="s">
        <v>3</v>
      </c>
      <c r="D143" s="3" t="s">
        <v>3</v>
      </c>
      <c r="E143" s="3" t="s">
        <v>4</v>
      </c>
    </row>
    <row r="144" spans="1:5" hidden="1" x14ac:dyDescent="0.25">
      <c r="A144" s="3" t="s">
        <v>284</v>
      </c>
      <c r="B144" s="3" t="s">
        <v>285</v>
      </c>
      <c r="C144" s="3" t="s">
        <v>3</v>
      </c>
      <c r="D144" s="3" t="s">
        <v>3</v>
      </c>
      <c r="E144" s="3" t="s">
        <v>4</v>
      </c>
    </row>
    <row r="145" spans="1:5" hidden="1" x14ac:dyDescent="0.25">
      <c r="A145" s="3" t="s">
        <v>286</v>
      </c>
      <c r="B145" s="3" t="s">
        <v>287</v>
      </c>
      <c r="C145" s="3" t="s">
        <v>3</v>
      </c>
      <c r="D145" s="3" t="s">
        <v>3</v>
      </c>
      <c r="E145" s="3" t="s">
        <v>4</v>
      </c>
    </row>
    <row r="146" spans="1:5" hidden="1" x14ac:dyDescent="0.25">
      <c r="A146" s="3" t="s">
        <v>288</v>
      </c>
      <c r="B146" s="3" t="s">
        <v>289</v>
      </c>
      <c r="C146" s="3" t="s">
        <v>3</v>
      </c>
      <c r="D146" s="3" t="s">
        <v>3</v>
      </c>
      <c r="E146" s="3" t="s">
        <v>4</v>
      </c>
    </row>
    <row r="147" spans="1:5" hidden="1" x14ac:dyDescent="0.25">
      <c r="A147" s="3" t="s">
        <v>290</v>
      </c>
      <c r="B147" s="3" t="s">
        <v>291</v>
      </c>
      <c r="C147" s="3" t="s">
        <v>3</v>
      </c>
      <c r="D147" s="3" t="s">
        <v>3</v>
      </c>
      <c r="E147" s="3" t="s">
        <v>4</v>
      </c>
    </row>
    <row r="148" spans="1:5" hidden="1" x14ac:dyDescent="0.25">
      <c r="A148" s="3" t="s">
        <v>292</v>
      </c>
      <c r="B148" s="3" t="s">
        <v>293</v>
      </c>
      <c r="C148" s="3" t="s">
        <v>3</v>
      </c>
      <c r="D148" s="3" t="s">
        <v>3</v>
      </c>
      <c r="E148" s="3" t="s">
        <v>4</v>
      </c>
    </row>
    <row r="149" spans="1:5" hidden="1" x14ac:dyDescent="0.25">
      <c r="A149" s="3" t="s">
        <v>294</v>
      </c>
      <c r="B149" s="3" t="s">
        <v>295</v>
      </c>
      <c r="C149" s="3" t="s">
        <v>3</v>
      </c>
      <c r="D149" s="3" t="s">
        <v>3</v>
      </c>
      <c r="E149" s="3" t="s">
        <v>4</v>
      </c>
    </row>
    <row r="150" spans="1:5" hidden="1" x14ac:dyDescent="0.25">
      <c r="A150" s="3" t="s">
        <v>296</v>
      </c>
      <c r="B150" s="3" t="s">
        <v>297</v>
      </c>
      <c r="C150" s="3" t="s">
        <v>3</v>
      </c>
      <c r="D150" s="3" t="s">
        <v>3</v>
      </c>
      <c r="E150" s="3" t="s">
        <v>4</v>
      </c>
    </row>
    <row r="151" spans="1:5" hidden="1" x14ac:dyDescent="0.25">
      <c r="A151" s="3" t="s">
        <v>298</v>
      </c>
      <c r="B151" s="3" t="s">
        <v>299</v>
      </c>
      <c r="C151" s="3" t="s">
        <v>3</v>
      </c>
      <c r="D151" s="3" t="s">
        <v>3</v>
      </c>
      <c r="E151" s="3" t="s">
        <v>4</v>
      </c>
    </row>
    <row r="152" spans="1:5" hidden="1" x14ac:dyDescent="0.25">
      <c r="A152" s="3" t="s">
        <v>300</v>
      </c>
      <c r="B152" s="3" t="s">
        <v>301</v>
      </c>
      <c r="C152" s="3" t="s">
        <v>3</v>
      </c>
      <c r="D152" s="3" t="s">
        <v>3</v>
      </c>
      <c r="E152" s="3" t="s">
        <v>4</v>
      </c>
    </row>
    <row r="153" spans="1:5" hidden="1" x14ac:dyDescent="0.25">
      <c r="A153" s="3" t="s">
        <v>302</v>
      </c>
      <c r="B153" s="3" t="s">
        <v>303</v>
      </c>
      <c r="C153" s="3" t="s">
        <v>3</v>
      </c>
      <c r="D153" s="3" t="s">
        <v>3</v>
      </c>
      <c r="E153" s="3" t="s">
        <v>4</v>
      </c>
    </row>
    <row r="154" spans="1:5" hidden="1" x14ac:dyDescent="0.25">
      <c r="A154" s="3" t="s">
        <v>304</v>
      </c>
      <c r="B154" s="3" t="s">
        <v>305</v>
      </c>
      <c r="C154" s="3" t="s">
        <v>3</v>
      </c>
      <c r="D154" s="3" t="s">
        <v>3</v>
      </c>
      <c r="E154" s="3" t="s">
        <v>4</v>
      </c>
    </row>
    <row r="155" spans="1:5" hidden="1" x14ac:dyDescent="0.25">
      <c r="A155" s="3" t="s">
        <v>306</v>
      </c>
      <c r="B155" s="3" t="s">
        <v>307</v>
      </c>
      <c r="C155" s="3" t="s">
        <v>3</v>
      </c>
      <c r="D155" s="3" t="s">
        <v>3</v>
      </c>
      <c r="E155" s="3" t="s">
        <v>4</v>
      </c>
    </row>
    <row r="156" spans="1:5" hidden="1" x14ac:dyDescent="0.25">
      <c r="A156" s="3" t="s">
        <v>308</v>
      </c>
      <c r="B156" s="3" t="s">
        <v>309</v>
      </c>
      <c r="C156" s="3" t="s">
        <v>3</v>
      </c>
      <c r="D156" s="3" t="s">
        <v>3</v>
      </c>
      <c r="E156" s="3" t="s">
        <v>4</v>
      </c>
    </row>
    <row r="157" spans="1:5" hidden="1" x14ac:dyDescent="0.25">
      <c r="A157" s="3" t="s">
        <v>310</v>
      </c>
      <c r="B157" s="3" t="s">
        <v>311</v>
      </c>
      <c r="C157" s="3" t="s">
        <v>3</v>
      </c>
      <c r="D157" s="3" t="s">
        <v>3</v>
      </c>
      <c r="E157" s="3" t="s">
        <v>4</v>
      </c>
    </row>
    <row r="158" spans="1:5" hidden="1" x14ac:dyDescent="0.25">
      <c r="A158" s="3" t="s">
        <v>312</v>
      </c>
      <c r="B158" s="3" t="s">
        <v>313</v>
      </c>
      <c r="C158" s="3" t="s">
        <v>3</v>
      </c>
      <c r="D158" s="3" t="s">
        <v>3</v>
      </c>
      <c r="E158" s="3" t="s">
        <v>4</v>
      </c>
    </row>
    <row r="159" spans="1:5" hidden="1" x14ac:dyDescent="0.25">
      <c r="A159" s="3" t="s">
        <v>314</v>
      </c>
      <c r="B159" s="3" t="s">
        <v>315</v>
      </c>
      <c r="C159" s="3" t="s">
        <v>3</v>
      </c>
      <c r="D159" s="3" t="s">
        <v>3</v>
      </c>
      <c r="E159" s="3" t="s">
        <v>4</v>
      </c>
    </row>
    <row r="160" spans="1:5" hidden="1" x14ac:dyDescent="0.25">
      <c r="A160" s="3" t="s">
        <v>316</v>
      </c>
      <c r="B160" s="3" t="s">
        <v>317</v>
      </c>
      <c r="C160" s="3" t="s">
        <v>3</v>
      </c>
      <c r="D160" s="3" t="s">
        <v>3</v>
      </c>
      <c r="E160" s="3" t="s">
        <v>4</v>
      </c>
    </row>
    <row r="161" spans="1:5" hidden="1" x14ac:dyDescent="0.25">
      <c r="A161" s="3" t="s">
        <v>318</v>
      </c>
      <c r="B161" s="3" t="s">
        <v>319</v>
      </c>
      <c r="C161" s="3" t="s">
        <v>3</v>
      </c>
      <c r="D161" s="3" t="s">
        <v>3</v>
      </c>
      <c r="E161" s="3" t="s">
        <v>4</v>
      </c>
    </row>
    <row r="162" spans="1:5" hidden="1" x14ac:dyDescent="0.25">
      <c r="A162" s="3" t="s">
        <v>320</v>
      </c>
      <c r="B162" s="3" t="s">
        <v>321</v>
      </c>
      <c r="C162" s="3" t="s">
        <v>3</v>
      </c>
      <c r="D162" s="3" t="s">
        <v>3</v>
      </c>
      <c r="E162" s="3" t="s">
        <v>4</v>
      </c>
    </row>
    <row r="163" spans="1:5" hidden="1" x14ac:dyDescent="0.25">
      <c r="A163" s="3" t="s">
        <v>322</v>
      </c>
      <c r="B163" s="3" t="s">
        <v>323</v>
      </c>
      <c r="C163" s="3" t="s">
        <v>3</v>
      </c>
      <c r="D163" s="3" t="s">
        <v>3</v>
      </c>
      <c r="E163" s="3" t="s">
        <v>4</v>
      </c>
    </row>
    <row r="164" spans="1:5" hidden="1" x14ac:dyDescent="0.25">
      <c r="A164" s="3" t="s">
        <v>324</v>
      </c>
      <c r="B164" s="3" t="s">
        <v>325</v>
      </c>
      <c r="C164" s="3" t="s">
        <v>3</v>
      </c>
      <c r="D164" s="3" t="s">
        <v>3</v>
      </c>
      <c r="E164" s="3" t="s">
        <v>4</v>
      </c>
    </row>
    <row r="165" spans="1:5" hidden="1" x14ac:dyDescent="0.25">
      <c r="A165" s="3" t="s">
        <v>326</v>
      </c>
      <c r="B165" s="3" t="s">
        <v>327</v>
      </c>
      <c r="C165" s="3" t="s">
        <v>3</v>
      </c>
      <c r="D165" s="3" t="s">
        <v>3</v>
      </c>
      <c r="E165" s="3" t="s">
        <v>4</v>
      </c>
    </row>
    <row r="166" spans="1:5" hidden="1" x14ac:dyDescent="0.25">
      <c r="A166" s="3" t="s">
        <v>328</v>
      </c>
      <c r="B166" s="3" t="s">
        <v>329</v>
      </c>
      <c r="C166" s="3" t="s">
        <v>3</v>
      </c>
      <c r="D166" s="3" t="s">
        <v>3</v>
      </c>
      <c r="E166" s="3" t="s">
        <v>4</v>
      </c>
    </row>
    <row r="167" spans="1:5" hidden="1" x14ac:dyDescent="0.25">
      <c r="A167" s="3" t="s">
        <v>330</v>
      </c>
      <c r="B167" s="3" t="s">
        <v>331</v>
      </c>
      <c r="C167" s="3" t="s">
        <v>3</v>
      </c>
      <c r="D167" s="3" t="s">
        <v>3</v>
      </c>
      <c r="E167" s="3" t="s">
        <v>4</v>
      </c>
    </row>
    <row r="168" spans="1:5" hidden="1" x14ac:dyDescent="0.25">
      <c r="A168" s="3" t="s">
        <v>332</v>
      </c>
      <c r="B168" s="3" t="s">
        <v>333</v>
      </c>
      <c r="C168" s="3" t="s">
        <v>3</v>
      </c>
      <c r="D168" s="3" t="s">
        <v>3</v>
      </c>
      <c r="E168" s="3" t="s">
        <v>4</v>
      </c>
    </row>
    <row r="169" spans="1:5" hidden="1" x14ac:dyDescent="0.25">
      <c r="A169" s="3" t="s">
        <v>334</v>
      </c>
      <c r="B169" s="3" t="s">
        <v>335</v>
      </c>
      <c r="C169" s="3" t="s">
        <v>3</v>
      </c>
      <c r="D169" s="3" t="s">
        <v>3</v>
      </c>
      <c r="E169" s="3" t="s">
        <v>4</v>
      </c>
    </row>
    <row r="170" spans="1:5" hidden="1" x14ac:dyDescent="0.25">
      <c r="A170" s="3" t="s">
        <v>336</v>
      </c>
      <c r="B170" s="3" t="s">
        <v>337</v>
      </c>
      <c r="C170" s="3" t="s">
        <v>3</v>
      </c>
      <c r="D170" s="3" t="s">
        <v>3</v>
      </c>
      <c r="E170" s="3" t="s">
        <v>4</v>
      </c>
    </row>
    <row r="171" spans="1:5" hidden="1" x14ac:dyDescent="0.25">
      <c r="A171" s="3" t="s">
        <v>338</v>
      </c>
      <c r="B171" s="3" t="s">
        <v>339</v>
      </c>
      <c r="C171" s="3" t="s">
        <v>3</v>
      </c>
      <c r="D171" s="3" t="s">
        <v>3</v>
      </c>
      <c r="E171" s="3" t="s">
        <v>4</v>
      </c>
    </row>
    <row r="172" spans="1:5" hidden="1" x14ac:dyDescent="0.25">
      <c r="A172" s="3" t="s">
        <v>340</v>
      </c>
      <c r="B172" s="3" t="s">
        <v>341</v>
      </c>
      <c r="C172" s="3" t="s">
        <v>3</v>
      </c>
      <c r="D172" s="3" t="s">
        <v>3</v>
      </c>
      <c r="E172" s="3" t="s">
        <v>4</v>
      </c>
    </row>
    <row r="173" spans="1:5" hidden="1" x14ac:dyDescent="0.25">
      <c r="A173" s="3" t="s">
        <v>342</v>
      </c>
      <c r="B173" s="3" t="s">
        <v>343</v>
      </c>
      <c r="C173" s="3" t="s">
        <v>3</v>
      </c>
      <c r="D173" s="3" t="s">
        <v>3</v>
      </c>
      <c r="E173" s="3" t="s">
        <v>4</v>
      </c>
    </row>
    <row r="174" spans="1:5" hidden="1" x14ac:dyDescent="0.25">
      <c r="A174" s="3" t="s">
        <v>344</v>
      </c>
      <c r="B174" s="3" t="s">
        <v>345</v>
      </c>
      <c r="C174" s="3" t="s">
        <v>3</v>
      </c>
      <c r="D174" s="3" t="s">
        <v>3</v>
      </c>
      <c r="E174" s="3" t="s">
        <v>4</v>
      </c>
    </row>
    <row r="175" spans="1:5" hidden="1" x14ac:dyDescent="0.25">
      <c r="A175" s="3" t="s">
        <v>346</v>
      </c>
      <c r="B175" s="3" t="s">
        <v>347</v>
      </c>
      <c r="C175" s="3" t="s">
        <v>3</v>
      </c>
      <c r="D175" s="3" t="s">
        <v>3</v>
      </c>
      <c r="E175" s="3" t="s">
        <v>4</v>
      </c>
    </row>
    <row r="176" spans="1:5" hidden="1" x14ac:dyDescent="0.25">
      <c r="A176" s="3" t="s">
        <v>348</v>
      </c>
      <c r="B176" s="3" t="s">
        <v>349</v>
      </c>
      <c r="C176" s="3" t="s">
        <v>3</v>
      </c>
      <c r="D176" s="3" t="s">
        <v>3</v>
      </c>
      <c r="E176" s="3" t="s">
        <v>4</v>
      </c>
    </row>
    <row r="177" spans="1:5" hidden="1" x14ac:dyDescent="0.25">
      <c r="A177" s="3" t="s">
        <v>350</v>
      </c>
      <c r="B177" s="3" t="s">
        <v>351</v>
      </c>
      <c r="C177" s="3" t="s">
        <v>3</v>
      </c>
      <c r="D177" s="3" t="s">
        <v>3</v>
      </c>
      <c r="E177" s="3" t="s">
        <v>4</v>
      </c>
    </row>
    <row r="178" spans="1:5" hidden="1" x14ac:dyDescent="0.25">
      <c r="A178" s="3" t="s">
        <v>352</v>
      </c>
      <c r="B178" s="3" t="s">
        <v>353</v>
      </c>
      <c r="C178" s="3" t="s">
        <v>3</v>
      </c>
      <c r="D178" s="3" t="s">
        <v>3</v>
      </c>
      <c r="E178" s="3" t="s">
        <v>4</v>
      </c>
    </row>
    <row r="179" spans="1:5" hidden="1" x14ac:dyDescent="0.25">
      <c r="A179" s="3" t="s">
        <v>354</v>
      </c>
      <c r="B179" s="3" t="s">
        <v>355</v>
      </c>
      <c r="C179" s="3" t="s">
        <v>3</v>
      </c>
      <c r="D179" s="3" t="s">
        <v>3</v>
      </c>
      <c r="E179" s="3" t="s">
        <v>4</v>
      </c>
    </row>
    <row r="180" spans="1:5" hidden="1" x14ac:dyDescent="0.25">
      <c r="A180" s="3" t="s">
        <v>356</v>
      </c>
      <c r="B180" s="3" t="s">
        <v>357</v>
      </c>
      <c r="C180" s="3" t="s">
        <v>3</v>
      </c>
      <c r="D180" s="3" t="s">
        <v>3</v>
      </c>
      <c r="E180" s="3" t="s">
        <v>4</v>
      </c>
    </row>
    <row r="181" spans="1:5" hidden="1" x14ac:dyDescent="0.25">
      <c r="A181" s="3" t="s">
        <v>358</v>
      </c>
      <c r="B181" s="3" t="s">
        <v>359</v>
      </c>
      <c r="C181" s="3" t="s">
        <v>3</v>
      </c>
      <c r="D181" s="3" t="s">
        <v>3</v>
      </c>
      <c r="E181" s="3" t="s">
        <v>4</v>
      </c>
    </row>
    <row r="182" spans="1:5" hidden="1" x14ac:dyDescent="0.25">
      <c r="A182" s="3" t="s">
        <v>360</v>
      </c>
      <c r="B182" s="3" t="s">
        <v>361</v>
      </c>
      <c r="C182" s="3" t="s">
        <v>3</v>
      </c>
      <c r="D182" s="3" t="s">
        <v>3</v>
      </c>
      <c r="E182" s="3" t="s">
        <v>4</v>
      </c>
    </row>
    <row r="183" spans="1:5" hidden="1" x14ac:dyDescent="0.25">
      <c r="A183" s="3" t="s">
        <v>362</v>
      </c>
      <c r="B183" s="3" t="s">
        <v>363</v>
      </c>
      <c r="C183" s="3" t="s">
        <v>3</v>
      </c>
      <c r="D183" s="3" t="s">
        <v>3</v>
      </c>
      <c r="E183" s="3" t="s">
        <v>4</v>
      </c>
    </row>
    <row r="184" spans="1:5" hidden="1" x14ac:dyDescent="0.25">
      <c r="A184" s="3" t="s">
        <v>364</v>
      </c>
      <c r="B184" s="3" t="s">
        <v>365</v>
      </c>
      <c r="C184" s="3" t="s">
        <v>3</v>
      </c>
      <c r="D184" s="3" t="s">
        <v>3</v>
      </c>
      <c r="E184" s="3" t="s">
        <v>4</v>
      </c>
    </row>
    <row r="185" spans="1:5" hidden="1" x14ac:dyDescent="0.25">
      <c r="A185" s="3" t="s">
        <v>366</v>
      </c>
      <c r="B185" s="3" t="s">
        <v>367</v>
      </c>
      <c r="C185" s="3" t="s">
        <v>3</v>
      </c>
      <c r="D185" s="3" t="s">
        <v>3</v>
      </c>
      <c r="E185" s="3" t="s">
        <v>4</v>
      </c>
    </row>
    <row r="186" spans="1:5" hidden="1" x14ac:dyDescent="0.25">
      <c r="A186" s="3" t="s">
        <v>368</v>
      </c>
      <c r="B186" s="3" t="s">
        <v>369</v>
      </c>
      <c r="C186" s="3" t="s">
        <v>3</v>
      </c>
      <c r="D186" s="3" t="s">
        <v>3</v>
      </c>
      <c r="E186" s="3" t="s">
        <v>4</v>
      </c>
    </row>
    <row r="187" spans="1:5" hidden="1" x14ac:dyDescent="0.25">
      <c r="A187" s="3" t="s">
        <v>370</v>
      </c>
      <c r="B187" s="3" t="s">
        <v>371</v>
      </c>
      <c r="C187" s="3" t="s">
        <v>3</v>
      </c>
      <c r="D187" s="3" t="s">
        <v>3</v>
      </c>
      <c r="E187" s="3" t="s">
        <v>4</v>
      </c>
    </row>
    <row r="188" spans="1:5" hidden="1" x14ac:dyDescent="0.25">
      <c r="A188" s="3" t="s">
        <v>372</v>
      </c>
      <c r="B188" s="3" t="s">
        <v>373</v>
      </c>
      <c r="C188" s="3" t="s">
        <v>3</v>
      </c>
      <c r="D188" s="3" t="s">
        <v>3</v>
      </c>
      <c r="E188" s="3" t="s">
        <v>4</v>
      </c>
    </row>
    <row r="189" spans="1:5" hidden="1" x14ac:dyDescent="0.25">
      <c r="A189" s="3" t="s">
        <v>374</v>
      </c>
      <c r="B189" s="3" t="s">
        <v>375</v>
      </c>
      <c r="C189" s="3" t="s">
        <v>3</v>
      </c>
      <c r="D189" s="3" t="s">
        <v>3</v>
      </c>
      <c r="E189" s="3" t="s">
        <v>4</v>
      </c>
    </row>
    <row r="190" spans="1:5" hidden="1" x14ac:dyDescent="0.25">
      <c r="A190" s="3" t="s">
        <v>376</v>
      </c>
      <c r="B190" s="3" t="s">
        <v>377</v>
      </c>
      <c r="C190" s="3" t="s">
        <v>3</v>
      </c>
      <c r="D190" s="3" t="s">
        <v>3</v>
      </c>
      <c r="E190" s="3" t="s">
        <v>4</v>
      </c>
    </row>
    <row r="191" spans="1:5" hidden="1" x14ac:dyDescent="0.25">
      <c r="A191" s="3" t="s">
        <v>378</v>
      </c>
      <c r="B191" s="3" t="s">
        <v>379</v>
      </c>
      <c r="C191" s="3" t="s">
        <v>3</v>
      </c>
      <c r="D191" s="3" t="s">
        <v>3</v>
      </c>
      <c r="E191" s="3" t="s">
        <v>4</v>
      </c>
    </row>
    <row r="192" spans="1:5" hidden="1" x14ac:dyDescent="0.25">
      <c r="A192" s="3" t="s">
        <v>380</v>
      </c>
      <c r="B192" s="3" t="s">
        <v>381</v>
      </c>
      <c r="C192" s="3" t="s">
        <v>3</v>
      </c>
      <c r="D192" s="3" t="s">
        <v>3</v>
      </c>
      <c r="E192" s="3" t="s">
        <v>4</v>
      </c>
    </row>
    <row r="193" spans="1:5" hidden="1" x14ac:dyDescent="0.25">
      <c r="A193" s="3" t="s">
        <v>382</v>
      </c>
      <c r="B193" s="3" t="s">
        <v>383</v>
      </c>
      <c r="C193" s="3" t="s">
        <v>3</v>
      </c>
      <c r="D193" s="3" t="s">
        <v>3</v>
      </c>
      <c r="E193" s="3" t="s">
        <v>4</v>
      </c>
    </row>
    <row r="194" spans="1:5" hidden="1" x14ac:dyDescent="0.25">
      <c r="A194" s="3" t="s">
        <v>384</v>
      </c>
      <c r="B194" s="3" t="s">
        <v>385</v>
      </c>
      <c r="C194" s="3" t="s">
        <v>3</v>
      </c>
      <c r="D194" s="3" t="s">
        <v>3</v>
      </c>
      <c r="E194" s="3" t="s">
        <v>4</v>
      </c>
    </row>
    <row r="195" spans="1:5" hidden="1" x14ac:dyDescent="0.25">
      <c r="A195" s="3" t="s">
        <v>386</v>
      </c>
      <c r="B195" s="3" t="s">
        <v>387</v>
      </c>
      <c r="C195" s="3" t="s">
        <v>3</v>
      </c>
      <c r="D195" s="3" t="s">
        <v>3</v>
      </c>
      <c r="E195" s="3" t="s">
        <v>4</v>
      </c>
    </row>
    <row r="196" spans="1:5" hidden="1" x14ac:dyDescent="0.25">
      <c r="A196" s="3" t="s">
        <v>388</v>
      </c>
      <c r="B196" s="3" t="s">
        <v>389</v>
      </c>
      <c r="C196" s="3" t="s">
        <v>3</v>
      </c>
      <c r="D196" s="3" t="s">
        <v>3</v>
      </c>
      <c r="E196" s="3" t="s">
        <v>4</v>
      </c>
    </row>
    <row r="197" spans="1:5" hidden="1" x14ac:dyDescent="0.25">
      <c r="A197" s="3" t="s">
        <v>390</v>
      </c>
      <c r="B197" s="3" t="s">
        <v>391</v>
      </c>
      <c r="C197" s="3" t="s">
        <v>3</v>
      </c>
      <c r="D197" s="3" t="s">
        <v>3</v>
      </c>
      <c r="E197" s="3" t="s">
        <v>4</v>
      </c>
    </row>
    <row r="198" spans="1:5" hidden="1" x14ac:dyDescent="0.25">
      <c r="A198" s="3" t="s">
        <v>392</v>
      </c>
      <c r="B198" s="3" t="s">
        <v>393</v>
      </c>
      <c r="C198" s="3" t="s">
        <v>3</v>
      </c>
      <c r="D198" s="3" t="s">
        <v>3</v>
      </c>
      <c r="E198" s="3" t="s">
        <v>4</v>
      </c>
    </row>
    <row r="199" spans="1:5" hidden="1" x14ac:dyDescent="0.25">
      <c r="A199" s="3" t="s">
        <v>394</v>
      </c>
      <c r="B199" s="3" t="s">
        <v>395</v>
      </c>
      <c r="C199" s="3" t="s">
        <v>3</v>
      </c>
      <c r="D199" s="3" t="s">
        <v>3</v>
      </c>
      <c r="E199" s="3" t="s">
        <v>4</v>
      </c>
    </row>
    <row r="200" spans="1:5" hidden="1" x14ac:dyDescent="0.25">
      <c r="A200" s="3" t="s">
        <v>396</v>
      </c>
      <c r="B200" s="3" t="s">
        <v>397</v>
      </c>
      <c r="C200" s="3" t="s">
        <v>3</v>
      </c>
      <c r="D200" s="3" t="s">
        <v>3</v>
      </c>
      <c r="E200" s="3" t="s">
        <v>4</v>
      </c>
    </row>
    <row r="201" spans="1:5" hidden="1" x14ac:dyDescent="0.25">
      <c r="A201" s="3" t="s">
        <v>398</v>
      </c>
      <c r="B201" s="3" t="s">
        <v>399</v>
      </c>
      <c r="C201" s="3" t="s">
        <v>3</v>
      </c>
      <c r="D201" s="3" t="s">
        <v>3</v>
      </c>
      <c r="E201" s="3" t="s">
        <v>4</v>
      </c>
    </row>
    <row r="202" spans="1:5" hidden="1" x14ac:dyDescent="0.25">
      <c r="A202" s="3" t="s">
        <v>400</v>
      </c>
      <c r="B202" s="3" t="s">
        <v>401</v>
      </c>
      <c r="C202" s="3" t="s">
        <v>3</v>
      </c>
      <c r="D202" s="3" t="s">
        <v>3</v>
      </c>
      <c r="E202" s="3" t="s">
        <v>4</v>
      </c>
    </row>
    <row r="203" spans="1:5" hidden="1" x14ac:dyDescent="0.25">
      <c r="A203" s="3" t="s">
        <v>402</v>
      </c>
      <c r="B203" s="3" t="s">
        <v>403</v>
      </c>
      <c r="C203" s="3" t="s">
        <v>3</v>
      </c>
      <c r="D203" s="3" t="s">
        <v>3</v>
      </c>
      <c r="E203" s="3" t="s">
        <v>4</v>
      </c>
    </row>
    <row r="204" spans="1:5" hidden="1" x14ac:dyDescent="0.25">
      <c r="A204" s="3" t="s">
        <v>404</v>
      </c>
      <c r="B204" s="3" t="s">
        <v>405</v>
      </c>
      <c r="C204" s="3" t="s">
        <v>3</v>
      </c>
      <c r="D204" s="3" t="s">
        <v>3</v>
      </c>
      <c r="E204" s="3" t="s">
        <v>4</v>
      </c>
    </row>
    <row r="205" spans="1:5" hidden="1" x14ac:dyDescent="0.25">
      <c r="A205" s="3" t="s">
        <v>406</v>
      </c>
      <c r="B205" s="3" t="s">
        <v>407</v>
      </c>
      <c r="C205" s="3" t="s">
        <v>3</v>
      </c>
      <c r="D205" s="3" t="s">
        <v>3</v>
      </c>
      <c r="E205" s="3" t="s">
        <v>4</v>
      </c>
    </row>
    <row r="206" spans="1:5" hidden="1" x14ac:dyDescent="0.25">
      <c r="A206" s="3" t="s">
        <v>408</v>
      </c>
      <c r="B206" s="3" t="s">
        <v>409</v>
      </c>
      <c r="C206" s="3" t="s">
        <v>3</v>
      </c>
      <c r="D206" s="3" t="s">
        <v>3</v>
      </c>
      <c r="E206" s="3" t="s">
        <v>4</v>
      </c>
    </row>
    <row r="207" spans="1:5" hidden="1" x14ac:dyDescent="0.25">
      <c r="A207" s="3" t="s">
        <v>410</v>
      </c>
      <c r="B207" s="3" t="s">
        <v>411</v>
      </c>
      <c r="C207" s="3" t="s">
        <v>3</v>
      </c>
      <c r="D207" s="3" t="s">
        <v>3</v>
      </c>
      <c r="E207" s="3" t="s">
        <v>4</v>
      </c>
    </row>
    <row r="208" spans="1:5" hidden="1" x14ac:dyDescent="0.25">
      <c r="A208" s="3" t="s">
        <v>412</v>
      </c>
      <c r="B208" s="3" t="s">
        <v>413</v>
      </c>
      <c r="C208" s="3" t="s">
        <v>3</v>
      </c>
      <c r="D208" s="3" t="s">
        <v>3</v>
      </c>
      <c r="E208" s="3" t="s">
        <v>4</v>
      </c>
    </row>
    <row r="209" spans="1:5" hidden="1" x14ac:dyDescent="0.25">
      <c r="A209" s="3" t="s">
        <v>414</v>
      </c>
      <c r="B209" s="3" t="s">
        <v>415</v>
      </c>
      <c r="C209" s="3" t="s">
        <v>3</v>
      </c>
      <c r="D209" s="3" t="s">
        <v>3</v>
      </c>
      <c r="E209" s="3" t="s">
        <v>4</v>
      </c>
    </row>
    <row r="210" spans="1:5" hidden="1" x14ac:dyDescent="0.25">
      <c r="A210" s="3" t="s">
        <v>416</v>
      </c>
      <c r="B210" s="3" t="s">
        <v>417</v>
      </c>
      <c r="C210" s="3" t="s">
        <v>3</v>
      </c>
      <c r="D210" s="3" t="s">
        <v>3</v>
      </c>
      <c r="E210" s="3" t="s">
        <v>4</v>
      </c>
    </row>
    <row r="211" spans="1:5" hidden="1" x14ac:dyDescent="0.25">
      <c r="A211" s="3" t="s">
        <v>418</v>
      </c>
      <c r="B211" s="3" t="s">
        <v>419</v>
      </c>
      <c r="C211" s="3" t="s">
        <v>3</v>
      </c>
      <c r="D211" s="3" t="s">
        <v>3</v>
      </c>
      <c r="E211" s="3" t="s">
        <v>4</v>
      </c>
    </row>
    <row r="212" spans="1:5" hidden="1" x14ac:dyDescent="0.25">
      <c r="A212" s="3" t="s">
        <v>420</v>
      </c>
      <c r="B212" s="3" t="s">
        <v>421</v>
      </c>
      <c r="C212" s="3" t="s">
        <v>3</v>
      </c>
      <c r="D212" s="3" t="s">
        <v>3</v>
      </c>
      <c r="E212" s="3" t="s">
        <v>4</v>
      </c>
    </row>
    <row r="213" spans="1:5" hidden="1" x14ac:dyDescent="0.25">
      <c r="A213" s="3" t="s">
        <v>422</v>
      </c>
      <c r="B213" s="3" t="s">
        <v>423</v>
      </c>
      <c r="C213" s="3" t="s">
        <v>3</v>
      </c>
      <c r="D213" s="3" t="s">
        <v>3</v>
      </c>
      <c r="E213" s="3" t="s">
        <v>4</v>
      </c>
    </row>
    <row r="214" spans="1:5" hidden="1" x14ac:dyDescent="0.25">
      <c r="A214" s="3" t="s">
        <v>424</v>
      </c>
      <c r="B214" s="3" t="s">
        <v>425</v>
      </c>
      <c r="C214" s="3" t="s">
        <v>3</v>
      </c>
      <c r="D214" s="3" t="s">
        <v>3</v>
      </c>
      <c r="E214" s="3" t="s">
        <v>4</v>
      </c>
    </row>
    <row r="215" spans="1:5" hidden="1" x14ac:dyDescent="0.25">
      <c r="A215" s="3" t="s">
        <v>426</v>
      </c>
      <c r="B215" s="3" t="s">
        <v>427</v>
      </c>
      <c r="C215" s="3" t="s">
        <v>3</v>
      </c>
      <c r="D215" s="3" t="s">
        <v>3</v>
      </c>
      <c r="E215" s="3" t="s">
        <v>4</v>
      </c>
    </row>
    <row r="216" spans="1:5" hidden="1" x14ac:dyDescent="0.25">
      <c r="A216" s="3" t="s">
        <v>428</v>
      </c>
      <c r="B216" s="3" t="s">
        <v>429</v>
      </c>
      <c r="C216" s="3" t="s">
        <v>3</v>
      </c>
      <c r="D216" s="3" t="s">
        <v>3</v>
      </c>
      <c r="E216" s="3" t="s">
        <v>4</v>
      </c>
    </row>
    <row r="217" spans="1:5" hidden="1" x14ac:dyDescent="0.25">
      <c r="A217" s="3" t="s">
        <v>430</v>
      </c>
      <c r="B217" s="3" t="s">
        <v>431</v>
      </c>
      <c r="C217" s="3" t="s">
        <v>3</v>
      </c>
      <c r="D217" s="3" t="s">
        <v>3</v>
      </c>
      <c r="E217" s="3" t="s">
        <v>4</v>
      </c>
    </row>
    <row r="218" spans="1:5" hidden="1" x14ac:dyDescent="0.25">
      <c r="A218" s="3" t="s">
        <v>432</v>
      </c>
      <c r="B218" s="3" t="s">
        <v>433</v>
      </c>
      <c r="C218" s="3" t="s">
        <v>3</v>
      </c>
      <c r="D218" s="3" t="s">
        <v>3</v>
      </c>
      <c r="E218" s="3" t="s">
        <v>4</v>
      </c>
    </row>
    <row r="219" spans="1:5" hidden="1" x14ac:dyDescent="0.25">
      <c r="A219" s="3" t="s">
        <v>434</v>
      </c>
      <c r="B219" s="3" t="s">
        <v>435</v>
      </c>
      <c r="C219" s="3" t="s">
        <v>3</v>
      </c>
      <c r="D219" s="3" t="s">
        <v>3</v>
      </c>
      <c r="E219" s="3" t="s">
        <v>4</v>
      </c>
    </row>
    <row r="220" spans="1:5" hidden="1" x14ac:dyDescent="0.25">
      <c r="A220" s="3" t="s">
        <v>436</v>
      </c>
      <c r="B220" s="3" t="s">
        <v>437</v>
      </c>
      <c r="C220" s="3" t="s">
        <v>3</v>
      </c>
      <c r="D220" s="3" t="s">
        <v>3</v>
      </c>
      <c r="E220" s="3" t="s">
        <v>4</v>
      </c>
    </row>
    <row r="221" spans="1:5" hidden="1" x14ac:dyDescent="0.25">
      <c r="A221" s="3" t="s">
        <v>438</v>
      </c>
      <c r="B221" s="3" t="s">
        <v>439</v>
      </c>
      <c r="C221" s="3" t="s">
        <v>3</v>
      </c>
      <c r="D221" s="3" t="s">
        <v>3</v>
      </c>
      <c r="E221" s="3" t="s">
        <v>4</v>
      </c>
    </row>
    <row r="222" spans="1:5" hidden="1" x14ac:dyDescent="0.25">
      <c r="A222" s="3" t="s">
        <v>440</v>
      </c>
      <c r="B222" s="3" t="s">
        <v>441</v>
      </c>
      <c r="C222" s="3" t="s">
        <v>3</v>
      </c>
      <c r="D222" s="3" t="s">
        <v>3</v>
      </c>
      <c r="E222" s="3" t="s">
        <v>4</v>
      </c>
    </row>
    <row r="223" spans="1:5" hidden="1" x14ac:dyDescent="0.25">
      <c r="A223" s="3" t="s">
        <v>442</v>
      </c>
      <c r="B223" s="3" t="s">
        <v>443</v>
      </c>
      <c r="C223" s="3" t="s">
        <v>3</v>
      </c>
      <c r="D223" s="3" t="s">
        <v>3</v>
      </c>
      <c r="E223" s="3" t="s">
        <v>4</v>
      </c>
    </row>
    <row r="224" spans="1:5" hidden="1" x14ac:dyDescent="0.25">
      <c r="A224" s="3" t="s">
        <v>444</v>
      </c>
      <c r="B224" s="3" t="s">
        <v>445</v>
      </c>
      <c r="C224" s="3" t="s">
        <v>3</v>
      </c>
      <c r="D224" s="3" t="s">
        <v>3</v>
      </c>
      <c r="E224" s="3" t="s">
        <v>4</v>
      </c>
    </row>
    <row r="225" spans="1:5" hidden="1" x14ac:dyDescent="0.25">
      <c r="A225" s="3" t="s">
        <v>446</v>
      </c>
      <c r="B225" s="3" t="s">
        <v>447</v>
      </c>
      <c r="C225" s="3" t="s">
        <v>3</v>
      </c>
      <c r="D225" s="3" t="s">
        <v>3</v>
      </c>
      <c r="E225" s="3" t="s">
        <v>4</v>
      </c>
    </row>
    <row r="226" spans="1:5" hidden="1" x14ac:dyDescent="0.25">
      <c r="A226" s="3" t="s">
        <v>448</v>
      </c>
      <c r="B226" s="3" t="s">
        <v>449</v>
      </c>
      <c r="C226" s="3" t="s">
        <v>3</v>
      </c>
      <c r="D226" s="3" t="s">
        <v>3</v>
      </c>
      <c r="E226" s="3" t="s">
        <v>4</v>
      </c>
    </row>
    <row r="227" spans="1:5" hidden="1" x14ac:dyDescent="0.25">
      <c r="A227" s="3" t="s">
        <v>450</v>
      </c>
      <c r="B227" s="3" t="s">
        <v>451</v>
      </c>
      <c r="C227" s="3" t="s">
        <v>3</v>
      </c>
      <c r="D227" s="3" t="s">
        <v>3</v>
      </c>
      <c r="E227" s="3" t="s">
        <v>4</v>
      </c>
    </row>
    <row r="228" spans="1:5" hidden="1" x14ac:dyDescent="0.25">
      <c r="A228" s="3" t="s">
        <v>452</v>
      </c>
      <c r="B228" s="3" t="s">
        <v>453</v>
      </c>
      <c r="C228" s="3" t="s">
        <v>3</v>
      </c>
      <c r="D228" s="3" t="s">
        <v>3</v>
      </c>
      <c r="E228" s="3" t="s">
        <v>4</v>
      </c>
    </row>
    <row r="229" spans="1:5" hidden="1" x14ac:dyDescent="0.25">
      <c r="A229" s="3" t="s">
        <v>454</v>
      </c>
      <c r="B229" s="3" t="s">
        <v>455</v>
      </c>
      <c r="C229" s="3" t="s">
        <v>3</v>
      </c>
      <c r="D229" s="3" t="s">
        <v>3</v>
      </c>
      <c r="E229" s="3" t="s">
        <v>4</v>
      </c>
    </row>
    <row r="230" spans="1:5" hidden="1" x14ac:dyDescent="0.25">
      <c r="A230" s="3" t="s">
        <v>456</v>
      </c>
      <c r="B230" s="3" t="s">
        <v>457</v>
      </c>
      <c r="C230" s="3" t="s">
        <v>3</v>
      </c>
      <c r="D230" s="3" t="s">
        <v>3</v>
      </c>
      <c r="E230" s="3" t="s">
        <v>4</v>
      </c>
    </row>
    <row r="231" spans="1:5" hidden="1" x14ac:dyDescent="0.25">
      <c r="A231" s="3" t="s">
        <v>458</v>
      </c>
      <c r="B231" s="3" t="s">
        <v>459</v>
      </c>
      <c r="C231" s="3" t="s">
        <v>3</v>
      </c>
      <c r="D231" s="3" t="s">
        <v>3</v>
      </c>
      <c r="E231" s="3" t="s">
        <v>4</v>
      </c>
    </row>
    <row r="232" spans="1:5" hidden="1" x14ac:dyDescent="0.25">
      <c r="A232" s="3" t="s">
        <v>460</v>
      </c>
      <c r="B232" s="3" t="s">
        <v>461</v>
      </c>
      <c r="C232" s="3" t="s">
        <v>3</v>
      </c>
      <c r="D232" s="3" t="s">
        <v>3</v>
      </c>
      <c r="E232" s="3" t="s">
        <v>4</v>
      </c>
    </row>
    <row r="233" spans="1:5" hidden="1" x14ac:dyDescent="0.25">
      <c r="A233" s="3" t="s">
        <v>462</v>
      </c>
      <c r="B233" s="3" t="s">
        <v>463</v>
      </c>
      <c r="C233" s="3" t="s">
        <v>3</v>
      </c>
      <c r="D233" s="3" t="s">
        <v>3</v>
      </c>
      <c r="E233" s="3" t="s">
        <v>4</v>
      </c>
    </row>
    <row r="234" spans="1:5" hidden="1" x14ac:dyDescent="0.25">
      <c r="A234" s="3" t="s">
        <v>464</v>
      </c>
      <c r="B234" s="3" t="s">
        <v>465</v>
      </c>
      <c r="C234" s="3" t="s">
        <v>3</v>
      </c>
      <c r="D234" s="3" t="s">
        <v>3</v>
      </c>
      <c r="E234" s="3" t="s">
        <v>4</v>
      </c>
    </row>
    <row r="235" spans="1:5" hidden="1" x14ac:dyDescent="0.25">
      <c r="A235" s="3" t="s">
        <v>466</v>
      </c>
      <c r="B235" s="3" t="s">
        <v>467</v>
      </c>
      <c r="C235" s="3" t="s">
        <v>3</v>
      </c>
      <c r="D235" s="3" t="s">
        <v>3</v>
      </c>
      <c r="E235" s="3" t="s">
        <v>4</v>
      </c>
    </row>
    <row r="236" spans="1:5" hidden="1" x14ac:dyDescent="0.25">
      <c r="A236" s="3" t="s">
        <v>468</v>
      </c>
      <c r="B236" s="3" t="s">
        <v>469</v>
      </c>
      <c r="C236" s="3" t="s">
        <v>3</v>
      </c>
      <c r="D236" s="3" t="s">
        <v>3</v>
      </c>
      <c r="E236" s="3" t="s">
        <v>4</v>
      </c>
    </row>
    <row r="237" spans="1:5" hidden="1" x14ac:dyDescent="0.25">
      <c r="A237" s="3" t="s">
        <v>470</v>
      </c>
      <c r="B237" s="3" t="s">
        <v>471</v>
      </c>
      <c r="C237" s="3" t="s">
        <v>3</v>
      </c>
      <c r="D237" s="3" t="s">
        <v>3</v>
      </c>
      <c r="E237" s="3" t="s">
        <v>4</v>
      </c>
    </row>
    <row r="238" spans="1:5" hidden="1" x14ac:dyDescent="0.25">
      <c r="A238" s="3" t="s">
        <v>472</v>
      </c>
      <c r="B238" s="3" t="s">
        <v>473</v>
      </c>
      <c r="C238" s="3" t="s">
        <v>3</v>
      </c>
      <c r="D238" s="3" t="s">
        <v>3</v>
      </c>
      <c r="E238" s="3" t="s">
        <v>4</v>
      </c>
    </row>
    <row r="239" spans="1:5" hidden="1" x14ac:dyDescent="0.25">
      <c r="A239" s="3" t="s">
        <v>474</v>
      </c>
      <c r="B239" s="3" t="s">
        <v>475</v>
      </c>
      <c r="C239" s="3" t="s">
        <v>3</v>
      </c>
      <c r="D239" s="3" t="s">
        <v>3</v>
      </c>
      <c r="E239" s="3" t="s">
        <v>4</v>
      </c>
    </row>
    <row r="240" spans="1:5" hidden="1" x14ac:dyDescent="0.25">
      <c r="A240" s="3" t="s">
        <v>476</v>
      </c>
      <c r="B240" s="3" t="s">
        <v>477</v>
      </c>
      <c r="C240" s="3" t="s">
        <v>3</v>
      </c>
      <c r="D240" s="3" t="s">
        <v>3</v>
      </c>
      <c r="E240" s="3" t="s">
        <v>4</v>
      </c>
    </row>
    <row r="241" spans="1:5" hidden="1" x14ac:dyDescent="0.25">
      <c r="A241" s="3" t="s">
        <v>478</v>
      </c>
      <c r="B241" s="3" t="s">
        <v>479</v>
      </c>
      <c r="C241" s="3" t="s">
        <v>3</v>
      </c>
      <c r="D241" s="3" t="s">
        <v>3</v>
      </c>
      <c r="E241" s="3" t="s">
        <v>4</v>
      </c>
    </row>
    <row r="242" spans="1:5" hidden="1" x14ac:dyDescent="0.25">
      <c r="A242" s="3" t="s">
        <v>480</v>
      </c>
      <c r="B242" s="3" t="s">
        <v>481</v>
      </c>
      <c r="C242" s="3" t="s">
        <v>3</v>
      </c>
      <c r="D242" s="3" t="s">
        <v>3</v>
      </c>
      <c r="E242" s="3" t="s">
        <v>4</v>
      </c>
    </row>
    <row r="243" spans="1:5" hidden="1" x14ac:dyDescent="0.25">
      <c r="A243" s="3" t="s">
        <v>482</v>
      </c>
      <c r="B243" s="3" t="s">
        <v>483</v>
      </c>
      <c r="C243" s="3" t="s">
        <v>3</v>
      </c>
      <c r="D243" s="3" t="s">
        <v>3</v>
      </c>
      <c r="E243" s="3" t="s">
        <v>4</v>
      </c>
    </row>
    <row r="244" spans="1:5" hidden="1" x14ac:dyDescent="0.25">
      <c r="A244" s="3" t="s">
        <v>484</v>
      </c>
      <c r="B244" s="3" t="s">
        <v>485</v>
      </c>
      <c r="C244" s="3" t="s">
        <v>3</v>
      </c>
      <c r="D244" s="3" t="s">
        <v>3</v>
      </c>
      <c r="E244" s="3" t="s">
        <v>4</v>
      </c>
    </row>
    <row r="245" spans="1:5" hidden="1" x14ac:dyDescent="0.25">
      <c r="A245" s="3" t="s">
        <v>486</v>
      </c>
      <c r="B245" s="3" t="s">
        <v>487</v>
      </c>
      <c r="C245" s="3" t="s">
        <v>3</v>
      </c>
      <c r="D245" s="3" t="s">
        <v>3</v>
      </c>
      <c r="E245" s="3" t="s">
        <v>4</v>
      </c>
    </row>
    <row r="246" spans="1:5" hidden="1" x14ac:dyDescent="0.25">
      <c r="A246" s="3" t="s">
        <v>488</v>
      </c>
      <c r="B246" s="3" t="s">
        <v>489</v>
      </c>
      <c r="C246" s="3" t="s">
        <v>3</v>
      </c>
      <c r="D246" s="3" t="s">
        <v>3</v>
      </c>
      <c r="E246" s="3" t="s">
        <v>4</v>
      </c>
    </row>
    <row r="247" spans="1:5" hidden="1" x14ac:dyDescent="0.25">
      <c r="A247" s="3" t="s">
        <v>490</v>
      </c>
      <c r="B247" s="3" t="s">
        <v>491</v>
      </c>
      <c r="C247" s="3" t="s">
        <v>3</v>
      </c>
      <c r="D247" s="3" t="s">
        <v>3</v>
      </c>
      <c r="E247" s="3" t="s">
        <v>4</v>
      </c>
    </row>
    <row r="248" spans="1:5" hidden="1" x14ac:dyDescent="0.25">
      <c r="A248" s="3" t="s">
        <v>492</v>
      </c>
      <c r="B248" s="3" t="s">
        <v>493</v>
      </c>
      <c r="C248" s="3" t="s">
        <v>3</v>
      </c>
      <c r="D248" s="3" t="s">
        <v>3</v>
      </c>
      <c r="E248" s="3" t="s">
        <v>4</v>
      </c>
    </row>
    <row r="249" spans="1:5" hidden="1" x14ac:dyDescent="0.25">
      <c r="A249" s="3" t="s">
        <v>494</v>
      </c>
      <c r="B249" s="3" t="s">
        <v>495</v>
      </c>
      <c r="C249" s="3" t="s">
        <v>3</v>
      </c>
      <c r="D249" s="3" t="s">
        <v>3</v>
      </c>
      <c r="E249" s="3" t="s">
        <v>4</v>
      </c>
    </row>
    <row r="250" spans="1:5" hidden="1" x14ac:dyDescent="0.25">
      <c r="A250" s="3" t="s">
        <v>496</v>
      </c>
      <c r="B250" s="3" t="s">
        <v>497</v>
      </c>
      <c r="C250" s="3" t="s">
        <v>3</v>
      </c>
      <c r="D250" s="3" t="s">
        <v>3</v>
      </c>
      <c r="E250" s="3" t="s">
        <v>4</v>
      </c>
    </row>
    <row r="251" spans="1:5" hidden="1" x14ac:dyDescent="0.25">
      <c r="A251" s="3" t="s">
        <v>498</v>
      </c>
      <c r="B251" s="3" t="s">
        <v>499</v>
      </c>
      <c r="C251" s="3" t="s">
        <v>3</v>
      </c>
      <c r="D251" s="3" t="s">
        <v>3</v>
      </c>
      <c r="E251" s="3" t="s">
        <v>4</v>
      </c>
    </row>
    <row r="252" spans="1:5" hidden="1" x14ac:dyDescent="0.25">
      <c r="A252" s="3" t="s">
        <v>500</v>
      </c>
      <c r="B252" s="3" t="s">
        <v>501</v>
      </c>
      <c r="C252" s="3" t="s">
        <v>3</v>
      </c>
      <c r="D252" s="3" t="s">
        <v>3</v>
      </c>
      <c r="E252" s="3" t="s">
        <v>4</v>
      </c>
    </row>
    <row r="253" spans="1:5" hidden="1" x14ac:dyDescent="0.25">
      <c r="A253" s="3" t="s">
        <v>502</v>
      </c>
      <c r="B253" s="3" t="s">
        <v>503</v>
      </c>
      <c r="C253" s="3" t="s">
        <v>3</v>
      </c>
      <c r="D253" s="3" t="s">
        <v>3</v>
      </c>
      <c r="E253" s="3" t="s">
        <v>4</v>
      </c>
    </row>
    <row r="254" spans="1:5" hidden="1" x14ac:dyDescent="0.25">
      <c r="A254" s="3" t="s">
        <v>504</v>
      </c>
      <c r="B254" s="3" t="s">
        <v>505</v>
      </c>
      <c r="C254" s="3" t="s">
        <v>3</v>
      </c>
      <c r="D254" s="3" t="s">
        <v>3</v>
      </c>
      <c r="E254" s="3" t="s">
        <v>4</v>
      </c>
    </row>
    <row r="255" spans="1:5" hidden="1" x14ac:dyDescent="0.25">
      <c r="A255" s="3" t="s">
        <v>506</v>
      </c>
      <c r="B255" s="3" t="s">
        <v>507</v>
      </c>
      <c r="C255" s="3" t="s">
        <v>3</v>
      </c>
      <c r="D255" s="3" t="s">
        <v>3</v>
      </c>
      <c r="E255" s="3" t="s">
        <v>4</v>
      </c>
    </row>
    <row r="256" spans="1:5" hidden="1" x14ac:dyDescent="0.25">
      <c r="A256" s="3" t="s">
        <v>508</v>
      </c>
      <c r="B256" s="3" t="s">
        <v>509</v>
      </c>
      <c r="C256" s="3" t="s">
        <v>3</v>
      </c>
      <c r="D256" s="3" t="s">
        <v>3</v>
      </c>
      <c r="E256" s="3" t="s">
        <v>4</v>
      </c>
    </row>
    <row r="257" spans="1:5" hidden="1" x14ac:dyDescent="0.25">
      <c r="A257" s="3" t="s">
        <v>510</v>
      </c>
      <c r="B257" s="3" t="s">
        <v>511</v>
      </c>
      <c r="C257" s="3" t="s">
        <v>3</v>
      </c>
      <c r="D257" s="3" t="s">
        <v>3</v>
      </c>
      <c r="E257" s="3" t="s">
        <v>4</v>
      </c>
    </row>
    <row r="258" spans="1:5" hidden="1" x14ac:dyDescent="0.25">
      <c r="A258" s="3" t="s">
        <v>512</v>
      </c>
      <c r="B258" s="3" t="s">
        <v>513</v>
      </c>
      <c r="C258" s="3" t="s">
        <v>3</v>
      </c>
      <c r="D258" s="3" t="s">
        <v>3</v>
      </c>
      <c r="E258" s="3" t="s">
        <v>4</v>
      </c>
    </row>
    <row r="259" spans="1:5" hidden="1" x14ac:dyDescent="0.25">
      <c r="A259" s="3" t="s">
        <v>514</v>
      </c>
      <c r="B259" s="3" t="s">
        <v>515</v>
      </c>
      <c r="C259" s="3" t="s">
        <v>3</v>
      </c>
      <c r="D259" s="3" t="s">
        <v>3</v>
      </c>
      <c r="E259" s="3" t="s">
        <v>4</v>
      </c>
    </row>
    <row r="260" spans="1:5" hidden="1" x14ac:dyDescent="0.25">
      <c r="A260" s="3" t="s">
        <v>516</v>
      </c>
      <c r="B260" s="3" t="s">
        <v>517</v>
      </c>
      <c r="C260" s="3" t="s">
        <v>3</v>
      </c>
      <c r="D260" s="3" t="s">
        <v>3</v>
      </c>
      <c r="E260" s="3" t="s">
        <v>4</v>
      </c>
    </row>
    <row r="261" spans="1:5" hidden="1" x14ac:dyDescent="0.25">
      <c r="A261" s="3" t="s">
        <v>518</v>
      </c>
      <c r="B261" s="3" t="s">
        <v>519</v>
      </c>
      <c r="C261" s="3" t="s">
        <v>3</v>
      </c>
      <c r="D261" s="3" t="s">
        <v>3</v>
      </c>
      <c r="E261" s="3" t="s">
        <v>4</v>
      </c>
    </row>
    <row r="262" spans="1:5" hidden="1" x14ac:dyDescent="0.25">
      <c r="A262" s="3" t="s">
        <v>520</v>
      </c>
      <c r="B262" s="3" t="s">
        <v>521</v>
      </c>
      <c r="C262" s="3" t="s">
        <v>3</v>
      </c>
      <c r="D262" s="3" t="s">
        <v>3</v>
      </c>
      <c r="E262" s="3" t="s">
        <v>4</v>
      </c>
    </row>
    <row r="263" spans="1:5" hidden="1" x14ac:dyDescent="0.25">
      <c r="A263" s="3" t="s">
        <v>522</v>
      </c>
      <c r="B263" s="3" t="s">
        <v>523</v>
      </c>
      <c r="C263" s="3" t="s">
        <v>3</v>
      </c>
      <c r="D263" s="3" t="s">
        <v>3</v>
      </c>
      <c r="E263" s="3" t="s">
        <v>4</v>
      </c>
    </row>
    <row r="264" spans="1:5" hidden="1" x14ac:dyDescent="0.25">
      <c r="A264" s="3" t="s">
        <v>524</v>
      </c>
      <c r="B264" s="3" t="s">
        <v>525</v>
      </c>
      <c r="C264" s="3" t="s">
        <v>3</v>
      </c>
      <c r="D264" s="3" t="s">
        <v>3</v>
      </c>
      <c r="E264" s="3" t="s">
        <v>4</v>
      </c>
    </row>
    <row r="265" spans="1:5" hidden="1" x14ac:dyDescent="0.25">
      <c r="A265" s="3" t="s">
        <v>526</v>
      </c>
      <c r="B265" s="3" t="s">
        <v>527</v>
      </c>
      <c r="C265" s="3" t="s">
        <v>3</v>
      </c>
      <c r="D265" s="3" t="s">
        <v>3</v>
      </c>
      <c r="E265" s="3" t="s">
        <v>4</v>
      </c>
    </row>
    <row r="266" spans="1:5" hidden="1" x14ac:dyDescent="0.25">
      <c r="A266" s="3" t="s">
        <v>528</v>
      </c>
      <c r="B266" s="3" t="s">
        <v>529</v>
      </c>
      <c r="C266" s="3" t="s">
        <v>3</v>
      </c>
      <c r="D266" s="3" t="s">
        <v>3</v>
      </c>
      <c r="E266" s="3" t="s">
        <v>4</v>
      </c>
    </row>
    <row r="267" spans="1:5" hidden="1" x14ac:dyDescent="0.25">
      <c r="A267" s="3" t="s">
        <v>530</v>
      </c>
      <c r="B267" s="3" t="s">
        <v>531</v>
      </c>
      <c r="C267" s="3" t="s">
        <v>3</v>
      </c>
      <c r="D267" s="3" t="s">
        <v>3</v>
      </c>
      <c r="E267" s="3" t="s">
        <v>4</v>
      </c>
    </row>
    <row r="268" spans="1:5" hidden="1" x14ac:dyDescent="0.25">
      <c r="A268" s="3" t="s">
        <v>532</v>
      </c>
      <c r="B268" s="3" t="s">
        <v>533</v>
      </c>
      <c r="C268" s="3" t="s">
        <v>3</v>
      </c>
      <c r="D268" s="3" t="s">
        <v>3</v>
      </c>
      <c r="E268" s="3" t="s">
        <v>4</v>
      </c>
    </row>
    <row r="269" spans="1:5" hidden="1" x14ac:dyDescent="0.25">
      <c r="A269" s="3" t="s">
        <v>534</v>
      </c>
      <c r="B269" s="3" t="s">
        <v>535</v>
      </c>
      <c r="C269" s="3" t="s">
        <v>3</v>
      </c>
      <c r="D269" s="3" t="s">
        <v>3</v>
      </c>
      <c r="E269" s="3" t="s">
        <v>4</v>
      </c>
    </row>
    <row r="270" spans="1:5" hidden="1" x14ac:dyDescent="0.25">
      <c r="A270" s="3" t="s">
        <v>536</v>
      </c>
      <c r="B270" s="3" t="s">
        <v>537</v>
      </c>
      <c r="C270" s="3" t="s">
        <v>3</v>
      </c>
      <c r="D270" s="3" t="s">
        <v>3</v>
      </c>
      <c r="E270" s="3" t="s">
        <v>4</v>
      </c>
    </row>
    <row r="271" spans="1:5" hidden="1" x14ac:dyDescent="0.25">
      <c r="A271" s="3" t="s">
        <v>538</v>
      </c>
      <c r="B271" s="3" t="s">
        <v>539</v>
      </c>
      <c r="C271" s="3" t="s">
        <v>3</v>
      </c>
      <c r="D271" s="3" t="s">
        <v>3</v>
      </c>
      <c r="E271" s="3" t="s">
        <v>4</v>
      </c>
    </row>
    <row r="272" spans="1:5" hidden="1" x14ac:dyDescent="0.25">
      <c r="A272" s="3" t="s">
        <v>540</v>
      </c>
      <c r="B272" s="3" t="s">
        <v>541</v>
      </c>
      <c r="C272" s="3" t="s">
        <v>3</v>
      </c>
      <c r="D272" s="3" t="s">
        <v>3</v>
      </c>
      <c r="E272" s="3" t="s">
        <v>4</v>
      </c>
    </row>
    <row r="273" spans="1:5" hidden="1" x14ac:dyDescent="0.25">
      <c r="A273" s="3" t="s">
        <v>542</v>
      </c>
      <c r="B273" s="3" t="s">
        <v>543</v>
      </c>
      <c r="C273" s="3" t="s">
        <v>3</v>
      </c>
      <c r="D273" s="3" t="s">
        <v>3</v>
      </c>
      <c r="E273" s="3" t="s">
        <v>4</v>
      </c>
    </row>
    <row r="274" spans="1:5" hidden="1" x14ac:dyDescent="0.25">
      <c r="A274" s="3" t="s">
        <v>544</v>
      </c>
      <c r="B274" s="3" t="s">
        <v>545</v>
      </c>
      <c r="C274" s="3" t="s">
        <v>3</v>
      </c>
      <c r="D274" s="3" t="s">
        <v>3</v>
      </c>
      <c r="E274" s="3" t="s">
        <v>4</v>
      </c>
    </row>
    <row r="275" spans="1:5" hidden="1" x14ac:dyDescent="0.25">
      <c r="A275" s="3" t="s">
        <v>546</v>
      </c>
      <c r="B275" s="3" t="s">
        <v>547</v>
      </c>
      <c r="C275" s="3" t="s">
        <v>3</v>
      </c>
      <c r="D275" s="3" t="s">
        <v>3</v>
      </c>
      <c r="E275" s="3" t="s">
        <v>4</v>
      </c>
    </row>
    <row r="276" spans="1:5" hidden="1" x14ac:dyDescent="0.25">
      <c r="A276" s="3" t="s">
        <v>548</v>
      </c>
      <c r="B276" s="3" t="s">
        <v>549</v>
      </c>
      <c r="C276" s="3" t="s">
        <v>3</v>
      </c>
      <c r="D276" s="3" t="s">
        <v>3</v>
      </c>
      <c r="E276" s="3" t="s">
        <v>4</v>
      </c>
    </row>
    <row r="277" spans="1:5" hidden="1" x14ac:dyDescent="0.25">
      <c r="A277" s="3" t="s">
        <v>550</v>
      </c>
      <c r="B277" s="3" t="s">
        <v>551</v>
      </c>
      <c r="C277" s="3" t="s">
        <v>3</v>
      </c>
      <c r="D277" s="3" t="s">
        <v>3</v>
      </c>
      <c r="E277" s="3" t="s">
        <v>4</v>
      </c>
    </row>
    <row r="278" spans="1:5" hidden="1" x14ac:dyDescent="0.25">
      <c r="A278" s="3" t="s">
        <v>552</v>
      </c>
      <c r="B278" s="3" t="s">
        <v>553</v>
      </c>
      <c r="C278" s="3" t="s">
        <v>3</v>
      </c>
      <c r="D278" s="3" t="s">
        <v>3</v>
      </c>
      <c r="E278" s="3" t="s">
        <v>4</v>
      </c>
    </row>
    <row r="279" spans="1:5" hidden="1" x14ac:dyDescent="0.25">
      <c r="A279" s="3" t="s">
        <v>554</v>
      </c>
      <c r="B279" s="3" t="s">
        <v>555</v>
      </c>
      <c r="C279" s="3" t="s">
        <v>3</v>
      </c>
      <c r="D279" s="3" t="s">
        <v>3</v>
      </c>
      <c r="E279" s="3" t="s">
        <v>4</v>
      </c>
    </row>
    <row r="280" spans="1:5" hidden="1" x14ac:dyDescent="0.25">
      <c r="A280" s="3" t="s">
        <v>556</v>
      </c>
      <c r="B280" s="3" t="s">
        <v>557</v>
      </c>
      <c r="C280" s="3" t="s">
        <v>3</v>
      </c>
      <c r="D280" s="3" t="s">
        <v>3</v>
      </c>
      <c r="E280" s="3" t="s">
        <v>4</v>
      </c>
    </row>
    <row r="281" spans="1:5" hidden="1" x14ac:dyDescent="0.25">
      <c r="A281" s="3" t="s">
        <v>558</v>
      </c>
      <c r="B281" s="3" t="s">
        <v>559</v>
      </c>
      <c r="C281" s="3" t="s">
        <v>3</v>
      </c>
      <c r="D281" s="3" t="s">
        <v>3</v>
      </c>
      <c r="E281" s="3" t="s">
        <v>4</v>
      </c>
    </row>
    <row r="282" spans="1:5" hidden="1" x14ac:dyDescent="0.25">
      <c r="A282" s="3" t="s">
        <v>560</v>
      </c>
      <c r="B282" s="3" t="s">
        <v>561</v>
      </c>
      <c r="C282" s="3" t="s">
        <v>3</v>
      </c>
      <c r="D282" s="3" t="s">
        <v>3</v>
      </c>
      <c r="E282" s="3" t="s">
        <v>4</v>
      </c>
    </row>
    <row r="283" spans="1:5" hidden="1" x14ac:dyDescent="0.25">
      <c r="A283" s="3" t="s">
        <v>562</v>
      </c>
      <c r="B283" s="3" t="s">
        <v>563</v>
      </c>
      <c r="C283" s="3" t="s">
        <v>3</v>
      </c>
      <c r="D283" s="3" t="s">
        <v>3</v>
      </c>
      <c r="E283" s="3" t="s">
        <v>4</v>
      </c>
    </row>
    <row r="284" spans="1:5" hidden="1" x14ac:dyDescent="0.25">
      <c r="A284" s="3" t="s">
        <v>564</v>
      </c>
      <c r="B284" s="3" t="s">
        <v>565</v>
      </c>
      <c r="C284" s="3" t="s">
        <v>3</v>
      </c>
      <c r="D284" s="3" t="s">
        <v>3</v>
      </c>
      <c r="E284" s="3" t="s">
        <v>4</v>
      </c>
    </row>
    <row r="285" spans="1:5" hidden="1" x14ac:dyDescent="0.25">
      <c r="A285" s="3" t="s">
        <v>566</v>
      </c>
      <c r="B285" s="3" t="s">
        <v>567</v>
      </c>
      <c r="C285" s="3" t="s">
        <v>3</v>
      </c>
      <c r="D285" s="3" t="s">
        <v>3</v>
      </c>
      <c r="E285" s="3" t="s">
        <v>4</v>
      </c>
    </row>
    <row r="286" spans="1:5" hidden="1" x14ac:dyDescent="0.25">
      <c r="A286" s="3" t="s">
        <v>568</v>
      </c>
      <c r="B286" s="3" t="s">
        <v>569</v>
      </c>
      <c r="C286" s="3" t="s">
        <v>3</v>
      </c>
      <c r="D286" s="3" t="s">
        <v>3</v>
      </c>
      <c r="E286" s="3" t="s">
        <v>4</v>
      </c>
    </row>
    <row r="287" spans="1:5" hidden="1" x14ac:dyDescent="0.25">
      <c r="A287" s="3" t="s">
        <v>570</v>
      </c>
      <c r="B287" s="3" t="s">
        <v>571</v>
      </c>
      <c r="C287" s="3" t="s">
        <v>3</v>
      </c>
      <c r="D287" s="3" t="s">
        <v>3</v>
      </c>
      <c r="E287" s="3" t="s">
        <v>4</v>
      </c>
    </row>
    <row r="288" spans="1:5" hidden="1" x14ac:dyDescent="0.25">
      <c r="A288" s="3" t="s">
        <v>572</v>
      </c>
      <c r="B288" s="3" t="s">
        <v>573</v>
      </c>
      <c r="C288" s="3" t="s">
        <v>3</v>
      </c>
      <c r="D288" s="3" t="s">
        <v>3</v>
      </c>
      <c r="E288" s="3" t="s">
        <v>4</v>
      </c>
    </row>
    <row r="289" spans="1:5" hidden="1" x14ac:dyDescent="0.25">
      <c r="A289" s="3" t="s">
        <v>574</v>
      </c>
      <c r="B289" s="3" t="s">
        <v>575</v>
      </c>
      <c r="C289" s="3" t="s">
        <v>3</v>
      </c>
      <c r="D289" s="3" t="s">
        <v>3</v>
      </c>
      <c r="E289" s="3" t="s">
        <v>4</v>
      </c>
    </row>
    <row r="290" spans="1:5" hidden="1" x14ac:dyDescent="0.25">
      <c r="A290" s="3" t="s">
        <v>576</v>
      </c>
      <c r="B290" s="3" t="s">
        <v>577</v>
      </c>
      <c r="C290" s="3" t="s">
        <v>3</v>
      </c>
      <c r="D290" s="3" t="s">
        <v>3</v>
      </c>
      <c r="E290" s="3" t="s">
        <v>4</v>
      </c>
    </row>
    <row r="291" spans="1:5" hidden="1" x14ac:dyDescent="0.25">
      <c r="A291" s="3" t="s">
        <v>578</v>
      </c>
      <c r="B291" s="3" t="s">
        <v>579</v>
      </c>
      <c r="C291" s="3" t="s">
        <v>3</v>
      </c>
      <c r="D291" s="3" t="s">
        <v>3</v>
      </c>
      <c r="E291" s="3" t="s">
        <v>4</v>
      </c>
    </row>
    <row r="292" spans="1:5" hidden="1" x14ac:dyDescent="0.25">
      <c r="A292" s="3" t="s">
        <v>580</v>
      </c>
      <c r="B292" s="3" t="s">
        <v>581</v>
      </c>
      <c r="C292" s="3" t="s">
        <v>3</v>
      </c>
      <c r="D292" s="3" t="s">
        <v>3</v>
      </c>
      <c r="E292" s="3" t="s">
        <v>4</v>
      </c>
    </row>
    <row r="293" spans="1:5" hidden="1" x14ac:dyDescent="0.25">
      <c r="A293" s="3" t="s">
        <v>582</v>
      </c>
      <c r="B293" s="3" t="s">
        <v>583</v>
      </c>
      <c r="C293" s="3" t="s">
        <v>3</v>
      </c>
      <c r="D293" s="3" t="s">
        <v>3</v>
      </c>
      <c r="E293" s="3" t="s">
        <v>4</v>
      </c>
    </row>
    <row r="294" spans="1:5" hidden="1" x14ac:dyDescent="0.25">
      <c r="A294" s="3" t="s">
        <v>584</v>
      </c>
      <c r="B294" s="3" t="s">
        <v>585</v>
      </c>
      <c r="C294" s="3" t="s">
        <v>3</v>
      </c>
      <c r="D294" s="3" t="s">
        <v>3</v>
      </c>
      <c r="E294" s="3" t="s">
        <v>4</v>
      </c>
    </row>
    <row r="295" spans="1:5" hidden="1" x14ac:dyDescent="0.25">
      <c r="A295" s="3" t="s">
        <v>586</v>
      </c>
      <c r="B295" s="3" t="s">
        <v>587</v>
      </c>
      <c r="C295" s="3" t="s">
        <v>3</v>
      </c>
      <c r="D295" s="3" t="s">
        <v>3</v>
      </c>
      <c r="E295" s="3" t="s">
        <v>4</v>
      </c>
    </row>
    <row r="296" spans="1:5" hidden="1" x14ac:dyDescent="0.25">
      <c r="A296" s="3" t="s">
        <v>588</v>
      </c>
      <c r="B296" s="3" t="s">
        <v>589</v>
      </c>
      <c r="C296" s="3" t="s">
        <v>3</v>
      </c>
      <c r="D296" s="3" t="s">
        <v>3</v>
      </c>
      <c r="E296" s="3" t="s">
        <v>4</v>
      </c>
    </row>
    <row r="297" spans="1:5" hidden="1" x14ac:dyDescent="0.25">
      <c r="A297" s="3" t="s">
        <v>590</v>
      </c>
      <c r="B297" s="3" t="s">
        <v>591</v>
      </c>
      <c r="C297" s="3" t="s">
        <v>3</v>
      </c>
      <c r="D297" s="3" t="s">
        <v>3</v>
      </c>
      <c r="E297" s="3" t="s">
        <v>4</v>
      </c>
    </row>
    <row r="298" spans="1:5" hidden="1" x14ac:dyDescent="0.25">
      <c r="A298" s="3" t="s">
        <v>592</v>
      </c>
      <c r="B298" s="3" t="s">
        <v>593</v>
      </c>
      <c r="C298" s="3" t="s">
        <v>3</v>
      </c>
      <c r="D298" s="3" t="s">
        <v>3</v>
      </c>
      <c r="E298" s="3" t="s">
        <v>4</v>
      </c>
    </row>
    <row r="299" spans="1:5" hidden="1" x14ac:dyDescent="0.25">
      <c r="A299" s="3" t="s">
        <v>594</v>
      </c>
      <c r="B299" s="3" t="s">
        <v>595</v>
      </c>
      <c r="C299" s="3" t="s">
        <v>3</v>
      </c>
      <c r="D299" s="3" t="s">
        <v>3</v>
      </c>
      <c r="E299" s="3" t="s">
        <v>4</v>
      </c>
    </row>
    <row r="300" spans="1:5" hidden="1" x14ac:dyDescent="0.25">
      <c r="A300" s="3" t="s">
        <v>596</v>
      </c>
      <c r="B300" s="3" t="s">
        <v>597</v>
      </c>
      <c r="C300" s="3" t="s">
        <v>3</v>
      </c>
      <c r="D300" s="3" t="s">
        <v>3</v>
      </c>
      <c r="E300" s="3" t="s">
        <v>4</v>
      </c>
    </row>
    <row r="301" spans="1:5" hidden="1" x14ac:dyDescent="0.25">
      <c r="A301" s="3" t="s">
        <v>598</v>
      </c>
      <c r="B301" s="3" t="s">
        <v>599</v>
      </c>
      <c r="C301" s="3" t="s">
        <v>3</v>
      </c>
      <c r="D301" s="3" t="s">
        <v>3</v>
      </c>
      <c r="E301" s="3" t="s">
        <v>4</v>
      </c>
    </row>
    <row r="302" spans="1:5" hidden="1" x14ac:dyDescent="0.25">
      <c r="A302" s="3" t="s">
        <v>600</v>
      </c>
      <c r="B302" s="3" t="s">
        <v>601</v>
      </c>
      <c r="C302" s="3" t="s">
        <v>3</v>
      </c>
      <c r="D302" s="3" t="s">
        <v>3</v>
      </c>
      <c r="E302" s="3" t="s">
        <v>4</v>
      </c>
    </row>
    <row r="303" spans="1:5" hidden="1" x14ac:dyDescent="0.25">
      <c r="A303" s="3" t="s">
        <v>602</v>
      </c>
      <c r="B303" s="3" t="s">
        <v>603</v>
      </c>
      <c r="C303" s="3" t="s">
        <v>3</v>
      </c>
      <c r="D303" s="3" t="s">
        <v>3</v>
      </c>
      <c r="E303" s="3" t="s">
        <v>4</v>
      </c>
    </row>
    <row r="304" spans="1:5" hidden="1" x14ac:dyDescent="0.25">
      <c r="A304" s="3" t="s">
        <v>604</v>
      </c>
      <c r="B304" s="3" t="s">
        <v>605</v>
      </c>
      <c r="C304" s="3" t="s">
        <v>3</v>
      </c>
      <c r="D304" s="3" t="s">
        <v>3</v>
      </c>
      <c r="E304" s="3" t="s">
        <v>4</v>
      </c>
    </row>
    <row r="305" spans="1:5" hidden="1" x14ac:dyDescent="0.25">
      <c r="A305" s="3" t="s">
        <v>606</v>
      </c>
      <c r="B305" s="3" t="s">
        <v>607</v>
      </c>
      <c r="C305" s="3" t="s">
        <v>3</v>
      </c>
      <c r="D305" s="3" t="s">
        <v>3</v>
      </c>
      <c r="E305" s="3" t="s">
        <v>4</v>
      </c>
    </row>
    <row r="306" spans="1:5" hidden="1" x14ac:dyDescent="0.25">
      <c r="A306" s="3" t="s">
        <v>608</v>
      </c>
      <c r="B306" s="3" t="s">
        <v>609</v>
      </c>
      <c r="C306" s="3" t="s">
        <v>3</v>
      </c>
      <c r="D306" s="3" t="s">
        <v>3</v>
      </c>
      <c r="E306" s="3" t="s">
        <v>4</v>
      </c>
    </row>
    <row r="307" spans="1:5" hidden="1" x14ac:dyDescent="0.25">
      <c r="A307" s="3" t="s">
        <v>610</v>
      </c>
      <c r="B307" s="3" t="s">
        <v>611</v>
      </c>
      <c r="C307" s="3" t="s">
        <v>3</v>
      </c>
      <c r="D307" s="3" t="s">
        <v>3</v>
      </c>
      <c r="E307" s="3" t="s">
        <v>4</v>
      </c>
    </row>
    <row r="308" spans="1:5" hidden="1" x14ac:dyDescent="0.25">
      <c r="A308" s="3" t="s">
        <v>612</v>
      </c>
      <c r="B308" s="3" t="s">
        <v>613</v>
      </c>
      <c r="C308" s="3" t="s">
        <v>3</v>
      </c>
      <c r="D308" s="3" t="s">
        <v>3</v>
      </c>
      <c r="E308" s="3" t="s">
        <v>4</v>
      </c>
    </row>
    <row r="309" spans="1:5" hidden="1" x14ac:dyDescent="0.25">
      <c r="A309" s="3" t="s">
        <v>614</v>
      </c>
      <c r="B309" s="3" t="s">
        <v>615</v>
      </c>
      <c r="C309" s="3" t="s">
        <v>3</v>
      </c>
      <c r="D309" s="3" t="s">
        <v>3</v>
      </c>
      <c r="E309" s="3" t="s">
        <v>4</v>
      </c>
    </row>
    <row r="310" spans="1:5" hidden="1" x14ac:dyDescent="0.25">
      <c r="A310" s="3" t="s">
        <v>616</v>
      </c>
      <c r="B310" s="3" t="s">
        <v>617</v>
      </c>
      <c r="C310" s="3" t="s">
        <v>3</v>
      </c>
      <c r="D310" s="3" t="s">
        <v>3</v>
      </c>
      <c r="E310" s="3" t="s">
        <v>4</v>
      </c>
    </row>
    <row r="311" spans="1:5" hidden="1" x14ac:dyDescent="0.25">
      <c r="A311" s="3" t="s">
        <v>618</v>
      </c>
      <c r="B311" s="3" t="s">
        <v>619</v>
      </c>
      <c r="C311" s="3" t="s">
        <v>3</v>
      </c>
      <c r="D311" s="3" t="s">
        <v>3</v>
      </c>
      <c r="E311" s="3" t="s">
        <v>4</v>
      </c>
    </row>
    <row r="312" spans="1:5" hidden="1" x14ac:dyDescent="0.25">
      <c r="A312" s="3" t="s">
        <v>620</v>
      </c>
      <c r="B312" s="3" t="s">
        <v>621</v>
      </c>
      <c r="C312" s="3" t="s">
        <v>3</v>
      </c>
      <c r="D312" s="3" t="s">
        <v>3</v>
      </c>
      <c r="E312" s="3" t="s">
        <v>4</v>
      </c>
    </row>
    <row r="313" spans="1:5" hidden="1" x14ac:dyDescent="0.25">
      <c r="A313" s="3" t="s">
        <v>622</v>
      </c>
      <c r="B313" s="3" t="s">
        <v>623</v>
      </c>
      <c r="C313" s="3" t="s">
        <v>3</v>
      </c>
      <c r="D313" s="3" t="s">
        <v>3</v>
      </c>
      <c r="E313" s="3" t="s">
        <v>4</v>
      </c>
    </row>
    <row r="314" spans="1:5" hidden="1" x14ac:dyDescent="0.25">
      <c r="A314" s="3" t="s">
        <v>624</v>
      </c>
      <c r="B314" s="3" t="s">
        <v>625</v>
      </c>
      <c r="C314" s="3" t="s">
        <v>3</v>
      </c>
      <c r="D314" s="3" t="s">
        <v>3</v>
      </c>
      <c r="E314" s="3" t="s">
        <v>4</v>
      </c>
    </row>
    <row r="315" spans="1:5" hidden="1" x14ac:dyDescent="0.25">
      <c r="A315" s="3" t="s">
        <v>626</v>
      </c>
      <c r="B315" s="3" t="s">
        <v>627</v>
      </c>
      <c r="C315" s="3" t="s">
        <v>3</v>
      </c>
      <c r="D315" s="3" t="s">
        <v>3</v>
      </c>
      <c r="E315" s="3" t="s">
        <v>4</v>
      </c>
    </row>
    <row r="316" spans="1:5" hidden="1" x14ac:dyDescent="0.25">
      <c r="A316" s="3" t="s">
        <v>628</v>
      </c>
      <c r="B316" s="3" t="s">
        <v>629</v>
      </c>
      <c r="C316" s="3" t="s">
        <v>3</v>
      </c>
      <c r="D316" s="3" t="s">
        <v>3</v>
      </c>
      <c r="E316" s="3" t="s">
        <v>4</v>
      </c>
    </row>
    <row r="317" spans="1:5" hidden="1" x14ac:dyDescent="0.25">
      <c r="A317" s="3" t="s">
        <v>630</v>
      </c>
      <c r="B317" s="3" t="s">
        <v>631</v>
      </c>
      <c r="C317" s="3" t="s">
        <v>3</v>
      </c>
      <c r="D317" s="3" t="s">
        <v>3</v>
      </c>
      <c r="E317" s="3" t="s">
        <v>4</v>
      </c>
    </row>
    <row r="318" spans="1:5" hidden="1" x14ac:dyDescent="0.25">
      <c r="A318" s="3" t="s">
        <v>632</v>
      </c>
      <c r="B318" s="3" t="s">
        <v>633</v>
      </c>
      <c r="C318" s="3" t="s">
        <v>3</v>
      </c>
      <c r="D318" s="3" t="s">
        <v>3</v>
      </c>
      <c r="E318" s="3" t="s">
        <v>4</v>
      </c>
    </row>
    <row r="319" spans="1:5" hidden="1" x14ac:dyDescent="0.25">
      <c r="A319" s="3" t="s">
        <v>634</v>
      </c>
      <c r="B319" s="3" t="s">
        <v>635</v>
      </c>
      <c r="C319" s="3" t="s">
        <v>3</v>
      </c>
      <c r="D319" s="3" t="s">
        <v>3</v>
      </c>
      <c r="E319" s="3" t="s">
        <v>4</v>
      </c>
    </row>
    <row r="320" spans="1:5" hidden="1" x14ac:dyDescent="0.25">
      <c r="A320" s="3" t="s">
        <v>636</v>
      </c>
      <c r="B320" s="3" t="s">
        <v>637</v>
      </c>
      <c r="C320" s="3" t="s">
        <v>3</v>
      </c>
      <c r="D320" s="3" t="s">
        <v>3</v>
      </c>
      <c r="E320" s="3" t="s">
        <v>4</v>
      </c>
    </row>
    <row r="321" spans="1:5" hidden="1" x14ac:dyDescent="0.25">
      <c r="A321" s="3" t="s">
        <v>638</v>
      </c>
      <c r="B321" s="3" t="s">
        <v>639</v>
      </c>
      <c r="C321" s="3" t="s">
        <v>3</v>
      </c>
      <c r="D321" s="3" t="s">
        <v>3</v>
      </c>
      <c r="E321" s="3" t="s">
        <v>4</v>
      </c>
    </row>
    <row r="322" spans="1:5" hidden="1" x14ac:dyDescent="0.25">
      <c r="A322" s="3" t="s">
        <v>640</v>
      </c>
      <c r="B322" s="3" t="s">
        <v>641</v>
      </c>
      <c r="C322" s="3" t="s">
        <v>3</v>
      </c>
      <c r="D322" s="3" t="s">
        <v>3</v>
      </c>
      <c r="E322" s="3" t="s">
        <v>4</v>
      </c>
    </row>
    <row r="323" spans="1:5" hidden="1" x14ac:dyDescent="0.25">
      <c r="A323" s="3" t="s">
        <v>642</v>
      </c>
      <c r="B323" s="3" t="s">
        <v>643</v>
      </c>
      <c r="C323" s="3" t="s">
        <v>3</v>
      </c>
      <c r="D323" s="3" t="s">
        <v>3</v>
      </c>
      <c r="E323" s="3" t="s">
        <v>4</v>
      </c>
    </row>
    <row r="324" spans="1:5" hidden="1" x14ac:dyDescent="0.25">
      <c r="A324" s="3" t="s">
        <v>644</v>
      </c>
      <c r="B324" s="3" t="s">
        <v>645</v>
      </c>
      <c r="C324" s="3" t="s">
        <v>3</v>
      </c>
      <c r="D324" s="3" t="s">
        <v>3</v>
      </c>
      <c r="E324" s="3" t="s">
        <v>4</v>
      </c>
    </row>
    <row r="325" spans="1:5" hidden="1" x14ac:dyDescent="0.25">
      <c r="A325" s="3" t="s">
        <v>646</v>
      </c>
      <c r="B325" s="3" t="s">
        <v>647</v>
      </c>
      <c r="C325" s="3" t="s">
        <v>3</v>
      </c>
      <c r="D325" s="3" t="s">
        <v>3</v>
      </c>
      <c r="E325" s="3" t="s">
        <v>4</v>
      </c>
    </row>
    <row r="326" spans="1:5" hidden="1" x14ac:dyDescent="0.25">
      <c r="A326" s="3" t="s">
        <v>648</v>
      </c>
      <c r="B326" s="3" t="s">
        <v>649</v>
      </c>
      <c r="C326" s="3" t="s">
        <v>3</v>
      </c>
      <c r="D326" s="3" t="s">
        <v>3</v>
      </c>
      <c r="E326" s="3" t="s">
        <v>4</v>
      </c>
    </row>
    <row r="327" spans="1:5" hidden="1" x14ac:dyDescent="0.25">
      <c r="A327" s="3" t="s">
        <v>650</v>
      </c>
      <c r="B327" s="3" t="s">
        <v>651</v>
      </c>
      <c r="C327" s="3" t="s">
        <v>3</v>
      </c>
      <c r="D327" s="3" t="s">
        <v>3</v>
      </c>
      <c r="E327" s="3" t="s">
        <v>4</v>
      </c>
    </row>
    <row r="328" spans="1:5" hidden="1" x14ac:dyDescent="0.25">
      <c r="A328" s="3" t="s">
        <v>652</v>
      </c>
      <c r="B328" s="3" t="s">
        <v>653</v>
      </c>
      <c r="C328" s="3" t="s">
        <v>3</v>
      </c>
      <c r="D328" s="3" t="s">
        <v>3</v>
      </c>
      <c r="E328" s="3" t="s">
        <v>4</v>
      </c>
    </row>
    <row r="329" spans="1:5" hidden="1" x14ac:dyDescent="0.25">
      <c r="A329" s="3" t="s">
        <v>654</v>
      </c>
      <c r="B329" s="3" t="s">
        <v>655</v>
      </c>
      <c r="C329" s="3" t="s">
        <v>3</v>
      </c>
      <c r="D329" s="3" t="s">
        <v>3</v>
      </c>
      <c r="E329" s="3" t="s">
        <v>4</v>
      </c>
    </row>
    <row r="330" spans="1:5" hidden="1" x14ac:dyDescent="0.25">
      <c r="A330" s="3" t="s">
        <v>656</v>
      </c>
      <c r="B330" s="3" t="s">
        <v>657</v>
      </c>
      <c r="C330" s="3" t="s">
        <v>3</v>
      </c>
      <c r="D330" s="3" t="s">
        <v>3</v>
      </c>
      <c r="E330" s="3" t="s">
        <v>4</v>
      </c>
    </row>
    <row r="331" spans="1:5" hidden="1" x14ac:dyDescent="0.25">
      <c r="A331" s="3" t="s">
        <v>658</v>
      </c>
      <c r="B331" s="3" t="s">
        <v>659</v>
      </c>
      <c r="C331" s="3" t="s">
        <v>3</v>
      </c>
      <c r="D331" s="3" t="s">
        <v>3</v>
      </c>
      <c r="E331" s="3" t="s">
        <v>4</v>
      </c>
    </row>
    <row r="332" spans="1:5" hidden="1" x14ac:dyDescent="0.25">
      <c r="A332" s="3" t="s">
        <v>660</v>
      </c>
      <c r="B332" s="3" t="s">
        <v>661</v>
      </c>
      <c r="C332" s="3" t="s">
        <v>3</v>
      </c>
      <c r="D332" s="3" t="s">
        <v>3</v>
      </c>
      <c r="E332" s="3" t="s">
        <v>4</v>
      </c>
    </row>
    <row r="333" spans="1:5" hidden="1" x14ac:dyDescent="0.25">
      <c r="A333" s="3" t="s">
        <v>662</v>
      </c>
      <c r="B333" s="3" t="s">
        <v>663</v>
      </c>
      <c r="C333" s="3" t="s">
        <v>3</v>
      </c>
      <c r="D333" s="3" t="s">
        <v>3</v>
      </c>
      <c r="E333" s="3" t="s">
        <v>4</v>
      </c>
    </row>
    <row r="334" spans="1:5" hidden="1" x14ac:dyDescent="0.25">
      <c r="A334" s="3" t="s">
        <v>664</v>
      </c>
      <c r="B334" s="3" t="s">
        <v>665</v>
      </c>
      <c r="C334" s="3" t="s">
        <v>3</v>
      </c>
      <c r="D334" s="3" t="s">
        <v>3</v>
      </c>
      <c r="E334" s="3" t="s">
        <v>4</v>
      </c>
    </row>
    <row r="335" spans="1:5" hidden="1" x14ac:dyDescent="0.25">
      <c r="A335" s="3" t="s">
        <v>666</v>
      </c>
      <c r="B335" s="3" t="s">
        <v>667</v>
      </c>
      <c r="C335" s="3" t="s">
        <v>3</v>
      </c>
      <c r="D335" s="3" t="s">
        <v>3</v>
      </c>
      <c r="E335" s="3" t="s">
        <v>4</v>
      </c>
    </row>
    <row r="336" spans="1:5" hidden="1" x14ac:dyDescent="0.25">
      <c r="A336" s="3" t="s">
        <v>668</v>
      </c>
      <c r="B336" s="3" t="s">
        <v>669</v>
      </c>
      <c r="C336" s="3" t="s">
        <v>3</v>
      </c>
      <c r="D336" s="3" t="s">
        <v>3</v>
      </c>
      <c r="E336" s="3" t="s">
        <v>4</v>
      </c>
    </row>
    <row r="337" spans="1:5" hidden="1" x14ac:dyDescent="0.25">
      <c r="A337" s="3" t="s">
        <v>670</v>
      </c>
      <c r="B337" s="3" t="s">
        <v>671</v>
      </c>
      <c r="C337" s="3" t="s">
        <v>3</v>
      </c>
      <c r="D337" s="3" t="s">
        <v>3</v>
      </c>
      <c r="E337" s="3" t="s">
        <v>4</v>
      </c>
    </row>
    <row r="338" spans="1:5" hidden="1" x14ac:dyDescent="0.25">
      <c r="A338" s="3" t="s">
        <v>672</v>
      </c>
      <c r="B338" s="3" t="s">
        <v>673</v>
      </c>
      <c r="C338" s="3" t="s">
        <v>3</v>
      </c>
      <c r="D338" s="3" t="s">
        <v>3</v>
      </c>
      <c r="E338" s="3" t="s">
        <v>4</v>
      </c>
    </row>
    <row r="339" spans="1:5" hidden="1" x14ac:dyDescent="0.25">
      <c r="A339" s="3" t="s">
        <v>674</v>
      </c>
      <c r="B339" s="3" t="s">
        <v>675</v>
      </c>
      <c r="C339" s="3" t="s">
        <v>3</v>
      </c>
      <c r="D339" s="3" t="s">
        <v>3</v>
      </c>
      <c r="E339" s="3" t="s">
        <v>4</v>
      </c>
    </row>
    <row r="340" spans="1:5" hidden="1" x14ac:dyDescent="0.25">
      <c r="A340" s="3" t="s">
        <v>676</v>
      </c>
      <c r="B340" s="3" t="s">
        <v>677</v>
      </c>
      <c r="C340" s="3" t="s">
        <v>3</v>
      </c>
      <c r="D340" s="3" t="s">
        <v>3</v>
      </c>
      <c r="E340" s="3" t="s">
        <v>4</v>
      </c>
    </row>
    <row r="341" spans="1:5" hidden="1" x14ac:dyDescent="0.25">
      <c r="A341" s="3" t="s">
        <v>678</v>
      </c>
      <c r="B341" s="3" t="s">
        <v>679</v>
      </c>
      <c r="C341" s="3" t="s">
        <v>3</v>
      </c>
      <c r="D341" s="3" t="s">
        <v>3</v>
      </c>
      <c r="E341" s="3" t="s">
        <v>4</v>
      </c>
    </row>
    <row r="342" spans="1:5" hidden="1" x14ac:dyDescent="0.25">
      <c r="A342" s="3" t="s">
        <v>680</v>
      </c>
      <c r="B342" s="3" t="s">
        <v>681</v>
      </c>
      <c r="C342" s="3" t="s">
        <v>3</v>
      </c>
      <c r="D342" s="3" t="s">
        <v>3</v>
      </c>
      <c r="E342" s="3" t="s">
        <v>4</v>
      </c>
    </row>
    <row r="343" spans="1:5" hidden="1" x14ac:dyDescent="0.25">
      <c r="A343" s="3" t="s">
        <v>682</v>
      </c>
      <c r="B343" s="3" t="s">
        <v>683</v>
      </c>
      <c r="C343" s="3" t="s">
        <v>3</v>
      </c>
      <c r="D343" s="3" t="s">
        <v>3</v>
      </c>
      <c r="E343" s="3" t="s">
        <v>4</v>
      </c>
    </row>
    <row r="344" spans="1:5" hidden="1" x14ac:dyDescent="0.25">
      <c r="A344" s="3" t="s">
        <v>684</v>
      </c>
      <c r="B344" s="3" t="s">
        <v>685</v>
      </c>
      <c r="C344" s="3" t="s">
        <v>3</v>
      </c>
      <c r="D344" s="3" t="s">
        <v>3</v>
      </c>
      <c r="E344" s="3" t="s">
        <v>4</v>
      </c>
    </row>
    <row r="345" spans="1:5" hidden="1" x14ac:dyDescent="0.25">
      <c r="A345" s="3" t="s">
        <v>686</v>
      </c>
      <c r="B345" s="3" t="s">
        <v>687</v>
      </c>
      <c r="C345" s="3" t="s">
        <v>3</v>
      </c>
      <c r="D345" s="3" t="s">
        <v>3</v>
      </c>
      <c r="E345" s="3" t="s">
        <v>4</v>
      </c>
    </row>
    <row r="346" spans="1:5" hidden="1" x14ac:dyDescent="0.25">
      <c r="A346" s="3" t="s">
        <v>688</v>
      </c>
      <c r="B346" s="3" t="s">
        <v>689</v>
      </c>
      <c r="C346" s="3" t="s">
        <v>3</v>
      </c>
      <c r="D346" s="3" t="s">
        <v>3</v>
      </c>
      <c r="E346" s="3" t="s">
        <v>4</v>
      </c>
    </row>
    <row r="347" spans="1:5" hidden="1" x14ac:dyDescent="0.25">
      <c r="A347" s="3" t="s">
        <v>690</v>
      </c>
      <c r="B347" s="3" t="s">
        <v>691</v>
      </c>
      <c r="C347" s="3" t="s">
        <v>3</v>
      </c>
      <c r="D347" s="3" t="s">
        <v>3</v>
      </c>
      <c r="E347" s="3" t="s">
        <v>4</v>
      </c>
    </row>
    <row r="348" spans="1:5" hidden="1" x14ac:dyDescent="0.25">
      <c r="A348" s="3" t="s">
        <v>692</v>
      </c>
      <c r="B348" s="3" t="s">
        <v>693</v>
      </c>
      <c r="C348" s="3" t="s">
        <v>3</v>
      </c>
      <c r="D348" s="3" t="s">
        <v>3</v>
      </c>
      <c r="E348" s="3" t="s">
        <v>4</v>
      </c>
    </row>
    <row r="349" spans="1:5" hidden="1" x14ac:dyDescent="0.25">
      <c r="A349" s="3" t="s">
        <v>694</v>
      </c>
      <c r="B349" s="3" t="s">
        <v>695</v>
      </c>
      <c r="C349" s="3" t="s">
        <v>3</v>
      </c>
      <c r="D349" s="3" t="s">
        <v>3</v>
      </c>
      <c r="E349" s="3" t="s">
        <v>4</v>
      </c>
    </row>
    <row r="350" spans="1:5" hidden="1" x14ac:dyDescent="0.25">
      <c r="A350" s="3" t="s">
        <v>696</v>
      </c>
      <c r="B350" s="3" t="s">
        <v>697</v>
      </c>
      <c r="C350" s="3" t="s">
        <v>3</v>
      </c>
      <c r="D350" s="3" t="s">
        <v>3</v>
      </c>
      <c r="E350" s="3" t="s">
        <v>4</v>
      </c>
    </row>
    <row r="351" spans="1:5" hidden="1" x14ac:dyDescent="0.25">
      <c r="A351" s="3" t="s">
        <v>698</v>
      </c>
      <c r="B351" s="3" t="s">
        <v>699</v>
      </c>
      <c r="C351" s="3" t="s">
        <v>3</v>
      </c>
      <c r="D351" s="3" t="s">
        <v>3</v>
      </c>
      <c r="E351" s="3" t="s">
        <v>4</v>
      </c>
    </row>
    <row r="352" spans="1:5" hidden="1" x14ac:dyDescent="0.25">
      <c r="A352" s="3" t="s">
        <v>700</v>
      </c>
      <c r="B352" s="3" t="s">
        <v>701</v>
      </c>
      <c r="C352" s="3" t="s">
        <v>3</v>
      </c>
      <c r="D352" s="3" t="s">
        <v>3</v>
      </c>
      <c r="E352" s="3" t="s">
        <v>4</v>
      </c>
    </row>
    <row r="353" spans="1:5" hidden="1" x14ac:dyDescent="0.25">
      <c r="A353" s="3" t="s">
        <v>702</v>
      </c>
      <c r="B353" s="3" t="s">
        <v>703</v>
      </c>
      <c r="C353" s="3" t="s">
        <v>3</v>
      </c>
      <c r="D353" s="3" t="s">
        <v>3</v>
      </c>
      <c r="E353" s="3" t="s">
        <v>4</v>
      </c>
    </row>
    <row r="354" spans="1:5" hidden="1" x14ac:dyDescent="0.25">
      <c r="A354" s="3" t="s">
        <v>704</v>
      </c>
      <c r="B354" s="3" t="s">
        <v>705</v>
      </c>
      <c r="C354" s="3" t="s">
        <v>3</v>
      </c>
      <c r="D354" s="3" t="s">
        <v>3</v>
      </c>
      <c r="E354" s="3" t="s">
        <v>4</v>
      </c>
    </row>
    <row r="355" spans="1:5" hidden="1" x14ac:dyDescent="0.25">
      <c r="A355" s="3" t="s">
        <v>706</v>
      </c>
      <c r="B355" s="3" t="s">
        <v>707</v>
      </c>
      <c r="C355" s="3" t="s">
        <v>3</v>
      </c>
      <c r="D355" s="3" t="s">
        <v>3</v>
      </c>
      <c r="E355" s="3" t="s">
        <v>4</v>
      </c>
    </row>
    <row r="356" spans="1:5" hidden="1" x14ac:dyDescent="0.25">
      <c r="A356" s="3" t="s">
        <v>708</v>
      </c>
      <c r="B356" s="3" t="s">
        <v>709</v>
      </c>
      <c r="C356" s="3" t="s">
        <v>3</v>
      </c>
      <c r="D356" s="3" t="s">
        <v>3</v>
      </c>
      <c r="E356" s="3" t="s">
        <v>4</v>
      </c>
    </row>
    <row r="357" spans="1:5" hidden="1" x14ac:dyDescent="0.25">
      <c r="A357" s="3" t="s">
        <v>710</v>
      </c>
      <c r="B357" s="3" t="s">
        <v>711</v>
      </c>
      <c r="C357" s="3" t="s">
        <v>3</v>
      </c>
      <c r="D357" s="3" t="s">
        <v>3</v>
      </c>
      <c r="E357" s="3" t="s">
        <v>4</v>
      </c>
    </row>
    <row r="358" spans="1:5" hidden="1" x14ac:dyDescent="0.25">
      <c r="A358" s="3" t="s">
        <v>712</v>
      </c>
      <c r="B358" s="3" t="s">
        <v>713</v>
      </c>
      <c r="C358" s="3" t="s">
        <v>3</v>
      </c>
      <c r="D358" s="3" t="s">
        <v>3</v>
      </c>
      <c r="E358" s="3" t="s">
        <v>4</v>
      </c>
    </row>
    <row r="359" spans="1:5" hidden="1" x14ac:dyDescent="0.25">
      <c r="A359" s="3" t="s">
        <v>714</v>
      </c>
      <c r="B359" s="3" t="s">
        <v>715</v>
      </c>
      <c r="C359" s="3" t="s">
        <v>3</v>
      </c>
      <c r="D359" s="3" t="s">
        <v>3</v>
      </c>
      <c r="E359" s="3" t="s">
        <v>4</v>
      </c>
    </row>
    <row r="360" spans="1:5" hidden="1" x14ac:dyDescent="0.25">
      <c r="A360" s="3" t="s">
        <v>716</v>
      </c>
      <c r="B360" s="3" t="s">
        <v>717</v>
      </c>
      <c r="C360" s="3" t="s">
        <v>3</v>
      </c>
      <c r="D360" s="3" t="s">
        <v>3</v>
      </c>
      <c r="E360" s="3" t="s">
        <v>4</v>
      </c>
    </row>
    <row r="361" spans="1:5" hidden="1" x14ac:dyDescent="0.25">
      <c r="A361" s="3" t="s">
        <v>718</v>
      </c>
      <c r="B361" s="3" t="s">
        <v>719</v>
      </c>
      <c r="C361" s="3" t="s">
        <v>3</v>
      </c>
      <c r="D361" s="3" t="s">
        <v>3</v>
      </c>
      <c r="E361" s="3" t="s">
        <v>4</v>
      </c>
    </row>
    <row r="362" spans="1:5" hidden="1" x14ac:dyDescent="0.25">
      <c r="A362" s="3" t="s">
        <v>720</v>
      </c>
      <c r="B362" s="3" t="s">
        <v>721</v>
      </c>
      <c r="C362" s="3" t="s">
        <v>3</v>
      </c>
      <c r="D362" s="3" t="s">
        <v>3</v>
      </c>
      <c r="E362" s="3" t="s">
        <v>4</v>
      </c>
    </row>
    <row r="363" spans="1:5" hidden="1" x14ac:dyDescent="0.25">
      <c r="A363" s="3" t="s">
        <v>722</v>
      </c>
      <c r="B363" s="3" t="s">
        <v>723</v>
      </c>
      <c r="C363" s="3" t="s">
        <v>3</v>
      </c>
      <c r="D363" s="3" t="s">
        <v>3</v>
      </c>
      <c r="E363" s="3" t="s">
        <v>4</v>
      </c>
    </row>
    <row r="364" spans="1:5" hidden="1" x14ac:dyDescent="0.25">
      <c r="A364" s="3" t="s">
        <v>724</v>
      </c>
      <c r="B364" s="3" t="s">
        <v>725</v>
      </c>
      <c r="C364" s="3" t="s">
        <v>3</v>
      </c>
      <c r="D364" s="3" t="s">
        <v>3</v>
      </c>
      <c r="E364" s="3" t="s">
        <v>4</v>
      </c>
    </row>
    <row r="365" spans="1:5" hidden="1" x14ac:dyDescent="0.25">
      <c r="A365" s="3" t="s">
        <v>726</v>
      </c>
      <c r="B365" s="3" t="s">
        <v>727</v>
      </c>
      <c r="C365" s="3" t="s">
        <v>3</v>
      </c>
      <c r="D365" s="3" t="s">
        <v>3</v>
      </c>
      <c r="E365" s="3" t="s">
        <v>4</v>
      </c>
    </row>
    <row r="366" spans="1:5" hidden="1" x14ac:dyDescent="0.25">
      <c r="A366" s="3" t="s">
        <v>728</v>
      </c>
      <c r="B366" s="3" t="s">
        <v>729</v>
      </c>
      <c r="C366" s="3" t="s">
        <v>3</v>
      </c>
      <c r="D366" s="3" t="s">
        <v>3</v>
      </c>
      <c r="E366" s="3" t="s">
        <v>4</v>
      </c>
    </row>
    <row r="367" spans="1:5" hidden="1" x14ac:dyDescent="0.25">
      <c r="A367" s="3" t="s">
        <v>730</v>
      </c>
      <c r="B367" s="3" t="s">
        <v>731</v>
      </c>
      <c r="C367" s="3" t="s">
        <v>3</v>
      </c>
      <c r="D367" s="3" t="s">
        <v>3</v>
      </c>
      <c r="E367" s="3" t="s">
        <v>4</v>
      </c>
    </row>
    <row r="368" spans="1:5" hidden="1" x14ac:dyDescent="0.25">
      <c r="A368" s="3" t="s">
        <v>732</v>
      </c>
      <c r="B368" s="3" t="s">
        <v>733</v>
      </c>
      <c r="C368" s="3" t="s">
        <v>3</v>
      </c>
      <c r="D368" s="3" t="s">
        <v>3</v>
      </c>
      <c r="E368" s="3" t="s">
        <v>4</v>
      </c>
    </row>
    <row r="369" spans="1:5" hidden="1" x14ac:dyDescent="0.25">
      <c r="A369" s="3" t="s">
        <v>734</v>
      </c>
      <c r="B369" s="3" t="s">
        <v>735</v>
      </c>
      <c r="C369" s="3" t="s">
        <v>3</v>
      </c>
      <c r="D369" s="3" t="s">
        <v>3</v>
      </c>
      <c r="E369" s="3" t="s">
        <v>4</v>
      </c>
    </row>
    <row r="370" spans="1:5" hidden="1" x14ac:dyDescent="0.25">
      <c r="A370" s="3" t="s">
        <v>736</v>
      </c>
      <c r="B370" s="3" t="s">
        <v>737</v>
      </c>
      <c r="C370" s="3" t="s">
        <v>3</v>
      </c>
      <c r="D370" s="3" t="s">
        <v>3</v>
      </c>
      <c r="E370" s="3" t="s">
        <v>4</v>
      </c>
    </row>
    <row r="371" spans="1:5" hidden="1" x14ac:dyDescent="0.25">
      <c r="A371" s="3" t="s">
        <v>738</v>
      </c>
      <c r="B371" s="3" t="s">
        <v>739</v>
      </c>
      <c r="C371" s="3" t="s">
        <v>3</v>
      </c>
      <c r="D371" s="3" t="s">
        <v>3</v>
      </c>
      <c r="E371" s="3" t="s">
        <v>4</v>
      </c>
    </row>
    <row r="372" spans="1:5" hidden="1" x14ac:dyDescent="0.25">
      <c r="A372" s="3" t="s">
        <v>740</v>
      </c>
      <c r="B372" s="3" t="s">
        <v>741</v>
      </c>
      <c r="C372" s="3" t="s">
        <v>3</v>
      </c>
      <c r="D372" s="3" t="s">
        <v>3</v>
      </c>
      <c r="E372" s="3" t="s">
        <v>4</v>
      </c>
    </row>
    <row r="373" spans="1:5" hidden="1" x14ac:dyDescent="0.25">
      <c r="A373" s="3" t="s">
        <v>742</v>
      </c>
      <c r="B373" s="3" t="s">
        <v>743</v>
      </c>
      <c r="C373" s="3" t="s">
        <v>3</v>
      </c>
      <c r="D373" s="3" t="s">
        <v>3</v>
      </c>
      <c r="E373" s="3" t="s">
        <v>4</v>
      </c>
    </row>
    <row r="374" spans="1:5" hidden="1" x14ac:dyDescent="0.25">
      <c r="A374" s="3" t="s">
        <v>744</v>
      </c>
      <c r="B374" s="3" t="s">
        <v>745</v>
      </c>
      <c r="C374" s="3" t="s">
        <v>3</v>
      </c>
      <c r="D374" s="3" t="s">
        <v>3</v>
      </c>
      <c r="E374" s="3" t="s">
        <v>4</v>
      </c>
    </row>
    <row r="375" spans="1:5" hidden="1" x14ac:dyDescent="0.25">
      <c r="A375" s="3" t="s">
        <v>746</v>
      </c>
      <c r="B375" s="3" t="s">
        <v>747</v>
      </c>
      <c r="C375" s="3" t="s">
        <v>3</v>
      </c>
      <c r="D375" s="3" t="s">
        <v>3</v>
      </c>
      <c r="E375" s="3" t="s">
        <v>4</v>
      </c>
    </row>
    <row r="376" spans="1:5" hidden="1" x14ac:dyDescent="0.25">
      <c r="A376" s="3" t="s">
        <v>748</v>
      </c>
      <c r="B376" s="3" t="s">
        <v>749</v>
      </c>
      <c r="C376" s="3" t="s">
        <v>3</v>
      </c>
      <c r="D376" s="3" t="s">
        <v>3</v>
      </c>
      <c r="E376" s="3" t="s">
        <v>4</v>
      </c>
    </row>
    <row r="377" spans="1:5" hidden="1" x14ac:dyDescent="0.25">
      <c r="A377" s="3" t="s">
        <v>750</v>
      </c>
      <c r="B377" s="3" t="s">
        <v>751</v>
      </c>
      <c r="C377" s="3" t="s">
        <v>3</v>
      </c>
      <c r="D377" s="3" t="s">
        <v>3</v>
      </c>
      <c r="E377" s="3" t="s">
        <v>4</v>
      </c>
    </row>
    <row r="378" spans="1:5" hidden="1" x14ac:dyDescent="0.25">
      <c r="A378" s="3" t="s">
        <v>752</v>
      </c>
      <c r="B378" s="3" t="s">
        <v>753</v>
      </c>
      <c r="C378" s="3" t="s">
        <v>3</v>
      </c>
      <c r="D378" s="3" t="s">
        <v>3</v>
      </c>
      <c r="E378" s="3" t="s">
        <v>4</v>
      </c>
    </row>
    <row r="379" spans="1:5" hidden="1" x14ac:dyDescent="0.25">
      <c r="A379" s="3" t="s">
        <v>754</v>
      </c>
      <c r="B379" s="3" t="s">
        <v>755</v>
      </c>
      <c r="C379" s="3" t="s">
        <v>3</v>
      </c>
      <c r="D379" s="3" t="s">
        <v>3</v>
      </c>
      <c r="E379" s="3" t="s">
        <v>4</v>
      </c>
    </row>
    <row r="380" spans="1:5" hidden="1" x14ac:dyDescent="0.25">
      <c r="A380" s="3" t="s">
        <v>756</v>
      </c>
      <c r="B380" s="3" t="s">
        <v>757</v>
      </c>
      <c r="C380" s="3" t="s">
        <v>3</v>
      </c>
      <c r="D380" s="3" t="s">
        <v>3</v>
      </c>
      <c r="E380" s="3" t="s">
        <v>4</v>
      </c>
    </row>
    <row r="381" spans="1:5" hidden="1" x14ac:dyDescent="0.25">
      <c r="A381" s="3" t="s">
        <v>758</v>
      </c>
      <c r="B381" s="3" t="s">
        <v>759</v>
      </c>
      <c r="C381" s="3" t="s">
        <v>3</v>
      </c>
      <c r="D381" s="3" t="s">
        <v>3</v>
      </c>
      <c r="E381" s="3" t="s">
        <v>4</v>
      </c>
    </row>
    <row r="382" spans="1:5" hidden="1" x14ac:dyDescent="0.25">
      <c r="A382" s="3" t="s">
        <v>760</v>
      </c>
      <c r="B382" s="3" t="s">
        <v>761</v>
      </c>
      <c r="C382" s="3" t="s">
        <v>3</v>
      </c>
      <c r="D382" s="3" t="s">
        <v>3</v>
      </c>
      <c r="E382" s="3" t="s">
        <v>4</v>
      </c>
    </row>
    <row r="383" spans="1:5" hidden="1" x14ac:dyDescent="0.25">
      <c r="A383" s="3" t="s">
        <v>762</v>
      </c>
      <c r="B383" s="3" t="s">
        <v>763</v>
      </c>
      <c r="C383" s="3" t="s">
        <v>3</v>
      </c>
      <c r="D383" s="3" t="s">
        <v>3</v>
      </c>
      <c r="E383" s="3" t="s">
        <v>4</v>
      </c>
    </row>
    <row r="384" spans="1:5" hidden="1" x14ac:dyDescent="0.25">
      <c r="A384" s="3" t="s">
        <v>764</v>
      </c>
      <c r="B384" s="3" t="s">
        <v>765</v>
      </c>
      <c r="C384" s="3" t="s">
        <v>3</v>
      </c>
      <c r="D384" s="3" t="s">
        <v>3</v>
      </c>
      <c r="E384" s="3" t="s">
        <v>4</v>
      </c>
    </row>
    <row r="385" spans="1:5" hidden="1" x14ac:dyDescent="0.25">
      <c r="A385" s="3" t="s">
        <v>766</v>
      </c>
      <c r="B385" s="3" t="s">
        <v>767</v>
      </c>
      <c r="C385" s="3" t="s">
        <v>3</v>
      </c>
      <c r="D385" s="3" t="s">
        <v>3</v>
      </c>
      <c r="E385" s="3" t="s">
        <v>4</v>
      </c>
    </row>
    <row r="386" spans="1:5" hidden="1" x14ac:dyDescent="0.25">
      <c r="A386" s="3" t="s">
        <v>768</v>
      </c>
      <c r="B386" s="3" t="s">
        <v>769</v>
      </c>
      <c r="C386" s="3" t="s">
        <v>3</v>
      </c>
      <c r="D386" s="3" t="s">
        <v>3</v>
      </c>
      <c r="E386" s="3" t="s">
        <v>4</v>
      </c>
    </row>
    <row r="387" spans="1:5" hidden="1" x14ac:dyDescent="0.25">
      <c r="A387" s="3" t="s">
        <v>770</v>
      </c>
      <c r="B387" s="3" t="s">
        <v>771</v>
      </c>
      <c r="C387" s="3" t="s">
        <v>3</v>
      </c>
      <c r="D387" s="3" t="s">
        <v>3</v>
      </c>
      <c r="E387" s="3" t="s">
        <v>4</v>
      </c>
    </row>
    <row r="388" spans="1:5" hidden="1" x14ac:dyDescent="0.25">
      <c r="A388" s="3" t="s">
        <v>772</v>
      </c>
      <c r="B388" s="3" t="s">
        <v>773</v>
      </c>
      <c r="C388" s="3" t="s">
        <v>3</v>
      </c>
      <c r="D388" s="3" t="s">
        <v>3</v>
      </c>
      <c r="E388" s="3" t="s">
        <v>4</v>
      </c>
    </row>
    <row r="389" spans="1:5" hidden="1" x14ac:dyDescent="0.25">
      <c r="A389" s="3" t="s">
        <v>774</v>
      </c>
      <c r="B389" s="3" t="s">
        <v>775</v>
      </c>
      <c r="C389" s="3" t="s">
        <v>3</v>
      </c>
      <c r="D389" s="3" t="s">
        <v>3</v>
      </c>
      <c r="E389" s="3" t="s">
        <v>4</v>
      </c>
    </row>
    <row r="390" spans="1:5" hidden="1" x14ac:dyDescent="0.25">
      <c r="A390" s="3" t="s">
        <v>776</v>
      </c>
      <c r="B390" s="3" t="s">
        <v>777</v>
      </c>
      <c r="C390" s="3" t="s">
        <v>3</v>
      </c>
      <c r="D390" s="3" t="s">
        <v>3</v>
      </c>
      <c r="E390" s="3" t="s">
        <v>4</v>
      </c>
    </row>
    <row r="391" spans="1:5" hidden="1" x14ac:dyDescent="0.25">
      <c r="A391" s="3" t="s">
        <v>778</v>
      </c>
      <c r="B391" s="3" t="s">
        <v>779</v>
      </c>
      <c r="C391" s="3" t="s">
        <v>3</v>
      </c>
      <c r="D391" s="3" t="s">
        <v>3</v>
      </c>
      <c r="E391" s="3" t="s">
        <v>4</v>
      </c>
    </row>
    <row r="392" spans="1:5" hidden="1" x14ac:dyDescent="0.25">
      <c r="A392" s="3" t="s">
        <v>780</v>
      </c>
      <c r="B392" s="3" t="s">
        <v>781</v>
      </c>
      <c r="C392" s="3" t="s">
        <v>3</v>
      </c>
      <c r="D392" s="3" t="s">
        <v>3</v>
      </c>
      <c r="E392" s="3" t="s">
        <v>4</v>
      </c>
    </row>
    <row r="393" spans="1:5" hidden="1" x14ac:dyDescent="0.25">
      <c r="A393" s="3" t="s">
        <v>782</v>
      </c>
      <c r="B393" s="3" t="s">
        <v>783</v>
      </c>
      <c r="C393" s="3" t="s">
        <v>3</v>
      </c>
      <c r="D393" s="3" t="s">
        <v>3</v>
      </c>
      <c r="E393" s="3" t="s">
        <v>4</v>
      </c>
    </row>
    <row r="394" spans="1:5" hidden="1" x14ac:dyDescent="0.25">
      <c r="A394" s="3" t="s">
        <v>784</v>
      </c>
      <c r="B394" s="3" t="s">
        <v>785</v>
      </c>
      <c r="C394" s="3" t="s">
        <v>3</v>
      </c>
      <c r="D394" s="3" t="s">
        <v>3</v>
      </c>
      <c r="E394" s="3" t="s">
        <v>4</v>
      </c>
    </row>
    <row r="395" spans="1:5" hidden="1" x14ac:dyDescent="0.25">
      <c r="A395" s="3" t="s">
        <v>786</v>
      </c>
      <c r="B395" s="3" t="s">
        <v>787</v>
      </c>
      <c r="C395" s="3" t="s">
        <v>3</v>
      </c>
      <c r="D395" s="3" t="s">
        <v>3</v>
      </c>
      <c r="E395" s="3" t="s">
        <v>4</v>
      </c>
    </row>
    <row r="396" spans="1:5" hidden="1" x14ac:dyDescent="0.25">
      <c r="A396" s="3" t="s">
        <v>788</v>
      </c>
      <c r="B396" s="3" t="s">
        <v>789</v>
      </c>
      <c r="C396" s="3" t="s">
        <v>3</v>
      </c>
      <c r="D396" s="3" t="s">
        <v>3</v>
      </c>
      <c r="E396" s="3" t="s">
        <v>4</v>
      </c>
    </row>
    <row r="397" spans="1:5" hidden="1" x14ac:dyDescent="0.25">
      <c r="A397" s="3" t="s">
        <v>790</v>
      </c>
      <c r="B397" s="3" t="s">
        <v>791</v>
      </c>
      <c r="C397" s="3" t="s">
        <v>3</v>
      </c>
      <c r="D397" s="3" t="s">
        <v>3</v>
      </c>
      <c r="E397" s="3" t="s">
        <v>4</v>
      </c>
    </row>
    <row r="398" spans="1:5" hidden="1" x14ac:dyDescent="0.25">
      <c r="A398" s="3" t="s">
        <v>792</v>
      </c>
      <c r="B398" s="3" t="s">
        <v>793</v>
      </c>
      <c r="C398" s="3" t="s">
        <v>3</v>
      </c>
      <c r="D398" s="3" t="s">
        <v>3</v>
      </c>
      <c r="E398" s="3" t="s">
        <v>4</v>
      </c>
    </row>
    <row r="399" spans="1:5" hidden="1" x14ac:dyDescent="0.25">
      <c r="A399" s="3" t="s">
        <v>794</v>
      </c>
      <c r="B399" s="3" t="s">
        <v>795</v>
      </c>
      <c r="C399" s="3" t="s">
        <v>3</v>
      </c>
      <c r="D399" s="3" t="s">
        <v>3</v>
      </c>
      <c r="E399" s="3" t="s">
        <v>4</v>
      </c>
    </row>
    <row r="400" spans="1:5" hidden="1" x14ac:dyDescent="0.25">
      <c r="A400" s="3" t="s">
        <v>796</v>
      </c>
      <c r="B400" s="3" t="s">
        <v>797</v>
      </c>
      <c r="C400" s="3" t="s">
        <v>3</v>
      </c>
      <c r="D400" s="3" t="s">
        <v>3</v>
      </c>
      <c r="E400" s="3" t="s">
        <v>4</v>
      </c>
    </row>
    <row r="401" spans="1:5" hidden="1" x14ac:dyDescent="0.25">
      <c r="A401" s="3" t="s">
        <v>798</v>
      </c>
      <c r="B401" s="3" t="s">
        <v>799</v>
      </c>
      <c r="C401" s="3" t="s">
        <v>3</v>
      </c>
      <c r="D401" s="3" t="s">
        <v>3</v>
      </c>
      <c r="E401" s="3" t="s">
        <v>4</v>
      </c>
    </row>
    <row r="402" spans="1:5" hidden="1" x14ac:dyDescent="0.25">
      <c r="A402" s="3" t="s">
        <v>800</v>
      </c>
      <c r="B402" s="3" t="s">
        <v>801</v>
      </c>
      <c r="C402" s="3" t="s">
        <v>3</v>
      </c>
      <c r="D402" s="3" t="s">
        <v>3</v>
      </c>
      <c r="E402" s="3" t="s">
        <v>4</v>
      </c>
    </row>
    <row r="403" spans="1:5" hidden="1" x14ac:dyDescent="0.25">
      <c r="A403" s="3" t="s">
        <v>802</v>
      </c>
      <c r="B403" s="3" t="s">
        <v>803</v>
      </c>
      <c r="C403" s="3" t="s">
        <v>3</v>
      </c>
      <c r="D403" s="3" t="s">
        <v>3</v>
      </c>
      <c r="E403" s="3" t="s">
        <v>4</v>
      </c>
    </row>
    <row r="404" spans="1:5" hidden="1" x14ac:dyDescent="0.25">
      <c r="A404" s="3" t="s">
        <v>804</v>
      </c>
      <c r="B404" s="3" t="s">
        <v>805</v>
      </c>
      <c r="C404" s="3" t="s">
        <v>3</v>
      </c>
      <c r="D404" s="3" t="s">
        <v>3</v>
      </c>
      <c r="E404" s="3" t="s">
        <v>4</v>
      </c>
    </row>
    <row r="405" spans="1:5" hidden="1" x14ac:dyDescent="0.25">
      <c r="A405" s="3" t="s">
        <v>806</v>
      </c>
      <c r="B405" s="3" t="s">
        <v>807</v>
      </c>
      <c r="C405" s="3" t="s">
        <v>3</v>
      </c>
      <c r="D405" s="3" t="s">
        <v>3</v>
      </c>
      <c r="E405" s="3" t="s">
        <v>4</v>
      </c>
    </row>
    <row r="406" spans="1:5" hidden="1" x14ac:dyDescent="0.25">
      <c r="A406" s="3" t="s">
        <v>808</v>
      </c>
      <c r="B406" s="3" t="s">
        <v>809</v>
      </c>
      <c r="C406" s="3" t="s">
        <v>3</v>
      </c>
      <c r="D406" s="3" t="s">
        <v>3</v>
      </c>
      <c r="E406" s="3" t="s">
        <v>4</v>
      </c>
    </row>
    <row r="407" spans="1:5" hidden="1" x14ac:dyDescent="0.25">
      <c r="A407" s="3" t="s">
        <v>810</v>
      </c>
      <c r="B407" s="3" t="s">
        <v>811</v>
      </c>
      <c r="C407" s="3" t="s">
        <v>3</v>
      </c>
      <c r="D407" s="3" t="s">
        <v>3</v>
      </c>
      <c r="E407" s="3" t="s">
        <v>4</v>
      </c>
    </row>
    <row r="408" spans="1:5" hidden="1" x14ac:dyDescent="0.25">
      <c r="A408" s="3" t="s">
        <v>812</v>
      </c>
      <c r="B408" s="3" t="s">
        <v>813</v>
      </c>
      <c r="C408" s="3" t="s">
        <v>3</v>
      </c>
      <c r="D408" s="3" t="s">
        <v>3</v>
      </c>
      <c r="E408" s="3" t="s">
        <v>4</v>
      </c>
    </row>
    <row r="409" spans="1:5" hidden="1" x14ac:dyDescent="0.25">
      <c r="A409" s="3" t="s">
        <v>814</v>
      </c>
      <c r="B409" s="3" t="s">
        <v>815</v>
      </c>
      <c r="C409" s="3" t="s">
        <v>3</v>
      </c>
      <c r="D409" s="3" t="s">
        <v>3</v>
      </c>
      <c r="E409" s="3" t="s">
        <v>4</v>
      </c>
    </row>
    <row r="410" spans="1:5" hidden="1" x14ac:dyDescent="0.25">
      <c r="A410" s="3" t="s">
        <v>816</v>
      </c>
      <c r="B410" s="3" t="s">
        <v>817</v>
      </c>
      <c r="C410" s="3" t="s">
        <v>3</v>
      </c>
      <c r="D410" s="3" t="s">
        <v>3</v>
      </c>
      <c r="E410" s="3" t="s">
        <v>4</v>
      </c>
    </row>
    <row r="411" spans="1:5" hidden="1" x14ac:dyDescent="0.25">
      <c r="A411" s="3" t="s">
        <v>818</v>
      </c>
      <c r="B411" s="3" t="s">
        <v>819</v>
      </c>
      <c r="C411" s="3" t="s">
        <v>3</v>
      </c>
      <c r="D411" s="3" t="s">
        <v>3</v>
      </c>
      <c r="E411" s="3" t="s">
        <v>4</v>
      </c>
    </row>
    <row r="412" spans="1:5" hidden="1" x14ac:dyDescent="0.25">
      <c r="A412" s="3" t="s">
        <v>820</v>
      </c>
      <c r="B412" s="3" t="s">
        <v>821</v>
      </c>
      <c r="C412" s="3" t="s">
        <v>3</v>
      </c>
      <c r="D412" s="3" t="s">
        <v>3</v>
      </c>
      <c r="E412" s="3" t="s">
        <v>4</v>
      </c>
    </row>
    <row r="413" spans="1:5" hidden="1" x14ac:dyDescent="0.25">
      <c r="A413" s="3" t="s">
        <v>822</v>
      </c>
      <c r="B413" s="3" t="s">
        <v>823</v>
      </c>
      <c r="C413" s="3" t="s">
        <v>3</v>
      </c>
      <c r="D413" s="3" t="s">
        <v>3</v>
      </c>
      <c r="E413" s="3" t="s">
        <v>4</v>
      </c>
    </row>
    <row r="414" spans="1:5" hidden="1" x14ac:dyDescent="0.25">
      <c r="A414" s="3" t="s">
        <v>824</v>
      </c>
      <c r="B414" s="3" t="s">
        <v>825</v>
      </c>
      <c r="C414" s="3" t="s">
        <v>3</v>
      </c>
      <c r="D414" s="3" t="s">
        <v>3</v>
      </c>
      <c r="E414" s="3" t="s">
        <v>4</v>
      </c>
    </row>
    <row r="415" spans="1:5" hidden="1" x14ac:dyDescent="0.25">
      <c r="A415" s="3" t="s">
        <v>826</v>
      </c>
      <c r="B415" s="3" t="s">
        <v>827</v>
      </c>
      <c r="C415" s="3" t="s">
        <v>3</v>
      </c>
      <c r="D415" s="3" t="s">
        <v>3</v>
      </c>
      <c r="E415" s="3" t="s">
        <v>4</v>
      </c>
    </row>
    <row r="416" spans="1:5" hidden="1" x14ac:dyDescent="0.25">
      <c r="A416" s="3" t="s">
        <v>828</v>
      </c>
      <c r="B416" s="3" t="s">
        <v>829</v>
      </c>
      <c r="C416" s="3" t="s">
        <v>3</v>
      </c>
      <c r="D416" s="3" t="s">
        <v>3</v>
      </c>
      <c r="E416" s="3" t="s">
        <v>4</v>
      </c>
    </row>
    <row r="417" spans="1:5" hidden="1" x14ac:dyDescent="0.25">
      <c r="A417" s="3" t="s">
        <v>830</v>
      </c>
      <c r="B417" s="3" t="s">
        <v>831</v>
      </c>
      <c r="C417" s="3" t="s">
        <v>3</v>
      </c>
      <c r="D417" s="3" t="s">
        <v>3</v>
      </c>
      <c r="E417" s="3" t="s">
        <v>4</v>
      </c>
    </row>
    <row r="418" spans="1:5" hidden="1" x14ac:dyDescent="0.25">
      <c r="A418" s="3" t="s">
        <v>832</v>
      </c>
      <c r="B418" s="3" t="s">
        <v>833</v>
      </c>
      <c r="C418" s="3" t="s">
        <v>3</v>
      </c>
      <c r="D418" s="3" t="s">
        <v>3</v>
      </c>
      <c r="E418" s="3" t="s">
        <v>4</v>
      </c>
    </row>
    <row r="419" spans="1:5" hidden="1" x14ac:dyDescent="0.25">
      <c r="A419" s="3" t="s">
        <v>834</v>
      </c>
      <c r="B419" s="3" t="s">
        <v>835</v>
      </c>
      <c r="C419" s="3" t="s">
        <v>3</v>
      </c>
      <c r="D419" s="3" t="s">
        <v>3</v>
      </c>
      <c r="E419" s="3" t="s">
        <v>4</v>
      </c>
    </row>
    <row r="420" spans="1:5" hidden="1" x14ac:dyDescent="0.25">
      <c r="A420" s="3" t="s">
        <v>836</v>
      </c>
      <c r="B420" s="3" t="s">
        <v>837</v>
      </c>
      <c r="C420" s="3" t="s">
        <v>3</v>
      </c>
      <c r="D420" s="3" t="s">
        <v>3</v>
      </c>
      <c r="E420" s="3" t="s">
        <v>4</v>
      </c>
    </row>
    <row r="421" spans="1:5" hidden="1" x14ac:dyDescent="0.25">
      <c r="A421" s="3" t="s">
        <v>838</v>
      </c>
      <c r="B421" s="3" t="s">
        <v>839</v>
      </c>
      <c r="C421" s="3" t="s">
        <v>3</v>
      </c>
      <c r="D421" s="3" t="s">
        <v>3</v>
      </c>
      <c r="E421" s="3" t="s">
        <v>4</v>
      </c>
    </row>
    <row r="422" spans="1:5" hidden="1" x14ac:dyDescent="0.25">
      <c r="A422" s="3" t="s">
        <v>840</v>
      </c>
      <c r="B422" s="3" t="s">
        <v>841</v>
      </c>
      <c r="C422" s="3" t="s">
        <v>3</v>
      </c>
      <c r="D422" s="3" t="s">
        <v>3</v>
      </c>
      <c r="E422" s="3" t="s">
        <v>4</v>
      </c>
    </row>
    <row r="423" spans="1:5" hidden="1" x14ac:dyDescent="0.25">
      <c r="A423" s="3" t="s">
        <v>842</v>
      </c>
      <c r="B423" s="3" t="s">
        <v>843</v>
      </c>
      <c r="C423" s="3" t="s">
        <v>3</v>
      </c>
      <c r="D423" s="3" t="s">
        <v>3</v>
      </c>
      <c r="E423" s="3" t="s">
        <v>4</v>
      </c>
    </row>
    <row r="424" spans="1:5" hidden="1" x14ac:dyDescent="0.25">
      <c r="A424" s="3" t="s">
        <v>844</v>
      </c>
      <c r="B424" s="3" t="s">
        <v>845</v>
      </c>
      <c r="C424" s="3" t="s">
        <v>3</v>
      </c>
      <c r="D424" s="3" t="s">
        <v>3</v>
      </c>
      <c r="E424" s="3" t="s">
        <v>4</v>
      </c>
    </row>
    <row r="425" spans="1:5" hidden="1" x14ac:dyDescent="0.25">
      <c r="A425" s="3" t="s">
        <v>846</v>
      </c>
      <c r="B425" s="3" t="s">
        <v>847</v>
      </c>
      <c r="C425" s="3" t="s">
        <v>3</v>
      </c>
      <c r="D425" s="3" t="s">
        <v>3</v>
      </c>
      <c r="E425" s="3" t="s">
        <v>4</v>
      </c>
    </row>
    <row r="426" spans="1:5" hidden="1" x14ac:dyDescent="0.25">
      <c r="A426" s="3" t="s">
        <v>848</v>
      </c>
      <c r="B426" s="3" t="s">
        <v>849</v>
      </c>
      <c r="C426" s="3" t="s">
        <v>3</v>
      </c>
      <c r="D426" s="3" t="s">
        <v>3</v>
      </c>
      <c r="E426" s="3" t="s">
        <v>4</v>
      </c>
    </row>
    <row r="427" spans="1:5" hidden="1" x14ac:dyDescent="0.25">
      <c r="A427" s="3" t="s">
        <v>850</v>
      </c>
      <c r="B427" s="3" t="s">
        <v>851</v>
      </c>
      <c r="C427" s="3" t="s">
        <v>3</v>
      </c>
      <c r="D427" s="3" t="s">
        <v>3</v>
      </c>
      <c r="E427" s="3" t="s">
        <v>4</v>
      </c>
    </row>
    <row r="428" spans="1:5" hidden="1" x14ac:dyDescent="0.25">
      <c r="A428" s="3" t="s">
        <v>852</v>
      </c>
      <c r="B428" s="3" t="s">
        <v>853</v>
      </c>
      <c r="C428" s="3" t="s">
        <v>3</v>
      </c>
      <c r="D428" s="3" t="s">
        <v>3</v>
      </c>
      <c r="E428" s="3" t="s">
        <v>4</v>
      </c>
    </row>
    <row r="429" spans="1:5" hidden="1" x14ac:dyDescent="0.25">
      <c r="A429" s="3" t="s">
        <v>854</v>
      </c>
      <c r="B429" s="3" t="s">
        <v>855</v>
      </c>
      <c r="C429" s="3" t="s">
        <v>3</v>
      </c>
      <c r="D429" s="3" t="s">
        <v>3</v>
      </c>
      <c r="E429" s="3" t="s">
        <v>4</v>
      </c>
    </row>
    <row r="430" spans="1:5" hidden="1" x14ac:dyDescent="0.25">
      <c r="A430" s="3" t="s">
        <v>856</v>
      </c>
      <c r="B430" s="3" t="s">
        <v>857</v>
      </c>
      <c r="C430" s="3" t="s">
        <v>3</v>
      </c>
      <c r="D430" s="3" t="s">
        <v>3</v>
      </c>
      <c r="E430" s="3" t="s">
        <v>4</v>
      </c>
    </row>
    <row r="431" spans="1:5" hidden="1" x14ac:dyDescent="0.25">
      <c r="A431" s="3" t="s">
        <v>858</v>
      </c>
      <c r="B431" s="3" t="s">
        <v>859</v>
      </c>
      <c r="C431" s="3" t="s">
        <v>3</v>
      </c>
      <c r="D431" s="3" t="s">
        <v>3</v>
      </c>
      <c r="E431" s="3" t="s">
        <v>4</v>
      </c>
    </row>
    <row r="432" spans="1:5" hidden="1" x14ac:dyDescent="0.25">
      <c r="A432" s="3" t="s">
        <v>860</v>
      </c>
      <c r="B432" s="3" t="s">
        <v>861</v>
      </c>
      <c r="C432" s="3" t="s">
        <v>3</v>
      </c>
      <c r="D432" s="3" t="s">
        <v>3</v>
      </c>
      <c r="E432" s="3" t="s">
        <v>4</v>
      </c>
    </row>
    <row r="433" spans="1:5" hidden="1" x14ac:dyDescent="0.25">
      <c r="A433" s="3" t="s">
        <v>862</v>
      </c>
      <c r="B433" s="3" t="s">
        <v>863</v>
      </c>
      <c r="C433" s="3" t="s">
        <v>3</v>
      </c>
      <c r="D433" s="3" t="s">
        <v>3</v>
      </c>
      <c r="E433" s="3" t="s">
        <v>4</v>
      </c>
    </row>
    <row r="434" spans="1:5" hidden="1" x14ac:dyDescent="0.25">
      <c r="A434" s="3" t="s">
        <v>864</v>
      </c>
      <c r="B434" s="3" t="s">
        <v>865</v>
      </c>
      <c r="C434" s="3" t="s">
        <v>3</v>
      </c>
      <c r="D434" s="3" t="s">
        <v>3</v>
      </c>
      <c r="E434" s="3" t="s">
        <v>4</v>
      </c>
    </row>
    <row r="435" spans="1:5" hidden="1" x14ac:dyDescent="0.25">
      <c r="A435" s="3" t="s">
        <v>866</v>
      </c>
      <c r="B435" s="3" t="s">
        <v>867</v>
      </c>
      <c r="C435" s="3" t="s">
        <v>3</v>
      </c>
      <c r="D435" s="3" t="s">
        <v>3</v>
      </c>
      <c r="E435" s="3" t="s">
        <v>4</v>
      </c>
    </row>
    <row r="436" spans="1:5" hidden="1" x14ac:dyDescent="0.25">
      <c r="A436" s="3" t="s">
        <v>868</v>
      </c>
      <c r="B436" s="3" t="s">
        <v>869</v>
      </c>
      <c r="C436" s="3" t="s">
        <v>3</v>
      </c>
      <c r="D436" s="3" t="s">
        <v>3</v>
      </c>
      <c r="E436" s="3" t="s">
        <v>4</v>
      </c>
    </row>
    <row r="437" spans="1:5" hidden="1" x14ac:dyDescent="0.25">
      <c r="A437" s="3" t="s">
        <v>870</v>
      </c>
      <c r="B437" s="3" t="s">
        <v>871</v>
      </c>
      <c r="C437" s="3" t="s">
        <v>3</v>
      </c>
      <c r="D437" s="3" t="s">
        <v>3</v>
      </c>
      <c r="E437" s="3" t="s">
        <v>4</v>
      </c>
    </row>
    <row r="438" spans="1:5" hidden="1" x14ac:dyDescent="0.25">
      <c r="A438" s="3" t="s">
        <v>872</v>
      </c>
      <c r="B438" s="3" t="s">
        <v>873</v>
      </c>
      <c r="C438" s="3" t="s">
        <v>3</v>
      </c>
      <c r="D438" s="3" t="s">
        <v>3</v>
      </c>
      <c r="E438" s="3" t="s">
        <v>4</v>
      </c>
    </row>
    <row r="439" spans="1:5" hidden="1" x14ac:dyDescent="0.25">
      <c r="A439" s="3" t="s">
        <v>874</v>
      </c>
      <c r="B439" s="3" t="s">
        <v>875</v>
      </c>
      <c r="C439" s="3" t="s">
        <v>3</v>
      </c>
      <c r="D439" s="3" t="s">
        <v>3</v>
      </c>
      <c r="E439" s="3" t="s">
        <v>4</v>
      </c>
    </row>
    <row r="440" spans="1:5" hidden="1" x14ac:dyDescent="0.25">
      <c r="A440" s="3" t="s">
        <v>876</v>
      </c>
      <c r="B440" s="3" t="s">
        <v>877</v>
      </c>
      <c r="C440" s="3" t="s">
        <v>3</v>
      </c>
      <c r="D440" s="3" t="s">
        <v>3</v>
      </c>
      <c r="E440" s="3" t="s">
        <v>4</v>
      </c>
    </row>
    <row r="441" spans="1:5" hidden="1" x14ac:dyDescent="0.25">
      <c r="A441" s="3" t="s">
        <v>878</v>
      </c>
      <c r="B441" s="3" t="s">
        <v>879</v>
      </c>
      <c r="C441" s="3" t="s">
        <v>3</v>
      </c>
      <c r="D441" s="3" t="s">
        <v>3</v>
      </c>
      <c r="E441" s="3" t="s">
        <v>4</v>
      </c>
    </row>
    <row r="442" spans="1:5" hidden="1" x14ac:dyDescent="0.25">
      <c r="A442" s="3" t="s">
        <v>880</v>
      </c>
      <c r="B442" s="3" t="s">
        <v>881</v>
      </c>
      <c r="C442" s="3" t="s">
        <v>3</v>
      </c>
      <c r="D442" s="3" t="s">
        <v>3</v>
      </c>
      <c r="E442" s="3" t="s">
        <v>4</v>
      </c>
    </row>
    <row r="443" spans="1:5" hidden="1" x14ac:dyDescent="0.25">
      <c r="A443" s="3" t="s">
        <v>882</v>
      </c>
      <c r="B443" s="3" t="s">
        <v>883</v>
      </c>
      <c r="C443" s="3" t="s">
        <v>3</v>
      </c>
      <c r="D443" s="3" t="s">
        <v>3</v>
      </c>
      <c r="E443" s="3" t="s">
        <v>4</v>
      </c>
    </row>
    <row r="444" spans="1:5" hidden="1" x14ac:dyDescent="0.25">
      <c r="A444" s="3" t="s">
        <v>884</v>
      </c>
      <c r="B444" s="3" t="s">
        <v>885</v>
      </c>
      <c r="C444" s="3" t="s">
        <v>3</v>
      </c>
      <c r="D444" s="3" t="s">
        <v>3</v>
      </c>
      <c r="E444" s="3" t="s">
        <v>4</v>
      </c>
    </row>
    <row r="445" spans="1:5" hidden="1" x14ac:dyDescent="0.25">
      <c r="A445" s="3" t="s">
        <v>886</v>
      </c>
      <c r="B445" s="3" t="s">
        <v>887</v>
      </c>
      <c r="C445" s="3" t="s">
        <v>3</v>
      </c>
      <c r="D445" s="3" t="s">
        <v>3</v>
      </c>
      <c r="E445" s="3" t="s">
        <v>4</v>
      </c>
    </row>
    <row r="446" spans="1:5" hidden="1" x14ac:dyDescent="0.25">
      <c r="A446" s="3" t="s">
        <v>888</v>
      </c>
      <c r="B446" s="3" t="s">
        <v>889</v>
      </c>
      <c r="C446" s="3" t="s">
        <v>3</v>
      </c>
      <c r="D446" s="3" t="s">
        <v>3</v>
      </c>
      <c r="E446" s="3" t="s">
        <v>4</v>
      </c>
    </row>
    <row r="447" spans="1:5" hidden="1" x14ac:dyDescent="0.25">
      <c r="A447" s="3" t="s">
        <v>890</v>
      </c>
      <c r="B447" s="3" t="s">
        <v>891</v>
      </c>
      <c r="C447" s="3" t="s">
        <v>3</v>
      </c>
      <c r="D447" s="3" t="s">
        <v>3</v>
      </c>
      <c r="E447" s="3" t="s">
        <v>4</v>
      </c>
    </row>
    <row r="448" spans="1:5" hidden="1" x14ac:dyDescent="0.25">
      <c r="A448" s="3" t="s">
        <v>892</v>
      </c>
      <c r="B448" s="3" t="s">
        <v>893</v>
      </c>
      <c r="C448" s="3" t="s">
        <v>3</v>
      </c>
      <c r="D448" s="3" t="s">
        <v>3</v>
      </c>
      <c r="E448" s="3" t="s">
        <v>4</v>
      </c>
    </row>
    <row r="449" spans="1:5" hidden="1" x14ac:dyDescent="0.25">
      <c r="A449" s="3" t="s">
        <v>894</v>
      </c>
      <c r="B449" s="3" t="s">
        <v>895</v>
      </c>
      <c r="C449" s="3" t="s">
        <v>3</v>
      </c>
      <c r="D449" s="3" t="s">
        <v>3</v>
      </c>
      <c r="E449" s="3" t="s">
        <v>4</v>
      </c>
    </row>
    <row r="450" spans="1:5" hidden="1" x14ac:dyDescent="0.25">
      <c r="A450" s="3" t="s">
        <v>896</v>
      </c>
      <c r="B450" s="3" t="s">
        <v>897</v>
      </c>
      <c r="C450" s="3" t="s">
        <v>3</v>
      </c>
      <c r="D450" s="3" t="s">
        <v>3</v>
      </c>
      <c r="E450" s="3" t="s">
        <v>4</v>
      </c>
    </row>
    <row r="451" spans="1:5" hidden="1" x14ac:dyDescent="0.25">
      <c r="A451" s="3" t="s">
        <v>898</v>
      </c>
      <c r="B451" s="3" t="s">
        <v>899</v>
      </c>
      <c r="C451" s="3" t="s">
        <v>3</v>
      </c>
      <c r="D451" s="3" t="s">
        <v>3</v>
      </c>
      <c r="E451" s="3" t="s">
        <v>4</v>
      </c>
    </row>
    <row r="452" spans="1:5" hidden="1" x14ac:dyDescent="0.25">
      <c r="A452" s="3" t="s">
        <v>900</v>
      </c>
      <c r="B452" s="3" t="s">
        <v>901</v>
      </c>
      <c r="C452" s="3" t="s">
        <v>3</v>
      </c>
      <c r="D452" s="3" t="s">
        <v>3</v>
      </c>
      <c r="E452" s="3" t="s">
        <v>4</v>
      </c>
    </row>
    <row r="453" spans="1:5" hidden="1" x14ac:dyDescent="0.25">
      <c r="A453" s="3" t="s">
        <v>902</v>
      </c>
      <c r="B453" s="3" t="s">
        <v>903</v>
      </c>
      <c r="C453" s="3" t="s">
        <v>3</v>
      </c>
      <c r="D453" s="3" t="s">
        <v>3</v>
      </c>
      <c r="E453" s="3" t="s">
        <v>4</v>
      </c>
    </row>
    <row r="454" spans="1:5" hidden="1" x14ac:dyDescent="0.25">
      <c r="A454" s="3" t="s">
        <v>904</v>
      </c>
      <c r="B454" s="3" t="s">
        <v>905</v>
      </c>
      <c r="C454" s="3" t="s">
        <v>3</v>
      </c>
      <c r="D454" s="3" t="s">
        <v>3</v>
      </c>
      <c r="E454" s="3" t="s">
        <v>4</v>
      </c>
    </row>
    <row r="455" spans="1:5" hidden="1" x14ac:dyDescent="0.25">
      <c r="A455" s="3" t="s">
        <v>906</v>
      </c>
      <c r="B455" s="3" t="s">
        <v>907</v>
      </c>
      <c r="C455" s="3" t="s">
        <v>3</v>
      </c>
      <c r="D455" s="3" t="s">
        <v>3</v>
      </c>
      <c r="E455" s="3" t="s">
        <v>4</v>
      </c>
    </row>
    <row r="456" spans="1:5" hidden="1" x14ac:dyDescent="0.25">
      <c r="A456" s="3" t="s">
        <v>908</v>
      </c>
      <c r="B456" s="3" t="s">
        <v>909</v>
      </c>
      <c r="C456" s="3" t="s">
        <v>3</v>
      </c>
      <c r="D456" s="3" t="s">
        <v>3</v>
      </c>
      <c r="E456" s="3" t="s">
        <v>4</v>
      </c>
    </row>
    <row r="457" spans="1:5" hidden="1" x14ac:dyDescent="0.25">
      <c r="A457" s="3" t="s">
        <v>910</v>
      </c>
      <c r="B457" s="3" t="s">
        <v>911</v>
      </c>
      <c r="C457" s="3" t="s">
        <v>3</v>
      </c>
      <c r="D457" s="3" t="s">
        <v>3</v>
      </c>
      <c r="E457" s="3" t="s">
        <v>4</v>
      </c>
    </row>
    <row r="458" spans="1:5" hidden="1" x14ac:dyDescent="0.25">
      <c r="A458" s="3" t="s">
        <v>912</v>
      </c>
      <c r="B458" s="3" t="s">
        <v>913</v>
      </c>
      <c r="C458" s="3" t="s">
        <v>3</v>
      </c>
      <c r="D458" s="3" t="s">
        <v>3</v>
      </c>
      <c r="E458" s="3" t="s">
        <v>4</v>
      </c>
    </row>
    <row r="459" spans="1:5" hidden="1" x14ac:dyDescent="0.25">
      <c r="A459" s="3" t="s">
        <v>914</v>
      </c>
      <c r="B459" s="3" t="s">
        <v>915</v>
      </c>
      <c r="C459" s="3" t="s">
        <v>3</v>
      </c>
      <c r="D459" s="3" t="s">
        <v>3</v>
      </c>
      <c r="E459" s="3" t="s">
        <v>4</v>
      </c>
    </row>
    <row r="460" spans="1:5" hidden="1" x14ac:dyDescent="0.25">
      <c r="A460" s="3" t="s">
        <v>916</v>
      </c>
      <c r="B460" s="3" t="s">
        <v>917</v>
      </c>
      <c r="C460" s="3" t="s">
        <v>3</v>
      </c>
      <c r="D460" s="3" t="s">
        <v>3</v>
      </c>
      <c r="E460" s="3" t="s">
        <v>4</v>
      </c>
    </row>
    <row r="461" spans="1:5" hidden="1" x14ac:dyDescent="0.25">
      <c r="A461" s="3" t="s">
        <v>918</v>
      </c>
      <c r="B461" s="3" t="s">
        <v>919</v>
      </c>
      <c r="C461" s="3" t="s">
        <v>3</v>
      </c>
      <c r="D461" s="3" t="s">
        <v>3</v>
      </c>
      <c r="E461" s="3" t="s">
        <v>4</v>
      </c>
    </row>
    <row r="462" spans="1:5" hidden="1" x14ac:dyDescent="0.25">
      <c r="A462" s="3" t="s">
        <v>920</v>
      </c>
      <c r="B462" s="3" t="s">
        <v>921</v>
      </c>
      <c r="C462" s="3" t="s">
        <v>3</v>
      </c>
      <c r="D462" s="3" t="s">
        <v>3</v>
      </c>
      <c r="E462" s="3" t="s">
        <v>4</v>
      </c>
    </row>
    <row r="463" spans="1:5" hidden="1" x14ac:dyDescent="0.25">
      <c r="A463" s="3" t="s">
        <v>922</v>
      </c>
      <c r="B463" s="3" t="s">
        <v>923</v>
      </c>
      <c r="C463" s="3" t="s">
        <v>3</v>
      </c>
      <c r="D463" s="3" t="s">
        <v>3</v>
      </c>
      <c r="E463" s="3" t="s">
        <v>4</v>
      </c>
    </row>
    <row r="464" spans="1:5" hidden="1" x14ac:dyDescent="0.25">
      <c r="A464" s="3" t="s">
        <v>924</v>
      </c>
      <c r="B464" s="3" t="s">
        <v>925</v>
      </c>
      <c r="C464" s="3" t="s">
        <v>3</v>
      </c>
      <c r="D464" s="3" t="s">
        <v>3</v>
      </c>
      <c r="E464" s="3" t="s">
        <v>4</v>
      </c>
    </row>
    <row r="465" spans="1:5" hidden="1" x14ac:dyDescent="0.25">
      <c r="A465" s="3" t="s">
        <v>926</v>
      </c>
      <c r="B465" s="3" t="s">
        <v>927</v>
      </c>
      <c r="C465" s="3" t="s">
        <v>3</v>
      </c>
      <c r="D465" s="3" t="s">
        <v>3</v>
      </c>
      <c r="E465" s="3" t="s">
        <v>4</v>
      </c>
    </row>
    <row r="466" spans="1:5" hidden="1" x14ac:dyDescent="0.25">
      <c r="A466" s="3" t="s">
        <v>928</v>
      </c>
      <c r="B466" s="3" t="s">
        <v>929</v>
      </c>
      <c r="C466" s="3" t="s">
        <v>3</v>
      </c>
      <c r="D466" s="3" t="s">
        <v>3</v>
      </c>
      <c r="E466" s="3" t="s">
        <v>4</v>
      </c>
    </row>
    <row r="467" spans="1:5" hidden="1" x14ac:dyDescent="0.25">
      <c r="A467" s="3" t="s">
        <v>930</v>
      </c>
      <c r="B467" s="3" t="s">
        <v>931</v>
      </c>
      <c r="C467" s="3" t="s">
        <v>3</v>
      </c>
      <c r="D467" s="3" t="s">
        <v>3</v>
      </c>
      <c r="E467" s="3" t="s">
        <v>4</v>
      </c>
    </row>
    <row r="468" spans="1:5" hidden="1" x14ac:dyDescent="0.25">
      <c r="A468" s="3" t="s">
        <v>932</v>
      </c>
      <c r="B468" s="3" t="s">
        <v>933</v>
      </c>
      <c r="C468" s="3" t="s">
        <v>3</v>
      </c>
      <c r="D468" s="3" t="s">
        <v>3</v>
      </c>
      <c r="E468" s="3" t="s">
        <v>4</v>
      </c>
    </row>
    <row r="469" spans="1:5" hidden="1" x14ac:dyDescent="0.25">
      <c r="A469" s="3" t="s">
        <v>934</v>
      </c>
      <c r="B469" s="3" t="s">
        <v>935</v>
      </c>
      <c r="C469" s="3" t="s">
        <v>3</v>
      </c>
      <c r="D469" s="3" t="s">
        <v>3</v>
      </c>
      <c r="E469" s="3" t="s">
        <v>4</v>
      </c>
    </row>
    <row r="470" spans="1:5" hidden="1" x14ac:dyDescent="0.25">
      <c r="A470" s="3" t="s">
        <v>936</v>
      </c>
      <c r="B470" s="3" t="s">
        <v>937</v>
      </c>
      <c r="C470" s="3" t="s">
        <v>3</v>
      </c>
      <c r="D470" s="3" t="s">
        <v>3</v>
      </c>
      <c r="E470" s="3" t="s">
        <v>4</v>
      </c>
    </row>
    <row r="471" spans="1:5" hidden="1" x14ac:dyDescent="0.25">
      <c r="A471" s="3" t="s">
        <v>938</v>
      </c>
      <c r="B471" s="3" t="s">
        <v>939</v>
      </c>
      <c r="C471" s="3" t="s">
        <v>3</v>
      </c>
      <c r="D471" s="3" t="s">
        <v>3</v>
      </c>
      <c r="E471" s="3" t="s">
        <v>4</v>
      </c>
    </row>
    <row r="472" spans="1:5" hidden="1" x14ac:dyDescent="0.25">
      <c r="A472" s="3" t="s">
        <v>940</v>
      </c>
      <c r="B472" s="3" t="s">
        <v>941</v>
      </c>
      <c r="C472" s="3" t="s">
        <v>3</v>
      </c>
      <c r="D472" s="3" t="s">
        <v>3</v>
      </c>
      <c r="E472" s="3" t="s">
        <v>4</v>
      </c>
    </row>
    <row r="473" spans="1:5" hidden="1" x14ac:dyDescent="0.25">
      <c r="A473" s="3" t="s">
        <v>942</v>
      </c>
      <c r="B473" s="3" t="s">
        <v>943</v>
      </c>
      <c r="C473" s="3" t="s">
        <v>3</v>
      </c>
      <c r="D473" s="3" t="s">
        <v>3</v>
      </c>
      <c r="E473" s="3" t="s">
        <v>4</v>
      </c>
    </row>
    <row r="474" spans="1:5" hidden="1" x14ac:dyDescent="0.25">
      <c r="A474" s="3" t="s">
        <v>944</v>
      </c>
      <c r="B474" s="3" t="s">
        <v>945</v>
      </c>
      <c r="C474" s="3" t="s">
        <v>3</v>
      </c>
      <c r="D474" s="3" t="s">
        <v>3</v>
      </c>
      <c r="E474" s="3" t="s">
        <v>4</v>
      </c>
    </row>
    <row r="475" spans="1:5" hidden="1" x14ac:dyDescent="0.25">
      <c r="A475" s="3" t="s">
        <v>946</v>
      </c>
      <c r="B475" s="3" t="s">
        <v>947</v>
      </c>
      <c r="C475" s="3" t="s">
        <v>3</v>
      </c>
      <c r="D475" s="3" t="s">
        <v>3</v>
      </c>
      <c r="E475" s="3" t="s">
        <v>4</v>
      </c>
    </row>
    <row r="476" spans="1:5" hidden="1" x14ac:dyDescent="0.25">
      <c r="A476" s="3" t="s">
        <v>948</v>
      </c>
      <c r="B476" s="3" t="s">
        <v>949</v>
      </c>
      <c r="C476" s="3" t="s">
        <v>3</v>
      </c>
      <c r="D476" s="3" t="s">
        <v>3</v>
      </c>
      <c r="E476" s="3" t="s">
        <v>4</v>
      </c>
    </row>
    <row r="477" spans="1:5" hidden="1" x14ac:dyDescent="0.25">
      <c r="A477" s="3" t="s">
        <v>950</v>
      </c>
      <c r="B477" s="3" t="s">
        <v>951</v>
      </c>
      <c r="C477" s="3" t="s">
        <v>3</v>
      </c>
      <c r="D477" s="3" t="s">
        <v>3</v>
      </c>
      <c r="E477" s="3" t="s">
        <v>4</v>
      </c>
    </row>
    <row r="478" spans="1:5" hidden="1" x14ac:dyDescent="0.25">
      <c r="A478" s="3" t="s">
        <v>952</v>
      </c>
      <c r="B478" s="3" t="s">
        <v>953</v>
      </c>
      <c r="C478" s="3" t="s">
        <v>3</v>
      </c>
      <c r="D478" s="3" t="s">
        <v>3</v>
      </c>
      <c r="E478" s="3" t="s">
        <v>4</v>
      </c>
    </row>
    <row r="479" spans="1:5" hidden="1" x14ac:dyDescent="0.25">
      <c r="A479" s="3" t="s">
        <v>954</v>
      </c>
      <c r="B479" s="3" t="s">
        <v>955</v>
      </c>
      <c r="C479" s="3" t="s">
        <v>3</v>
      </c>
      <c r="D479" s="3" t="s">
        <v>3</v>
      </c>
      <c r="E479" s="3" t="s">
        <v>4</v>
      </c>
    </row>
    <row r="480" spans="1:5" hidden="1" x14ac:dyDescent="0.25">
      <c r="A480" s="3" t="s">
        <v>956</v>
      </c>
      <c r="B480" s="3" t="s">
        <v>957</v>
      </c>
      <c r="C480" s="3" t="s">
        <v>3</v>
      </c>
      <c r="D480" s="3" t="s">
        <v>3</v>
      </c>
      <c r="E480" s="3" t="s">
        <v>4</v>
      </c>
    </row>
    <row r="481" spans="1:5" hidden="1" x14ac:dyDescent="0.25">
      <c r="A481" s="3" t="s">
        <v>958</v>
      </c>
      <c r="B481" s="3" t="s">
        <v>959</v>
      </c>
      <c r="C481" s="3" t="s">
        <v>3</v>
      </c>
      <c r="D481" s="3" t="s">
        <v>3</v>
      </c>
      <c r="E481" s="3" t="s">
        <v>4</v>
      </c>
    </row>
    <row r="482" spans="1:5" hidden="1" x14ac:dyDescent="0.25">
      <c r="A482" s="3" t="s">
        <v>960</v>
      </c>
      <c r="B482" s="3" t="s">
        <v>961</v>
      </c>
      <c r="C482" s="3" t="s">
        <v>3</v>
      </c>
      <c r="D482" s="3" t="s">
        <v>3</v>
      </c>
      <c r="E482" s="3" t="s">
        <v>4</v>
      </c>
    </row>
    <row r="483" spans="1:5" hidden="1" x14ac:dyDescent="0.25">
      <c r="A483" s="3" t="s">
        <v>962</v>
      </c>
      <c r="B483" s="3" t="s">
        <v>963</v>
      </c>
      <c r="C483" s="3" t="s">
        <v>3</v>
      </c>
      <c r="D483" s="3" t="s">
        <v>3</v>
      </c>
      <c r="E483" s="3" t="s">
        <v>4</v>
      </c>
    </row>
    <row r="484" spans="1:5" hidden="1" x14ac:dyDescent="0.25">
      <c r="A484" s="3" t="s">
        <v>964</v>
      </c>
      <c r="B484" s="3" t="s">
        <v>965</v>
      </c>
      <c r="C484" s="3" t="s">
        <v>3</v>
      </c>
      <c r="D484" s="3" t="s">
        <v>3</v>
      </c>
      <c r="E484" s="3" t="s">
        <v>4</v>
      </c>
    </row>
    <row r="485" spans="1:5" hidden="1" x14ac:dyDescent="0.25">
      <c r="A485" s="3" t="s">
        <v>966</v>
      </c>
      <c r="B485" s="3" t="s">
        <v>967</v>
      </c>
      <c r="C485" s="3" t="s">
        <v>3</v>
      </c>
      <c r="D485" s="3" t="s">
        <v>3</v>
      </c>
      <c r="E485" s="3" t="s">
        <v>4</v>
      </c>
    </row>
    <row r="486" spans="1:5" hidden="1" x14ac:dyDescent="0.25">
      <c r="A486" s="3" t="s">
        <v>968</v>
      </c>
      <c r="B486" s="3" t="s">
        <v>969</v>
      </c>
      <c r="C486" s="3" t="s">
        <v>3</v>
      </c>
      <c r="D486" s="3" t="s">
        <v>3</v>
      </c>
      <c r="E486" s="3" t="s">
        <v>4</v>
      </c>
    </row>
    <row r="487" spans="1:5" hidden="1" x14ac:dyDescent="0.25">
      <c r="A487" s="3" t="s">
        <v>970</v>
      </c>
      <c r="B487" s="3" t="s">
        <v>971</v>
      </c>
      <c r="C487" s="3" t="s">
        <v>3</v>
      </c>
      <c r="D487" s="3" t="s">
        <v>3</v>
      </c>
      <c r="E487" s="3" t="s">
        <v>4</v>
      </c>
    </row>
    <row r="488" spans="1:5" hidden="1" x14ac:dyDescent="0.25">
      <c r="A488" s="3" t="s">
        <v>972</v>
      </c>
      <c r="B488" s="3" t="s">
        <v>973</v>
      </c>
      <c r="C488" s="3" t="s">
        <v>3</v>
      </c>
      <c r="D488" s="3" t="s">
        <v>3</v>
      </c>
      <c r="E488" s="3" t="s">
        <v>4</v>
      </c>
    </row>
    <row r="489" spans="1:5" hidden="1" x14ac:dyDescent="0.25">
      <c r="A489" s="3" t="s">
        <v>974</v>
      </c>
      <c r="B489" s="3" t="s">
        <v>975</v>
      </c>
      <c r="C489" s="3" t="s">
        <v>3</v>
      </c>
      <c r="D489" s="3" t="s">
        <v>3</v>
      </c>
      <c r="E489" s="3" t="s">
        <v>4</v>
      </c>
    </row>
    <row r="490" spans="1:5" hidden="1" x14ac:dyDescent="0.25">
      <c r="A490" s="3" t="s">
        <v>976</v>
      </c>
      <c r="B490" s="3" t="s">
        <v>977</v>
      </c>
      <c r="C490" s="3" t="s">
        <v>3</v>
      </c>
      <c r="D490" s="3" t="s">
        <v>3</v>
      </c>
      <c r="E490" s="3" t="s">
        <v>4</v>
      </c>
    </row>
    <row r="491" spans="1:5" hidden="1" x14ac:dyDescent="0.25">
      <c r="A491" s="3" t="s">
        <v>978</v>
      </c>
      <c r="B491" s="3" t="s">
        <v>979</v>
      </c>
      <c r="C491" s="3" t="s">
        <v>3</v>
      </c>
      <c r="D491" s="3" t="s">
        <v>3</v>
      </c>
      <c r="E491" s="3" t="s">
        <v>4</v>
      </c>
    </row>
    <row r="492" spans="1:5" hidden="1" x14ac:dyDescent="0.25">
      <c r="A492" s="3" t="s">
        <v>980</v>
      </c>
      <c r="B492" s="3" t="s">
        <v>981</v>
      </c>
      <c r="C492" s="3" t="s">
        <v>3</v>
      </c>
      <c r="D492" s="3" t="s">
        <v>3</v>
      </c>
      <c r="E492" s="3" t="s">
        <v>4</v>
      </c>
    </row>
    <row r="493" spans="1:5" hidden="1" x14ac:dyDescent="0.25">
      <c r="A493" s="3" t="s">
        <v>982</v>
      </c>
      <c r="B493" s="3" t="s">
        <v>983</v>
      </c>
      <c r="C493" s="3" t="s">
        <v>3</v>
      </c>
      <c r="D493" s="3" t="s">
        <v>3</v>
      </c>
      <c r="E493" s="3" t="s">
        <v>4</v>
      </c>
    </row>
    <row r="494" spans="1:5" hidden="1" x14ac:dyDescent="0.25">
      <c r="A494" s="3" t="s">
        <v>984</v>
      </c>
      <c r="B494" s="3" t="s">
        <v>985</v>
      </c>
      <c r="C494" s="3" t="s">
        <v>3</v>
      </c>
      <c r="D494" s="3" t="s">
        <v>3</v>
      </c>
      <c r="E494" s="3" t="s">
        <v>4</v>
      </c>
    </row>
    <row r="495" spans="1:5" hidden="1" x14ac:dyDescent="0.25">
      <c r="A495" s="3" t="s">
        <v>986</v>
      </c>
      <c r="B495" s="3" t="s">
        <v>987</v>
      </c>
      <c r="C495" s="3" t="s">
        <v>3</v>
      </c>
      <c r="D495" s="3" t="s">
        <v>3</v>
      </c>
      <c r="E495" s="3" t="s">
        <v>4</v>
      </c>
    </row>
    <row r="496" spans="1:5" hidden="1" x14ac:dyDescent="0.25">
      <c r="A496" s="3" t="s">
        <v>988</v>
      </c>
      <c r="B496" s="3" t="s">
        <v>989</v>
      </c>
      <c r="C496" s="3" t="s">
        <v>3</v>
      </c>
      <c r="D496" s="3" t="s">
        <v>3</v>
      </c>
      <c r="E496" s="3" t="s">
        <v>4</v>
      </c>
    </row>
    <row r="497" spans="1:5" hidden="1" x14ac:dyDescent="0.25">
      <c r="A497" s="3" t="s">
        <v>990</v>
      </c>
      <c r="B497" s="3" t="s">
        <v>991</v>
      </c>
      <c r="C497" s="3" t="s">
        <v>3</v>
      </c>
      <c r="D497" s="3" t="s">
        <v>3</v>
      </c>
      <c r="E497" s="3" t="s">
        <v>4</v>
      </c>
    </row>
    <row r="498" spans="1:5" hidden="1" x14ac:dyDescent="0.25">
      <c r="A498" s="3" t="s">
        <v>992</v>
      </c>
      <c r="B498" s="3" t="s">
        <v>993</v>
      </c>
      <c r="C498" s="3" t="s">
        <v>3</v>
      </c>
      <c r="D498" s="3" t="s">
        <v>3</v>
      </c>
      <c r="E498" s="3" t="s">
        <v>4</v>
      </c>
    </row>
    <row r="499" spans="1:5" hidden="1" x14ac:dyDescent="0.25">
      <c r="A499" s="3" t="s">
        <v>994</v>
      </c>
      <c r="B499" s="3" t="s">
        <v>995</v>
      </c>
      <c r="C499" s="3" t="s">
        <v>3</v>
      </c>
      <c r="D499" s="3" t="s">
        <v>3</v>
      </c>
      <c r="E499" s="3" t="s">
        <v>4</v>
      </c>
    </row>
    <row r="500" spans="1:5" hidden="1" x14ac:dyDescent="0.25">
      <c r="A500" s="3" t="s">
        <v>996</v>
      </c>
      <c r="B500" s="3" t="s">
        <v>997</v>
      </c>
      <c r="C500" s="3" t="s">
        <v>3</v>
      </c>
      <c r="D500" s="3" t="s">
        <v>3</v>
      </c>
      <c r="E500" s="3" t="s">
        <v>4</v>
      </c>
    </row>
    <row r="501" spans="1:5" hidden="1" x14ac:dyDescent="0.25">
      <c r="A501" s="3" t="s">
        <v>998</v>
      </c>
      <c r="B501" s="3" t="s">
        <v>999</v>
      </c>
      <c r="C501" s="3" t="s">
        <v>3</v>
      </c>
      <c r="D501" s="3" t="s">
        <v>3</v>
      </c>
      <c r="E501" s="3" t="s">
        <v>4</v>
      </c>
    </row>
    <row r="502" spans="1:5" hidden="1" x14ac:dyDescent="0.25">
      <c r="A502" s="3" t="s">
        <v>1000</v>
      </c>
      <c r="B502" s="3" t="s">
        <v>1001</v>
      </c>
      <c r="C502" s="3" t="s">
        <v>3</v>
      </c>
      <c r="D502" s="3" t="s">
        <v>3</v>
      </c>
      <c r="E502" s="3" t="s">
        <v>4</v>
      </c>
    </row>
    <row r="503" spans="1:5" hidden="1" x14ac:dyDescent="0.25">
      <c r="A503" s="3" t="s">
        <v>1002</v>
      </c>
      <c r="B503" s="3" t="s">
        <v>1003</v>
      </c>
      <c r="C503" s="3" t="s">
        <v>3</v>
      </c>
      <c r="D503" s="3" t="s">
        <v>3</v>
      </c>
      <c r="E503" s="3" t="s">
        <v>4</v>
      </c>
    </row>
    <row r="504" spans="1:5" hidden="1" x14ac:dyDescent="0.25">
      <c r="A504" s="3" t="s">
        <v>1004</v>
      </c>
      <c r="B504" s="3" t="s">
        <v>1005</v>
      </c>
      <c r="C504" s="3" t="s">
        <v>3</v>
      </c>
      <c r="D504" s="3" t="s">
        <v>3</v>
      </c>
      <c r="E504" s="3" t="s">
        <v>4</v>
      </c>
    </row>
    <row r="505" spans="1:5" hidden="1" x14ac:dyDescent="0.25">
      <c r="A505" s="3" t="s">
        <v>1006</v>
      </c>
      <c r="B505" s="3" t="s">
        <v>1007</v>
      </c>
      <c r="C505" s="3" t="s">
        <v>3</v>
      </c>
      <c r="D505" s="3" t="s">
        <v>3</v>
      </c>
      <c r="E505" s="3" t="s">
        <v>4</v>
      </c>
    </row>
    <row r="506" spans="1:5" hidden="1" x14ac:dyDescent="0.25">
      <c r="A506" s="3" t="s">
        <v>1008</v>
      </c>
      <c r="B506" s="3" t="s">
        <v>1009</v>
      </c>
      <c r="C506" s="3" t="s">
        <v>3</v>
      </c>
      <c r="D506" s="3" t="s">
        <v>3</v>
      </c>
      <c r="E506" s="3" t="s">
        <v>4</v>
      </c>
    </row>
    <row r="507" spans="1:5" hidden="1" x14ac:dyDescent="0.25">
      <c r="A507" s="3" t="s">
        <v>1010</v>
      </c>
      <c r="B507" s="3" t="s">
        <v>1011</v>
      </c>
      <c r="C507" s="3" t="s">
        <v>3</v>
      </c>
      <c r="D507" s="3" t="s">
        <v>3</v>
      </c>
      <c r="E507" s="3" t="s">
        <v>4</v>
      </c>
    </row>
    <row r="508" spans="1:5" hidden="1" x14ac:dyDescent="0.25">
      <c r="A508" s="3" t="s">
        <v>1012</v>
      </c>
      <c r="B508" s="3" t="s">
        <v>1013</v>
      </c>
      <c r="C508" s="3" t="s">
        <v>3</v>
      </c>
      <c r="D508" s="3" t="s">
        <v>3</v>
      </c>
      <c r="E508" s="3" t="s">
        <v>4</v>
      </c>
    </row>
    <row r="509" spans="1:5" hidden="1" x14ac:dyDescent="0.25">
      <c r="A509" s="3" t="s">
        <v>1014</v>
      </c>
      <c r="B509" s="3" t="s">
        <v>1015</v>
      </c>
      <c r="C509" s="3" t="s">
        <v>3</v>
      </c>
      <c r="D509" s="3" t="s">
        <v>3</v>
      </c>
      <c r="E509" s="3" t="s">
        <v>4</v>
      </c>
    </row>
    <row r="510" spans="1:5" hidden="1" x14ac:dyDescent="0.25">
      <c r="A510" s="3" t="s">
        <v>1016</v>
      </c>
      <c r="B510" s="3" t="s">
        <v>1017</v>
      </c>
      <c r="C510" s="3" t="s">
        <v>3</v>
      </c>
      <c r="D510" s="3" t="s">
        <v>3</v>
      </c>
      <c r="E510" s="3" t="s">
        <v>4</v>
      </c>
    </row>
    <row r="511" spans="1:5" hidden="1" x14ac:dyDescent="0.25">
      <c r="A511" s="3" t="s">
        <v>1018</v>
      </c>
      <c r="B511" s="3" t="s">
        <v>1019</v>
      </c>
      <c r="C511" s="3" t="s">
        <v>3</v>
      </c>
      <c r="D511" s="3" t="s">
        <v>3</v>
      </c>
      <c r="E511" s="3" t="s">
        <v>4</v>
      </c>
    </row>
    <row r="512" spans="1:5" hidden="1" x14ac:dyDescent="0.25">
      <c r="A512" s="3" t="s">
        <v>1020</v>
      </c>
      <c r="B512" s="3" t="s">
        <v>1021</v>
      </c>
      <c r="C512" s="3" t="s">
        <v>3</v>
      </c>
      <c r="D512" s="3" t="s">
        <v>3</v>
      </c>
      <c r="E512" s="3" t="s">
        <v>4</v>
      </c>
    </row>
    <row r="513" spans="1:5" hidden="1" x14ac:dyDescent="0.25">
      <c r="A513" s="3" t="s">
        <v>1022</v>
      </c>
      <c r="B513" s="3" t="s">
        <v>1023</v>
      </c>
      <c r="C513" s="3" t="s">
        <v>3</v>
      </c>
      <c r="D513" s="3" t="s">
        <v>3</v>
      </c>
      <c r="E513" s="3" t="s">
        <v>4</v>
      </c>
    </row>
    <row r="514" spans="1:5" hidden="1" x14ac:dyDescent="0.25">
      <c r="A514" s="3" t="s">
        <v>1024</v>
      </c>
      <c r="B514" s="3" t="s">
        <v>1025</v>
      </c>
      <c r="C514" s="3" t="s">
        <v>3</v>
      </c>
      <c r="D514" s="3" t="s">
        <v>3</v>
      </c>
      <c r="E514" s="3" t="s">
        <v>4</v>
      </c>
    </row>
    <row r="515" spans="1:5" hidden="1" x14ac:dyDescent="0.25">
      <c r="A515" s="3" t="s">
        <v>1026</v>
      </c>
      <c r="B515" s="3" t="s">
        <v>1027</v>
      </c>
      <c r="C515" s="3" t="s">
        <v>3</v>
      </c>
      <c r="D515" s="3" t="s">
        <v>3</v>
      </c>
      <c r="E515" s="3" t="s">
        <v>4</v>
      </c>
    </row>
    <row r="516" spans="1:5" hidden="1" x14ac:dyDescent="0.25">
      <c r="A516" s="3" t="s">
        <v>1028</v>
      </c>
      <c r="B516" s="3" t="s">
        <v>1029</v>
      </c>
      <c r="C516" s="3" t="s">
        <v>3</v>
      </c>
      <c r="D516" s="3" t="s">
        <v>3</v>
      </c>
      <c r="E516" s="3" t="s">
        <v>4</v>
      </c>
    </row>
    <row r="517" spans="1:5" hidden="1" x14ac:dyDescent="0.25">
      <c r="A517" s="3" t="s">
        <v>1030</v>
      </c>
      <c r="B517" s="3" t="s">
        <v>1031</v>
      </c>
      <c r="C517" s="3" t="s">
        <v>3</v>
      </c>
      <c r="D517" s="3" t="s">
        <v>3</v>
      </c>
      <c r="E517" s="3" t="s">
        <v>4</v>
      </c>
    </row>
    <row r="518" spans="1:5" hidden="1" x14ac:dyDescent="0.25">
      <c r="A518" s="3" t="s">
        <v>1032</v>
      </c>
      <c r="B518" s="3" t="s">
        <v>1033</v>
      </c>
      <c r="C518" s="3" t="s">
        <v>3</v>
      </c>
      <c r="D518" s="3" t="s">
        <v>3</v>
      </c>
      <c r="E518" s="3" t="s">
        <v>4</v>
      </c>
    </row>
    <row r="519" spans="1:5" hidden="1" x14ac:dyDescent="0.25">
      <c r="A519" s="3" t="s">
        <v>1034</v>
      </c>
      <c r="B519" s="3" t="s">
        <v>1035</v>
      </c>
      <c r="C519" s="3" t="s">
        <v>3</v>
      </c>
      <c r="D519" s="3" t="s">
        <v>3</v>
      </c>
      <c r="E519" s="3" t="s">
        <v>4</v>
      </c>
    </row>
    <row r="520" spans="1:5" hidden="1" x14ac:dyDescent="0.25">
      <c r="A520" s="3" t="s">
        <v>1036</v>
      </c>
      <c r="B520" s="3" t="s">
        <v>1037</v>
      </c>
      <c r="C520" s="3" t="s">
        <v>3</v>
      </c>
      <c r="D520" s="3" t="s">
        <v>3</v>
      </c>
      <c r="E520" s="3" t="s">
        <v>4</v>
      </c>
    </row>
    <row r="521" spans="1:5" hidden="1" x14ac:dyDescent="0.25">
      <c r="A521" s="3" t="s">
        <v>1038</v>
      </c>
      <c r="B521" s="3" t="s">
        <v>1039</v>
      </c>
      <c r="C521" s="3" t="s">
        <v>3</v>
      </c>
      <c r="D521" s="3" t="s">
        <v>3</v>
      </c>
      <c r="E521" s="3" t="s">
        <v>4</v>
      </c>
    </row>
    <row r="522" spans="1:5" hidden="1" x14ac:dyDescent="0.25">
      <c r="A522" s="3" t="s">
        <v>1040</v>
      </c>
      <c r="B522" s="3" t="s">
        <v>1041</v>
      </c>
      <c r="C522" s="3" t="s">
        <v>3</v>
      </c>
      <c r="D522" s="3" t="s">
        <v>3</v>
      </c>
      <c r="E522" s="3" t="s">
        <v>4</v>
      </c>
    </row>
    <row r="523" spans="1:5" hidden="1" x14ac:dyDescent="0.25">
      <c r="A523" s="3" t="s">
        <v>1042</v>
      </c>
      <c r="B523" s="3" t="s">
        <v>1043</v>
      </c>
      <c r="C523" s="3" t="s">
        <v>3</v>
      </c>
      <c r="D523" s="3" t="s">
        <v>3</v>
      </c>
      <c r="E523" s="3" t="s">
        <v>4</v>
      </c>
    </row>
    <row r="524" spans="1:5" hidden="1" x14ac:dyDescent="0.25">
      <c r="A524" s="3" t="s">
        <v>1044</v>
      </c>
      <c r="B524" s="3" t="s">
        <v>1045</v>
      </c>
      <c r="C524" s="3" t="s">
        <v>3</v>
      </c>
      <c r="D524" s="3" t="s">
        <v>3</v>
      </c>
      <c r="E524" s="3" t="s">
        <v>4</v>
      </c>
    </row>
    <row r="525" spans="1:5" hidden="1" x14ac:dyDescent="0.25">
      <c r="A525" s="3" t="s">
        <v>1046</v>
      </c>
      <c r="B525" s="3" t="s">
        <v>1047</v>
      </c>
      <c r="C525" s="3" t="s">
        <v>3</v>
      </c>
      <c r="D525" s="3" t="s">
        <v>3</v>
      </c>
      <c r="E525" s="3" t="s">
        <v>4</v>
      </c>
    </row>
    <row r="526" spans="1:5" hidden="1" x14ac:dyDescent="0.25">
      <c r="A526" s="3" t="s">
        <v>1048</v>
      </c>
      <c r="B526" s="3" t="s">
        <v>1049</v>
      </c>
      <c r="C526" s="3" t="s">
        <v>3</v>
      </c>
      <c r="D526" s="3" t="s">
        <v>3</v>
      </c>
      <c r="E526" s="3" t="s">
        <v>4</v>
      </c>
    </row>
    <row r="527" spans="1:5" hidden="1" x14ac:dyDescent="0.25">
      <c r="A527" s="3" t="s">
        <v>1050</v>
      </c>
      <c r="B527" s="3" t="s">
        <v>1051</v>
      </c>
      <c r="C527" s="3" t="s">
        <v>3</v>
      </c>
      <c r="D527" s="3" t="s">
        <v>3</v>
      </c>
      <c r="E527" s="3" t="s">
        <v>4</v>
      </c>
    </row>
    <row r="528" spans="1:5" hidden="1" x14ac:dyDescent="0.25">
      <c r="A528" s="3" t="s">
        <v>1052</v>
      </c>
      <c r="B528" s="3" t="s">
        <v>1053</v>
      </c>
      <c r="C528" s="3" t="s">
        <v>3</v>
      </c>
      <c r="D528" s="3" t="s">
        <v>3</v>
      </c>
      <c r="E528" s="3" t="s">
        <v>4</v>
      </c>
    </row>
    <row r="529" spans="1:5" hidden="1" x14ac:dyDescent="0.25">
      <c r="A529" s="3" t="s">
        <v>1054</v>
      </c>
      <c r="B529" s="3" t="s">
        <v>1055</v>
      </c>
      <c r="C529" s="3" t="s">
        <v>3</v>
      </c>
      <c r="D529" s="3" t="s">
        <v>3</v>
      </c>
      <c r="E529" s="3" t="s">
        <v>4</v>
      </c>
    </row>
    <row r="530" spans="1:5" hidden="1" x14ac:dyDescent="0.25">
      <c r="A530" s="3" t="s">
        <v>1056</v>
      </c>
      <c r="B530" s="3" t="s">
        <v>1057</v>
      </c>
      <c r="C530" s="3" t="s">
        <v>3</v>
      </c>
      <c r="D530" s="3" t="s">
        <v>3</v>
      </c>
      <c r="E530" s="3" t="s">
        <v>4</v>
      </c>
    </row>
    <row r="531" spans="1:5" hidden="1" x14ac:dyDescent="0.25">
      <c r="A531" s="3" t="s">
        <v>1058</v>
      </c>
      <c r="B531" s="3" t="s">
        <v>1059</v>
      </c>
      <c r="C531" s="3" t="s">
        <v>3</v>
      </c>
      <c r="D531" s="3" t="s">
        <v>3</v>
      </c>
      <c r="E531" s="3" t="s">
        <v>4</v>
      </c>
    </row>
    <row r="532" spans="1:5" hidden="1" x14ac:dyDescent="0.25">
      <c r="A532" s="3" t="s">
        <v>1060</v>
      </c>
      <c r="B532" s="3" t="s">
        <v>1061</v>
      </c>
      <c r="C532" s="3" t="s">
        <v>3</v>
      </c>
      <c r="D532" s="3" t="s">
        <v>3</v>
      </c>
      <c r="E532" s="3" t="s">
        <v>4</v>
      </c>
    </row>
    <row r="533" spans="1:5" hidden="1" x14ac:dyDescent="0.25">
      <c r="A533" s="3" t="s">
        <v>1062</v>
      </c>
      <c r="B533" s="3" t="s">
        <v>1063</v>
      </c>
      <c r="C533" s="3" t="s">
        <v>3</v>
      </c>
      <c r="D533" s="3" t="s">
        <v>3</v>
      </c>
      <c r="E533" s="3" t="s">
        <v>4</v>
      </c>
    </row>
    <row r="534" spans="1:5" hidden="1" x14ac:dyDescent="0.25">
      <c r="A534" s="3" t="s">
        <v>1064</v>
      </c>
      <c r="B534" s="3" t="s">
        <v>1065</v>
      </c>
      <c r="C534" s="3" t="s">
        <v>3</v>
      </c>
      <c r="D534" s="3" t="s">
        <v>3</v>
      </c>
      <c r="E534" s="3" t="s">
        <v>4</v>
      </c>
    </row>
    <row r="535" spans="1:5" hidden="1" x14ac:dyDescent="0.25">
      <c r="A535" s="3" t="s">
        <v>1066</v>
      </c>
      <c r="B535" s="3" t="s">
        <v>1067</v>
      </c>
      <c r="C535" s="3" t="s">
        <v>3</v>
      </c>
      <c r="D535" s="3" t="s">
        <v>3</v>
      </c>
      <c r="E535" s="3" t="s">
        <v>4</v>
      </c>
    </row>
    <row r="536" spans="1:5" hidden="1" x14ac:dyDescent="0.25">
      <c r="A536" s="3" t="s">
        <v>1068</v>
      </c>
      <c r="B536" s="3" t="s">
        <v>1069</v>
      </c>
      <c r="C536" s="3" t="s">
        <v>3</v>
      </c>
      <c r="D536" s="3" t="s">
        <v>3</v>
      </c>
      <c r="E536" s="3" t="s">
        <v>4</v>
      </c>
    </row>
    <row r="537" spans="1:5" hidden="1" x14ac:dyDescent="0.25">
      <c r="A537" s="3" t="s">
        <v>1070</v>
      </c>
      <c r="B537" s="3" t="s">
        <v>1071</v>
      </c>
      <c r="C537" s="3" t="s">
        <v>3</v>
      </c>
      <c r="D537" s="3" t="s">
        <v>3</v>
      </c>
      <c r="E537" s="3" t="s">
        <v>4</v>
      </c>
    </row>
    <row r="538" spans="1:5" hidden="1" x14ac:dyDescent="0.25">
      <c r="A538" s="3" t="s">
        <v>1072</v>
      </c>
      <c r="B538" s="3" t="s">
        <v>1073</v>
      </c>
      <c r="C538" s="3" t="s">
        <v>3</v>
      </c>
      <c r="D538" s="3" t="s">
        <v>3</v>
      </c>
      <c r="E538" s="3" t="s">
        <v>4</v>
      </c>
    </row>
    <row r="539" spans="1:5" hidden="1" x14ac:dyDescent="0.25">
      <c r="A539" s="3" t="s">
        <v>1074</v>
      </c>
      <c r="B539" s="3" t="s">
        <v>1075</v>
      </c>
      <c r="C539" s="3" t="s">
        <v>3</v>
      </c>
      <c r="D539" s="3" t="s">
        <v>3</v>
      </c>
      <c r="E539" s="3" t="s">
        <v>4</v>
      </c>
    </row>
    <row r="540" spans="1:5" hidden="1" x14ac:dyDescent="0.25">
      <c r="A540" s="3" t="s">
        <v>1076</v>
      </c>
      <c r="B540" s="3" t="s">
        <v>1077</v>
      </c>
      <c r="C540" s="3" t="s">
        <v>3</v>
      </c>
      <c r="D540" s="3" t="s">
        <v>3</v>
      </c>
      <c r="E540" s="3" t="s">
        <v>4</v>
      </c>
    </row>
    <row r="541" spans="1:5" hidden="1" x14ac:dyDescent="0.25">
      <c r="A541" s="3" t="s">
        <v>1078</v>
      </c>
      <c r="B541" s="3" t="s">
        <v>1079</v>
      </c>
      <c r="C541" s="3" t="s">
        <v>3</v>
      </c>
      <c r="D541" s="3" t="s">
        <v>3</v>
      </c>
      <c r="E541" s="3" t="s">
        <v>4</v>
      </c>
    </row>
    <row r="542" spans="1:5" hidden="1" x14ac:dyDescent="0.25">
      <c r="A542" s="3" t="s">
        <v>1080</v>
      </c>
      <c r="B542" s="3" t="s">
        <v>1081</v>
      </c>
      <c r="C542" s="3" t="s">
        <v>3</v>
      </c>
      <c r="D542" s="3" t="s">
        <v>3</v>
      </c>
      <c r="E542" s="3" t="s">
        <v>4</v>
      </c>
    </row>
    <row r="543" spans="1:5" hidden="1" x14ac:dyDescent="0.25">
      <c r="A543" s="3" t="s">
        <v>1082</v>
      </c>
      <c r="B543" s="3" t="s">
        <v>1083</v>
      </c>
      <c r="C543" s="3" t="s">
        <v>3</v>
      </c>
      <c r="D543" s="3" t="s">
        <v>3</v>
      </c>
      <c r="E543" s="3" t="s">
        <v>4</v>
      </c>
    </row>
    <row r="544" spans="1:5" hidden="1" x14ac:dyDescent="0.25">
      <c r="A544" s="3" t="s">
        <v>1084</v>
      </c>
      <c r="B544" s="3" t="s">
        <v>1085</v>
      </c>
      <c r="C544" s="3" t="s">
        <v>3</v>
      </c>
      <c r="D544" s="3" t="s">
        <v>3</v>
      </c>
      <c r="E544" s="3" t="s">
        <v>4</v>
      </c>
    </row>
    <row r="545" spans="1:5" hidden="1" x14ac:dyDescent="0.25">
      <c r="A545" s="3" t="s">
        <v>1086</v>
      </c>
      <c r="B545" s="3" t="s">
        <v>1087</v>
      </c>
      <c r="C545" s="3" t="s">
        <v>3</v>
      </c>
      <c r="D545" s="3" t="s">
        <v>3</v>
      </c>
      <c r="E545" s="3" t="s">
        <v>4</v>
      </c>
    </row>
    <row r="546" spans="1:5" hidden="1" x14ac:dyDescent="0.25">
      <c r="A546" s="3" t="s">
        <v>1088</v>
      </c>
      <c r="B546" s="3" t="s">
        <v>1089</v>
      </c>
      <c r="C546" s="3" t="s">
        <v>3</v>
      </c>
      <c r="D546" s="3" t="s">
        <v>3</v>
      </c>
      <c r="E546" s="3" t="s">
        <v>4</v>
      </c>
    </row>
    <row r="547" spans="1:5" hidden="1" x14ac:dyDescent="0.25">
      <c r="A547" s="3" t="s">
        <v>1090</v>
      </c>
      <c r="B547" s="3" t="s">
        <v>1091</v>
      </c>
      <c r="C547" s="3" t="s">
        <v>3</v>
      </c>
      <c r="D547" s="3" t="s">
        <v>3</v>
      </c>
      <c r="E547" s="3" t="s">
        <v>4</v>
      </c>
    </row>
    <row r="548" spans="1:5" hidden="1" x14ac:dyDescent="0.25">
      <c r="A548" s="3" t="s">
        <v>1092</v>
      </c>
      <c r="B548" s="3" t="s">
        <v>1093</v>
      </c>
      <c r="C548" s="3" t="s">
        <v>3</v>
      </c>
      <c r="D548" s="3" t="s">
        <v>3</v>
      </c>
      <c r="E548" s="3" t="s">
        <v>4</v>
      </c>
    </row>
    <row r="549" spans="1:5" hidden="1" x14ac:dyDescent="0.25">
      <c r="A549" s="3" t="s">
        <v>1094</v>
      </c>
      <c r="B549" s="3" t="s">
        <v>1095</v>
      </c>
      <c r="C549" s="3" t="s">
        <v>3</v>
      </c>
      <c r="D549" s="3" t="s">
        <v>3</v>
      </c>
      <c r="E549" s="3" t="s">
        <v>4</v>
      </c>
    </row>
    <row r="550" spans="1:5" hidden="1" x14ac:dyDescent="0.25">
      <c r="A550" s="3" t="s">
        <v>1096</v>
      </c>
      <c r="B550" s="3" t="s">
        <v>1097</v>
      </c>
      <c r="C550" s="3" t="s">
        <v>3</v>
      </c>
      <c r="D550" s="3" t="s">
        <v>3</v>
      </c>
      <c r="E550" s="3" t="s">
        <v>4</v>
      </c>
    </row>
    <row r="551" spans="1:5" hidden="1" x14ac:dyDescent="0.25">
      <c r="A551" s="3" t="s">
        <v>1098</v>
      </c>
      <c r="B551" s="3" t="s">
        <v>1099</v>
      </c>
      <c r="C551" s="3" t="s">
        <v>3</v>
      </c>
      <c r="D551" s="3" t="s">
        <v>3</v>
      </c>
      <c r="E551" s="3" t="s">
        <v>4</v>
      </c>
    </row>
    <row r="552" spans="1:5" hidden="1" x14ac:dyDescent="0.25">
      <c r="A552" s="3" t="s">
        <v>1100</v>
      </c>
      <c r="B552" s="3" t="s">
        <v>1101</v>
      </c>
      <c r="C552" s="3" t="s">
        <v>3</v>
      </c>
      <c r="D552" s="3" t="s">
        <v>3</v>
      </c>
      <c r="E552" s="3" t="s">
        <v>4</v>
      </c>
    </row>
    <row r="553" spans="1:5" hidden="1" x14ac:dyDescent="0.25">
      <c r="A553" s="3" t="s">
        <v>1102</v>
      </c>
      <c r="B553" s="3" t="s">
        <v>1103</v>
      </c>
      <c r="C553" s="3" t="s">
        <v>3</v>
      </c>
      <c r="D553" s="3" t="s">
        <v>3</v>
      </c>
      <c r="E553" s="3" t="s">
        <v>4</v>
      </c>
    </row>
    <row r="554" spans="1:5" hidden="1" x14ac:dyDescent="0.25">
      <c r="A554" s="3" t="s">
        <v>1104</v>
      </c>
      <c r="B554" s="3" t="s">
        <v>1105</v>
      </c>
      <c r="C554" s="3" t="s">
        <v>3</v>
      </c>
      <c r="D554" s="3" t="s">
        <v>3</v>
      </c>
      <c r="E554" s="3" t="s">
        <v>4</v>
      </c>
    </row>
    <row r="555" spans="1:5" hidden="1" x14ac:dyDescent="0.25">
      <c r="A555" s="3" t="s">
        <v>1106</v>
      </c>
      <c r="B555" s="3" t="s">
        <v>1107</v>
      </c>
      <c r="C555" s="3" t="s">
        <v>3</v>
      </c>
      <c r="D555" s="3" t="s">
        <v>3</v>
      </c>
      <c r="E555" s="3" t="s">
        <v>4</v>
      </c>
    </row>
    <row r="556" spans="1:5" hidden="1" x14ac:dyDescent="0.25">
      <c r="A556" s="3" t="s">
        <v>1108</v>
      </c>
      <c r="B556" s="3" t="s">
        <v>1109</v>
      </c>
      <c r="C556" s="3" t="s">
        <v>3</v>
      </c>
      <c r="D556" s="3" t="s">
        <v>3</v>
      </c>
      <c r="E556" s="3" t="s">
        <v>4</v>
      </c>
    </row>
    <row r="557" spans="1:5" hidden="1" x14ac:dyDescent="0.25">
      <c r="A557" s="3" t="s">
        <v>1110</v>
      </c>
      <c r="B557" s="3" t="s">
        <v>1111</v>
      </c>
      <c r="C557" s="3" t="s">
        <v>3</v>
      </c>
      <c r="D557" s="3" t="s">
        <v>3</v>
      </c>
      <c r="E557" s="3" t="s">
        <v>4</v>
      </c>
    </row>
    <row r="558" spans="1:5" hidden="1" x14ac:dyDescent="0.25">
      <c r="A558" s="3" t="s">
        <v>1112</v>
      </c>
      <c r="B558" s="3" t="s">
        <v>1113</v>
      </c>
      <c r="C558" s="3" t="s">
        <v>3</v>
      </c>
      <c r="D558" s="3" t="s">
        <v>3</v>
      </c>
      <c r="E558" s="3" t="s">
        <v>4</v>
      </c>
    </row>
    <row r="559" spans="1:5" hidden="1" x14ac:dyDescent="0.25">
      <c r="A559" s="3" t="s">
        <v>1114</v>
      </c>
      <c r="B559" s="3" t="s">
        <v>1115</v>
      </c>
      <c r="C559" s="3" t="s">
        <v>3</v>
      </c>
      <c r="D559" s="3" t="s">
        <v>3</v>
      </c>
      <c r="E559" s="3" t="s">
        <v>4</v>
      </c>
    </row>
    <row r="560" spans="1:5" hidden="1" x14ac:dyDescent="0.25">
      <c r="A560" s="3" t="s">
        <v>1116</v>
      </c>
      <c r="B560" s="3" t="s">
        <v>1117</v>
      </c>
      <c r="C560" s="3" t="s">
        <v>3</v>
      </c>
      <c r="D560" s="3" t="s">
        <v>3</v>
      </c>
      <c r="E560" s="3" t="s">
        <v>4</v>
      </c>
    </row>
    <row r="561" spans="1:5" hidden="1" x14ac:dyDescent="0.25">
      <c r="A561" s="3" t="s">
        <v>1118</v>
      </c>
      <c r="B561" s="3" t="s">
        <v>1119</v>
      </c>
      <c r="C561" s="3" t="s">
        <v>3</v>
      </c>
      <c r="D561" s="3" t="s">
        <v>3</v>
      </c>
      <c r="E561" s="3" t="s">
        <v>4</v>
      </c>
    </row>
    <row r="562" spans="1:5" hidden="1" x14ac:dyDescent="0.25">
      <c r="A562" s="3" t="s">
        <v>1120</v>
      </c>
      <c r="B562" s="3" t="s">
        <v>1121</v>
      </c>
      <c r="C562" s="3" t="s">
        <v>3</v>
      </c>
      <c r="D562" s="3" t="s">
        <v>3</v>
      </c>
      <c r="E562" s="3" t="s">
        <v>4</v>
      </c>
    </row>
    <row r="563" spans="1:5" hidden="1" x14ac:dyDescent="0.25">
      <c r="A563" s="3" t="s">
        <v>1122</v>
      </c>
      <c r="B563" s="3" t="s">
        <v>1123</v>
      </c>
      <c r="C563" s="3" t="s">
        <v>3</v>
      </c>
      <c r="D563" s="3" t="s">
        <v>3</v>
      </c>
      <c r="E563" s="3" t="s">
        <v>4</v>
      </c>
    </row>
    <row r="564" spans="1:5" hidden="1" x14ac:dyDescent="0.25">
      <c r="A564" s="3" t="s">
        <v>1124</v>
      </c>
      <c r="B564" s="3" t="s">
        <v>1125</v>
      </c>
      <c r="C564" s="3" t="s">
        <v>3</v>
      </c>
      <c r="D564" s="3" t="s">
        <v>3</v>
      </c>
      <c r="E564" s="3" t="s">
        <v>4</v>
      </c>
    </row>
    <row r="565" spans="1:5" hidden="1" x14ac:dyDescent="0.25">
      <c r="A565" s="3" t="s">
        <v>1126</v>
      </c>
      <c r="B565" s="3" t="s">
        <v>1127</v>
      </c>
      <c r="C565" s="3" t="s">
        <v>3</v>
      </c>
      <c r="D565" s="3" t="s">
        <v>3</v>
      </c>
      <c r="E565" s="3" t="s">
        <v>4</v>
      </c>
    </row>
    <row r="566" spans="1:5" hidden="1" x14ac:dyDescent="0.25">
      <c r="A566" s="3" t="s">
        <v>1128</v>
      </c>
      <c r="B566" s="3" t="s">
        <v>1129</v>
      </c>
      <c r="C566" s="3" t="s">
        <v>3</v>
      </c>
      <c r="D566" s="3" t="s">
        <v>3</v>
      </c>
      <c r="E566" s="3" t="s">
        <v>4</v>
      </c>
    </row>
    <row r="567" spans="1:5" hidden="1" x14ac:dyDescent="0.25">
      <c r="A567" s="3" t="s">
        <v>1130</v>
      </c>
      <c r="B567" s="3" t="s">
        <v>1131</v>
      </c>
      <c r="C567" s="3" t="s">
        <v>3</v>
      </c>
      <c r="D567" s="3" t="s">
        <v>3</v>
      </c>
      <c r="E567" s="3" t="s">
        <v>4</v>
      </c>
    </row>
    <row r="568" spans="1:5" hidden="1" x14ac:dyDescent="0.25">
      <c r="A568" s="3" t="s">
        <v>1132</v>
      </c>
      <c r="B568" s="3" t="s">
        <v>1133</v>
      </c>
      <c r="C568" s="3" t="s">
        <v>3</v>
      </c>
      <c r="D568" s="3" t="s">
        <v>3</v>
      </c>
      <c r="E568" s="3" t="s">
        <v>4</v>
      </c>
    </row>
    <row r="569" spans="1:5" hidden="1" x14ac:dyDescent="0.25">
      <c r="A569" s="3" t="s">
        <v>1134</v>
      </c>
      <c r="B569" s="3" t="s">
        <v>1135</v>
      </c>
      <c r="C569" s="3" t="s">
        <v>3</v>
      </c>
      <c r="D569" s="3" t="s">
        <v>3</v>
      </c>
      <c r="E569" s="3" t="s">
        <v>4</v>
      </c>
    </row>
    <row r="570" spans="1:5" hidden="1" x14ac:dyDescent="0.25">
      <c r="A570" s="3" t="s">
        <v>1136</v>
      </c>
      <c r="B570" s="3" t="s">
        <v>1137</v>
      </c>
      <c r="C570" s="3" t="s">
        <v>3</v>
      </c>
      <c r="D570" s="3" t="s">
        <v>3</v>
      </c>
      <c r="E570" s="3" t="s">
        <v>4</v>
      </c>
    </row>
    <row r="571" spans="1:5" hidden="1" x14ac:dyDescent="0.25">
      <c r="A571" s="3" t="s">
        <v>1138</v>
      </c>
      <c r="B571" s="3" t="s">
        <v>1139</v>
      </c>
      <c r="C571" s="3" t="s">
        <v>3</v>
      </c>
      <c r="D571" s="3" t="s">
        <v>3</v>
      </c>
      <c r="E571" s="3" t="s">
        <v>4</v>
      </c>
    </row>
    <row r="572" spans="1:5" hidden="1" x14ac:dyDescent="0.25">
      <c r="A572" s="3" t="s">
        <v>1140</v>
      </c>
      <c r="B572" s="3" t="s">
        <v>1141</v>
      </c>
      <c r="C572" s="3" t="s">
        <v>3</v>
      </c>
      <c r="D572" s="3" t="s">
        <v>3</v>
      </c>
      <c r="E572" s="3" t="s">
        <v>4</v>
      </c>
    </row>
    <row r="573" spans="1:5" hidden="1" x14ac:dyDescent="0.25">
      <c r="A573" s="3" t="s">
        <v>1142</v>
      </c>
      <c r="B573" s="3" t="s">
        <v>1143</v>
      </c>
      <c r="C573" s="3" t="s">
        <v>3</v>
      </c>
      <c r="D573" s="3" t="s">
        <v>3</v>
      </c>
      <c r="E573" s="3" t="s">
        <v>4</v>
      </c>
    </row>
    <row r="574" spans="1:5" hidden="1" x14ac:dyDescent="0.25">
      <c r="A574" s="3" t="s">
        <v>1144</v>
      </c>
      <c r="B574" s="3" t="s">
        <v>1145</v>
      </c>
      <c r="C574" s="3" t="s">
        <v>3</v>
      </c>
      <c r="D574" s="3" t="s">
        <v>3</v>
      </c>
      <c r="E574" s="3" t="s">
        <v>4</v>
      </c>
    </row>
    <row r="575" spans="1:5" hidden="1" x14ac:dyDescent="0.25">
      <c r="A575" s="3" t="s">
        <v>1146</v>
      </c>
      <c r="B575" s="3" t="s">
        <v>1147</v>
      </c>
      <c r="C575" s="3" t="s">
        <v>3</v>
      </c>
      <c r="D575" s="3" t="s">
        <v>3</v>
      </c>
      <c r="E575" s="3" t="s">
        <v>4</v>
      </c>
    </row>
    <row r="576" spans="1:5" hidden="1" x14ac:dyDescent="0.25">
      <c r="A576" s="3" t="s">
        <v>1148</v>
      </c>
      <c r="B576" s="3" t="s">
        <v>1149</v>
      </c>
      <c r="C576" s="3" t="s">
        <v>3</v>
      </c>
      <c r="D576" s="3" t="s">
        <v>3</v>
      </c>
      <c r="E576" s="3" t="s">
        <v>4</v>
      </c>
    </row>
    <row r="577" spans="1:5" hidden="1" x14ac:dyDescent="0.25">
      <c r="A577" s="3" t="s">
        <v>1150</v>
      </c>
      <c r="B577" s="3" t="s">
        <v>1151</v>
      </c>
      <c r="C577" s="3" t="s">
        <v>3</v>
      </c>
      <c r="D577" s="3" t="s">
        <v>3</v>
      </c>
      <c r="E577" s="3" t="s">
        <v>4</v>
      </c>
    </row>
    <row r="578" spans="1:5" hidden="1" x14ac:dyDescent="0.25">
      <c r="A578" s="3" t="s">
        <v>1152</v>
      </c>
      <c r="B578" s="3" t="s">
        <v>1153</v>
      </c>
      <c r="C578" s="3" t="s">
        <v>3</v>
      </c>
      <c r="D578" s="3" t="s">
        <v>3</v>
      </c>
      <c r="E578" s="3" t="s">
        <v>4</v>
      </c>
    </row>
    <row r="579" spans="1:5" hidden="1" x14ac:dyDescent="0.25">
      <c r="A579" s="3" t="s">
        <v>1154</v>
      </c>
      <c r="B579" s="3" t="s">
        <v>1155</v>
      </c>
      <c r="C579" s="3" t="s">
        <v>3</v>
      </c>
      <c r="D579" s="3" t="s">
        <v>3</v>
      </c>
      <c r="E579" s="3" t="s">
        <v>4</v>
      </c>
    </row>
    <row r="580" spans="1:5" hidden="1" x14ac:dyDescent="0.25">
      <c r="A580" s="3" t="s">
        <v>1156</v>
      </c>
      <c r="B580" s="3" t="s">
        <v>1157</v>
      </c>
      <c r="C580" s="3" t="s">
        <v>3</v>
      </c>
      <c r="D580" s="3" t="s">
        <v>3</v>
      </c>
      <c r="E580" s="3" t="s">
        <v>4</v>
      </c>
    </row>
    <row r="581" spans="1:5" hidden="1" x14ac:dyDescent="0.25">
      <c r="A581" s="3" t="s">
        <v>1158</v>
      </c>
      <c r="B581" s="3" t="s">
        <v>1159</v>
      </c>
      <c r="C581" s="3" t="s">
        <v>3</v>
      </c>
      <c r="D581" s="3" t="s">
        <v>3</v>
      </c>
      <c r="E581" s="3" t="s">
        <v>4</v>
      </c>
    </row>
    <row r="582" spans="1:5" hidden="1" x14ac:dyDescent="0.25">
      <c r="A582" s="3" t="s">
        <v>1160</v>
      </c>
      <c r="B582" s="3" t="s">
        <v>1161</v>
      </c>
      <c r="C582" s="3" t="s">
        <v>3</v>
      </c>
      <c r="D582" s="3" t="s">
        <v>3</v>
      </c>
      <c r="E582" s="3" t="s">
        <v>4</v>
      </c>
    </row>
    <row r="583" spans="1:5" hidden="1" x14ac:dyDescent="0.25">
      <c r="A583" s="3" t="s">
        <v>1162</v>
      </c>
      <c r="B583" s="3" t="s">
        <v>1163</v>
      </c>
      <c r="C583" s="3" t="s">
        <v>3</v>
      </c>
      <c r="D583" s="3" t="s">
        <v>3</v>
      </c>
      <c r="E583" s="3" t="s">
        <v>4</v>
      </c>
    </row>
    <row r="584" spans="1:5" hidden="1" x14ac:dyDescent="0.25">
      <c r="A584" s="3" t="s">
        <v>1164</v>
      </c>
      <c r="B584" s="3" t="s">
        <v>1165</v>
      </c>
      <c r="C584" s="3" t="s">
        <v>3</v>
      </c>
      <c r="D584" s="3" t="s">
        <v>3</v>
      </c>
      <c r="E584" s="3" t="s">
        <v>4</v>
      </c>
    </row>
    <row r="585" spans="1:5" hidden="1" x14ac:dyDescent="0.25">
      <c r="A585" s="3" t="s">
        <v>1166</v>
      </c>
      <c r="B585" s="3" t="s">
        <v>1167</v>
      </c>
      <c r="C585" s="3" t="s">
        <v>3</v>
      </c>
      <c r="D585" s="3" t="s">
        <v>3</v>
      </c>
      <c r="E585" s="3" t="s">
        <v>4</v>
      </c>
    </row>
    <row r="586" spans="1:5" hidden="1" x14ac:dyDescent="0.25">
      <c r="A586" s="3" t="s">
        <v>1168</v>
      </c>
      <c r="B586" s="3" t="s">
        <v>1169</v>
      </c>
      <c r="C586" s="3" t="s">
        <v>3</v>
      </c>
      <c r="D586" s="3" t="s">
        <v>3</v>
      </c>
      <c r="E586" s="3" t="s">
        <v>4</v>
      </c>
    </row>
    <row r="587" spans="1:5" hidden="1" x14ac:dyDescent="0.25">
      <c r="A587" s="3" t="s">
        <v>1170</v>
      </c>
      <c r="B587" s="3" t="s">
        <v>1171</v>
      </c>
      <c r="C587" s="3" t="s">
        <v>3</v>
      </c>
      <c r="D587" s="3" t="s">
        <v>3</v>
      </c>
      <c r="E587" s="3" t="s">
        <v>4</v>
      </c>
    </row>
    <row r="588" spans="1:5" hidden="1" x14ac:dyDescent="0.25">
      <c r="A588" s="3" t="s">
        <v>1172</v>
      </c>
      <c r="B588" s="3" t="s">
        <v>1173</v>
      </c>
      <c r="C588" s="3" t="s">
        <v>3</v>
      </c>
      <c r="D588" s="3" t="s">
        <v>3</v>
      </c>
      <c r="E588" s="3" t="s">
        <v>4</v>
      </c>
    </row>
    <row r="589" spans="1:5" hidden="1" x14ac:dyDescent="0.25">
      <c r="A589" s="3" t="s">
        <v>1174</v>
      </c>
      <c r="B589" s="3" t="s">
        <v>1175</v>
      </c>
      <c r="C589" s="3" t="s">
        <v>3</v>
      </c>
      <c r="D589" s="3" t="s">
        <v>3</v>
      </c>
      <c r="E589" s="3" t="s">
        <v>4</v>
      </c>
    </row>
    <row r="590" spans="1:5" hidden="1" x14ac:dyDescent="0.25">
      <c r="A590" s="3" t="s">
        <v>1176</v>
      </c>
      <c r="B590" s="3" t="s">
        <v>1177</v>
      </c>
      <c r="C590" s="3" t="s">
        <v>3</v>
      </c>
      <c r="D590" s="3" t="s">
        <v>3</v>
      </c>
      <c r="E590" s="3" t="s">
        <v>4</v>
      </c>
    </row>
    <row r="591" spans="1:5" hidden="1" x14ac:dyDescent="0.25">
      <c r="A591" s="3" t="s">
        <v>1178</v>
      </c>
      <c r="B591" s="3" t="s">
        <v>1179</v>
      </c>
      <c r="C591" s="3" t="s">
        <v>3</v>
      </c>
      <c r="D591" s="3" t="s">
        <v>3</v>
      </c>
      <c r="E591" s="3" t="s">
        <v>4</v>
      </c>
    </row>
    <row r="592" spans="1:5" hidden="1" x14ac:dyDescent="0.25">
      <c r="A592" s="3" t="s">
        <v>1180</v>
      </c>
      <c r="B592" s="3" t="s">
        <v>1181</v>
      </c>
      <c r="C592" s="3" t="s">
        <v>3</v>
      </c>
      <c r="D592" s="3" t="s">
        <v>3</v>
      </c>
      <c r="E592" s="3" t="s">
        <v>4</v>
      </c>
    </row>
    <row r="593" spans="1:5" hidden="1" x14ac:dyDescent="0.25">
      <c r="A593" s="3" t="s">
        <v>1182</v>
      </c>
      <c r="B593" s="3" t="s">
        <v>1183</v>
      </c>
      <c r="C593" s="3" t="s">
        <v>3</v>
      </c>
      <c r="D593" s="3" t="s">
        <v>3</v>
      </c>
      <c r="E593" s="3" t="s">
        <v>4</v>
      </c>
    </row>
    <row r="594" spans="1:5" hidden="1" x14ac:dyDescent="0.25">
      <c r="A594" s="3" t="s">
        <v>1184</v>
      </c>
      <c r="B594" s="3" t="s">
        <v>1185</v>
      </c>
      <c r="C594" s="3" t="s">
        <v>3</v>
      </c>
      <c r="D594" s="3" t="s">
        <v>3</v>
      </c>
      <c r="E594" s="3" t="s">
        <v>4</v>
      </c>
    </row>
    <row r="595" spans="1:5" hidden="1" x14ac:dyDescent="0.25">
      <c r="A595" s="3" t="s">
        <v>1186</v>
      </c>
      <c r="B595" s="3" t="s">
        <v>1187</v>
      </c>
      <c r="C595" s="3" t="s">
        <v>3</v>
      </c>
      <c r="D595" s="3" t="s">
        <v>3</v>
      </c>
      <c r="E595" s="3" t="s">
        <v>4</v>
      </c>
    </row>
    <row r="596" spans="1:5" hidden="1" x14ac:dyDescent="0.25">
      <c r="A596" s="3" t="s">
        <v>1188</v>
      </c>
      <c r="B596" s="3" t="s">
        <v>1189</v>
      </c>
      <c r="C596" s="3" t="s">
        <v>3</v>
      </c>
      <c r="D596" s="3" t="s">
        <v>3</v>
      </c>
      <c r="E596" s="3" t="s">
        <v>4</v>
      </c>
    </row>
    <row r="597" spans="1:5" hidden="1" x14ac:dyDescent="0.25">
      <c r="A597" s="3" t="s">
        <v>1190</v>
      </c>
      <c r="B597" s="3" t="s">
        <v>1191</v>
      </c>
      <c r="C597" s="3" t="s">
        <v>3</v>
      </c>
      <c r="D597" s="3" t="s">
        <v>3</v>
      </c>
      <c r="E597" s="3" t="s">
        <v>4</v>
      </c>
    </row>
    <row r="598" spans="1:5" hidden="1" x14ac:dyDescent="0.25">
      <c r="A598" s="3" t="s">
        <v>1192</v>
      </c>
      <c r="B598" s="3" t="s">
        <v>1193</v>
      </c>
      <c r="C598" s="3" t="s">
        <v>3</v>
      </c>
      <c r="D598" s="3" t="s">
        <v>3</v>
      </c>
      <c r="E598" s="3" t="s">
        <v>4</v>
      </c>
    </row>
    <row r="599" spans="1:5" hidden="1" x14ac:dyDescent="0.25">
      <c r="A599" s="3" t="s">
        <v>1194</v>
      </c>
      <c r="B599" s="3" t="s">
        <v>1195</v>
      </c>
      <c r="C599" s="3" t="s">
        <v>3</v>
      </c>
      <c r="D599" s="3" t="s">
        <v>3</v>
      </c>
      <c r="E599" s="3" t="s">
        <v>4</v>
      </c>
    </row>
    <row r="600" spans="1:5" hidden="1" x14ac:dyDescent="0.25">
      <c r="A600" s="3" t="s">
        <v>1196</v>
      </c>
      <c r="B600" s="3" t="s">
        <v>1197</v>
      </c>
      <c r="C600" s="3" t="s">
        <v>3</v>
      </c>
      <c r="D600" s="3" t="s">
        <v>3</v>
      </c>
      <c r="E600" s="3" t="s">
        <v>4</v>
      </c>
    </row>
    <row r="601" spans="1:5" hidden="1" x14ac:dyDescent="0.25">
      <c r="A601" s="3" t="s">
        <v>1198</v>
      </c>
      <c r="B601" s="3" t="s">
        <v>1199</v>
      </c>
      <c r="C601" s="3" t="s">
        <v>3</v>
      </c>
      <c r="D601" s="3" t="s">
        <v>3</v>
      </c>
      <c r="E601" s="3" t="s">
        <v>4</v>
      </c>
    </row>
    <row r="602" spans="1:5" hidden="1" x14ac:dyDescent="0.25">
      <c r="A602" s="3" t="s">
        <v>1200</v>
      </c>
      <c r="B602" s="3" t="s">
        <v>1201</v>
      </c>
      <c r="C602" s="3" t="s">
        <v>3</v>
      </c>
      <c r="D602" s="3" t="s">
        <v>3</v>
      </c>
      <c r="E602" s="3" t="s">
        <v>4</v>
      </c>
    </row>
    <row r="603" spans="1:5" hidden="1" x14ac:dyDescent="0.25">
      <c r="A603" s="3" t="s">
        <v>1202</v>
      </c>
      <c r="B603" s="3" t="s">
        <v>1203</v>
      </c>
      <c r="C603" s="3" t="s">
        <v>3</v>
      </c>
      <c r="D603" s="3" t="s">
        <v>3</v>
      </c>
      <c r="E603" s="3" t="s">
        <v>4</v>
      </c>
    </row>
    <row r="604" spans="1:5" hidden="1" x14ac:dyDescent="0.25">
      <c r="A604" s="3" t="s">
        <v>1204</v>
      </c>
      <c r="B604" s="3" t="s">
        <v>1205</v>
      </c>
      <c r="C604" s="3" t="s">
        <v>3</v>
      </c>
      <c r="D604" s="3" t="s">
        <v>3</v>
      </c>
      <c r="E604" s="3" t="s">
        <v>4</v>
      </c>
    </row>
    <row r="605" spans="1:5" hidden="1" x14ac:dyDescent="0.25">
      <c r="A605" s="3" t="s">
        <v>1206</v>
      </c>
      <c r="B605" s="3" t="s">
        <v>1207</v>
      </c>
      <c r="C605" s="3" t="s">
        <v>3</v>
      </c>
      <c r="D605" s="3" t="s">
        <v>3</v>
      </c>
      <c r="E605" s="3" t="s">
        <v>4</v>
      </c>
    </row>
    <row r="606" spans="1:5" hidden="1" x14ac:dyDescent="0.25">
      <c r="A606" s="3" t="s">
        <v>1208</v>
      </c>
      <c r="B606" s="3" t="s">
        <v>1209</v>
      </c>
      <c r="C606" s="3" t="s">
        <v>3</v>
      </c>
      <c r="D606" s="3" t="s">
        <v>3</v>
      </c>
      <c r="E606" s="3" t="s">
        <v>4</v>
      </c>
    </row>
    <row r="607" spans="1:5" hidden="1" x14ac:dyDescent="0.25">
      <c r="A607" s="3" t="s">
        <v>1210</v>
      </c>
      <c r="B607" s="3" t="s">
        <v>1211</v>
      </c>
      <c r="C607" s="3" t="s">
        <v>3</v>
      </c>
      <c r="D607" s="3" t="s">
        <v>3</v>
      </c>
      <c r="E607" s="3" t="s">
        <v>4</v>
      </c>
    </row>
    <row r="608" spans="1:5" hidden="1" x14ac:dyDescent="0.25">
      <c r="A608" s="3" t="s">
        <v>1212</v>
      </c>
      <c r="B608" s="3" t="s">
        <v>1213</v>
      </c>
      <c r="C608" s="3" t="s">
        <v>3</v>
      </c>
      <c r="D608" s="3" t="s">
        <v>3</v>
      </c>
      <c r="E608" s="3" t="s">
        <v>4</v>
      </c>
    </row>
    <row r="609" spans="1:5" hidden="1" x14ac:dyDescent="0.25">
      <c r="A609" s="3" t="s">
        <v>1214</v>
      </c>
      <c r="B609" s="3" t="s">
        <v>1215</v>
      </c>
      <c r="C609" s="3" t="s">
        <v>3</v>
      </c>
      <c r="D609" s="3" t="s">
        <v>3</v>
      </c>
      <c r="E609" s="3" t="s">
        <v>4</v>
      </c>
    </row>
    <row r="610" spans="1:5" hidden="1" x14ac:dyDescent="0.25">
      <c r="A610" s="3" t="s">
        <v>1216</v>
      </c>
      <c r="B610" s="3" t="s">
        <v>1217</v>
      </c>
      <c r="C610" s="3" t="s">
        <v>3</v>
      </c>
      <c r="D610" s="3" t="s">
        <v>3</v>
      </c>
      <c r="E610" s="3" t="s">
        <v>4</v>
      </c>
    </row>
    <row r="611" spans="1:5" hidden="1" x14ac:dyDescent="0.25">
      <c r="A611" s="3" t="s">
        <v>1218</v>
      </c>
      <c r="B611" s="3" t="s">
        <v>1219</v>
      </c>
      <c r="C611" s="3" t="s">
        <v>3</v>
      </c>
      <c r="D611" s="3" t="s">
        <v>3</v>
      </c>
      <c r="E611" s="3" t="s">
        <v>4</v>
      </c>
    </row>
    <row r="612" spans="1:5" hidden="1" x14ac:dyDescent="0.25">
      <c r="A612" s="3" t="s">
        <v>1220</v>
      </c>
      <c r="B612" s="3" t="s">
        <v>1221</v>
      </c>
      <c r="C612" s="3" t="s">
        <v>3</v>
      </c>
      <c r="D612" s="3" t="s">
        <v>3</v>
      </c>
      <c r="E612" s="3" t="s">
        <v>4</v>
      </c>
    </row>
    <row r="613" spans="1:5" hidden="1" x14ac:dyDescent="0.25">
      <c r="A613" s="3" t="s">
        <v>1222</v>
      </c>
      <c r="B613" s="3" t="s">
        <v>1223</v>
      </c>
      <c r="C613" s="3" t="s">
        <v>3</v>
      </c>
      <c r="D613" s="3" t="s">
        <v>3</v>
      </c>
      <c r="E613" s="3" t="s">
        <v>4</v>
      </c>
    </row>
    <row r="614" spans="1:5" hidden="1" x14ac:dyDescent="0.25">
      <c r="A614" s="3" t="s">
        <v>1224</v>
      </c>
      <c r="B614" s="3" t="s">
        <v>1225</v>
      </c>
      <c r="C614" s="3" t="s">
        <v>3</v>
      </c>
      <c r="D614" s="3" t="s">
        <v>3</v>
      </c>
      <c r="E614" s="3" t="s">
        <v>4</v>
      </c>
    </row>
    <row r="615" spans="1:5" hidden="1" x14ac:dyDescent="0.25">
      <c r="A615" s="3" t="s">
        <v>1226</v>
      </c>
      <c r="B615" s="3" t="s">
        <v>1227</v>
      </c>
      <c r="C615" s="3" t="s">
        <v>3</v>
      </c>
      <c r="D615" s="3" t="s">
        <v>3</v>
      </c>
      <c r="E615" s="3" t="s">
        <v>4</v>
      </c>
    </row>
    <row r="616" spans="1:5" hidden="1" x14ac:dyDescent="0.25">
      <c r="A616" s="3" t="s">
        <v>1228</v>
      </c>
      <c r="B616" s="3" t="s">
        <v>1229</v>
      </c>
      <c r="C616" s="3" t="s">
        <v>3</v>
      </c>
      <c r="D616" s="3" t="s">
        <v>3</v>
      </c>
      <c r="E616" s="3" t="s">
        <v>4</v>
      </c>
    </row>
    <row r="617" spans="1:5" hidden="1" x14ac:dyDescent="0.25">
      <c r="A617" s="3" t="s">
        <v>1230</v>
      </c>
      <c r="B617" s="3" t="s">
        <v>1231</v>
      </c>
      <c r="C617" s="3" t="s">
        <v>3</v>
      </c>
      <c r="D617" s="3" t="s">
        <v>3</v>
      </c>
      <c r="E617" s="3" t="s">
        <v>4</v>
      </c>
    </row>
    <row r="618" spans="1:5" hidden="1" x14ac:dyDescent="0.25">
      <c r="A618" s="3" t="s">
        <v>1232</v>
      </c>
      <c r="B618" s="3" t="s">
        <v>1233</v>
      </c>
      <c r="C618" s="3" t="s">
        <v>3</v>
      </c>
      <c r="D618" s="3" t="s">
        <v>3</v>
      </c>
      <c r="E618" s="3" t="s">
        <v>4</v>
      </c>
    </row>
    <row r="619" spans="1:5" hidden="1" x14ac:dyDescent="0.25">
      <c r="A619" s="3" t="s">
        <v>1234</v>
      </c>
      <c r="B619" s="3" t="s">
        <v>1235</v>
      </c>
      <c r="C619" s="3" t="s">
        <v>3</v>
      </c>
      <c r="D619" s="3" t="s">
        <v>3</v>
      </c>
      <c r="E619" s="3" t="s">
        <v>4</v>
      </c>
    </row>
    <row r="620" spans="1:5" hidden="1" x14ac:dyDescent="0.25">
      <c r="A620" s="3" t="s">
        <v>1236</v>
      </c>
      <c r="B620" s="3" t="s">
        <v>1237</v>
      </c>
      <c r="C620" s="3" t="s">
        <v>3</v>
      </c>
      <c r="D620" s="3" t="s">
        <v>3</v>
      </c>
      <c r="E620" s="3" t="s">
        <v>4</v>
      </c>
    </row>
    <row r="621" spans="1:5" hidden="1" x14ac:dyDescent="0.25">
      <c r="A621" s="3" t="s">
        <v>1238</v>
      </c>
      <c r="B621" s="3" t="s">
        <v>1239</v>
      </c>
      <c r="C621" s="3" t="s">
        <v>3</v>
      </c>
      <c r="D621" s="3" t="s">
        <v>3</v>
      </c>
      <c r="E621" s="3" t="s">
        <v>4</v>
      </c>
    </row>
    <row r="622" spans="1:5" hidden="1" x14ac:dyDescent="0.25">
      <c r="A622" s="3" t="s">
        <v>1240</v>
      </c>
      <c r="B622" s="3" t="s">
        <v>1241</v>
      </c>
      <c r="C622" s="3" t="s">
        <v>3</v>
      </c>
      <c r="D622" s="3" t="s">
        <v>3</v>
      </c>
      <c r="E622" s="3" t="s">
        <v>4</v>
      </c>
    </row>
    <row r="623" spans="1:5" hidden="1" x14ac:dyDescent="0.25">
      <c r="A623" s="3" t="s">
        <v>1242</v>
      </c>
      <c r="B623" s="3" t="s">
        <v>1243</v>
      </c>
      <c r="C623" s="3" t="s">
        <v>3</v>
      </c>
      <c r="D623" s="3" t="s">
        <v>3</v>
      </c>
      <c r="E623" s="3" t="s">
        <v>4</v>
      </c>
    </row>
    <row r="624" spans="1:5" hidden="1" x14ac:dyDescent="0.25">
      <c r="A624" s="3" t="s">
        <v>1244</v>
      </c>
      <c r="B624" s="3" t="s">
        <v>1245</v>
      </c>
      <c r="C624" s="3" t="s">
        <v>3</v>
      </c>
      <c r="D624" s="3" t="s">
        <v>3</v>
      </c>
      <c r="E624" s="3" t="s">
        <v>4</v>
      </c>
    </row>
    <row r="625" spans="1:5" hidden="1" x14ac:dyDescent="0.25">
      <c r="A625" s="3" t="s">
        <v>1246</v>
      </c>
      <c r="B625" s="3" t="s">
        <v>1247</v>
      </c>
      <c r="C625" s="3" t="s">
        <v>3</v>
      </c>
      <c r="D625" s="3" t="s">
        <v>3</v>
      </c>
      <c r="E625" s="3" t="s">
        <v>4</v>
      </c>
    </row>
    <row r="626" spans="1:5" hidden="1" x14ac:dyDescent="0.25">
      <c r="A626" s="3" t="s">
        <v>1248</v>
      </c>
      <c r="B626" s="3" t="s">
        <v>1249</v>
      </c>
      <c r="C626" s="3" t="s">
        <v>3</v>
      </c>
      <c r="D626" s="3" t="s">
        <v>3</v>
      </c>
      <c r="E626" s="3" t="s">
        <v>4</v>
      </c>
    </row>
    <row r="627" spans="1:5" hidden="1" x14ac:dyDescent="0.25">
      <c r="A627" s="3" t="s">
        <v>1250</v>
      </c>
      <c r="B627" s="3" t="s">
        <v>1251</v>
      </c>
      <c r="C627" s="3" t="s">
        <v>3</v>
      </c>
      <c r="D627" s="3" t="s">
        <v>3</v>
      </c>
      <c r="E627" s="3" t="s">
        <v>4</v>
      </c>
    </row>
    <row r="628" spans="1:5" hidden="1" x14ac:dyDescent="0.25">
      <c r="A628" s="3" t="s">
        <v>1252</v>
      </c>
      <c r="B628" s="3" t="s">
        <v>1253</v>
      </c>
      <c r="C628" s="3" t="s">
        <v>3</v>
      </c>
      <c r="D628" s="3" t="s">
        <v>3</v>
      </c>
      <c r="E628" s="3" t="s">
        <v>4</v>
      </c>
    </row>
    <row r="629" spans="1:5" hidden="1" x14ac:dyDescent="0.25">
      <c r="A629" s="3" t="s">
        <v>1254</v>
      </c>
      <c r="B629" s="3" t="s">
        <v>1255</v>
      </c>
      <c r="C629" s="3" t="s">
        <v>3</v>
      </c>
      <c r="D629" s="3" t="s">
        <v>3</v>
      </c>
      <c r="E629" s="3" t="s">
        <v>4</v>
      </c>
    </row>
    <row r="630" spans="1:5" hidden="1" x14ac:dyDescent="0.25">
      <c r="A630" s="3" t="s">
        <v>1256</v>
      </c>
      <c r="B630" s="3" t="s">
        <v>1257</v>
      </c>
      <c r="C630" s="3" t="s">
        <v>3</v>
      </c>
      <c r="D630" s="3" t="s">
        <v>3</v>
      </c>
      <c r="E630" s="3" t="s">
        <v>4</v>
      </c>
    </row>
    <row r="631" spans="1:5" hidden="1" x14ac:dyDescent="0.25">
      <c r="A631" s="3" t="s">
        <v>1258</v>
      </c>
      <c r="B631" s="3" t="s">
        <v>1259</v>
      </c>
      <c r="C631" s="3" t="s">
        <v>3</v>
      </c>
      <c r="D631" s="3" t="s">
        <v>3</v>
      </c>
      <c r="E631" s="3" t="s">
        <v>4</v>
      </c>
    </row>
    <row r="632" spans="1:5" hidden="1" x14ac:dyDescent="0.25">
      <c r="A632" s="3" t="s">
        <v>1260</v>
      </c>
      <c r="B632" s="3" t="s">
        <v>1261</v>
      </c>
      <c r="C632" s="3" t="s">
        <v>3</v>
      </c>
      <c r="D632" s="3" t="s">
        <v>3</v>
      </c>
      <c r="E632" s="3" t="s">
        <v>4</v>
      </c>
    </row>
    <row r="633" spans="1:5" hidden="1" x14ac:dyDescent="0.25">
      <c r="A633" s="3" t="s">
        <v>1262</v>
      </c>
      <c r="B633" s="3" t="s">
        <v>1263</v>
      </c>
      <c r="C633" s="3" t="s">
        <v>3</v>
      </c>
      <c r="D633" s="3" t="s">
        <v>3</v>
      </c>
      <c r="E633" s="3" t="s">
        <v>4</v>
      </c>
    </row>
    <row r="634" spans="1:5" hidden="1" x14ac:dyDescent="0.25">
      <c r="A634" s="3" t="s">
        <v>1264</v>
      </c>
      <c r="B634" s="3" t="s">
        <v>1265</v>
      </c>
      <c r="C634" s="3" t="s">
        <v>3</v>
      </c>
      <c r="D634" s="3" t="s">
        <v>3</v>
      </c>
      <c r="E634" s="3" t="s">
        <v>4</v>
      </c>
    </row>
    <row r="635" spans="1:5" hidden="1" x14ac:dyDescent="0.25">
      <c r="A635" s="3" t="s">
        <v>1266</v>
      </c>
      <c r="B635" s="3" t="s">
        <v>1267</v>
      </c>
      <c r="C635" s="3" t="s">
        <v>3</v>
      </c>
      <c r="D635" s="3" t="s">
        <v>3</v>
      </c>
      <c r="E635" s="3" t="s">
        <v>4</v>
      </c>
    </row>
    <row r="636" spans="1:5" hidden="1" x14ac:dyDescent="0.25">
      <c r="A636" s="3" t="s">
        <v>1268</v>
      </c>
      <c r="B636" s="3" t="s">
        <v>1269</v>
      </c>
      <c r="C636" s="3" t="s">
        <v>3</v>
      </c>
      <c r="D636" s="3" t="s">
        <v>3</v>
      </c>
      <c r="E636" s="3" t="s">
        <v>4</v>
      </c>
    </row>
    <row r="637" spans="1:5" hidden="1" x14ac:dyDescent="0.25">
      <c r="A637" s="3" t="s">
        <v>1270</v>
      </c>
      <c r="B637" s="3" t="s">
        <v>1271</v>
      </c>
      <c r="C637" s="3" t="s">
        <v>3</v>
      </c>
      <c r="D637" s="3" t="s">
        <v>3</v>
      </c>
      <c r="E637" s="3" t="s">
        <v>4</v>
      </c>
    </row>
    <row r="638" spans="1:5" hidden="1" x14ac:dyDescent="0.25">
      <c r="A638" s="3" t="s">
        <v>1272</v>
      </c>
      <c r="B638" s="3" t="s">
        <v>1273</v>
      </c>
      <c r="C638" s="3" t="s">
        <v>3</v>
      </c>
      <c r="D638" s="3" t="s">
        <v>3</v>
      </c>
      <c r="E638" s="3" t="s">
        <v>4</v>
      </c>
    </row>
    <row r="639" spans="1:5" hidden="1" x14ac:dyDescent="0.25">
      <c r="A639" s="3" t="s">
        <v>1274</v>
      </c>
      <c r="B639" s="3" t="s">
        <v>1275</v>
      </c>
      <c r="C639" s="3" t="s">
        <v>3</v>
      </c>
      <c r="D639" s="3" t="s">
        <v>3</v>
      </c>
      <c r="E639" s="3" t="s">
        <v>4</v>
      </c>
    </row>
    <row r="640" spans="1:5" hidden="1" x14ac:dyDescent="0.25">
      <c r="A640" s="3" t="s">
        <v>1276</v>
      </c>
      <c r="B640" s="3" t="s">
        <v>1277</v>
      </c>
      <c r="C640" s="3" t="s">
        <v>3</v>
      </c>
      <c r="D640" s="3" t="s">
        <v>3</v>
      </c>
      <c r="E640" s="3" t="s">
        <v>4</v>
      </c>
    </row>
    <row r="641" spans="1:5" hidden="1" x14ac:dyDescent="0.25">
      <c r="A641" s="3" t="s">
        <v>1278</v>
      </c>
      <c r="B641" s="3" t="s">
        <v>1279</v>
      </c>
      <c r="C641" s="3" t="s">
        <v>3</v>
      </c>
      <c r="D641" s="3" t="s">
        <v>3</v>
      </c>
      <c r="E641" s="3" t="s">
        <v>4</v>
      </c>
    </row>
    <row r="642" spans="1:5" hidden="1" x14ac:dyDescent="0.25">
      <c r="A642" s="3" t="s">
        <v>1280</v>
      </c>
      <c r="B642" s="3" t="s">
        <v>1281</v>
      </c>
      <c r="C642" s="3" t="s">
        <v>3</v>
      </c>
      <c r="D642" s="3" t="s">
        <v>3</v>
      </c>
      <c r="E642" s="3" t="s">
        <v>4</v>
      </c>
    </row>
    <row r="643" spans="1:5" hidden="1" x14ac:dyDescent="0.25">
      <c r="A643" s="3" t="s">
        <v>1282</v>
      </c>
      <c r="B643" s="3" t="s">
        <v>1283</v>
      </c>
      <c r="C643" s="3" t="s">
        <v>3</v>
      </c>
      <c r="D643" s="3" t="s">
        <v>3</v>
      </c>
      <c r="E643" s="3" t="s">
        <v>4</v>
      </c>
    </row>
    <row r="644" spans="1:5" hidden="1" x14ac:dyDescent="0.25">
      <c r="A644" s="3" t="s">
        <v>1284</v>
      </c>
      <c r="B644" s="3" t="s">
        <v>1285</v>
      </c>
      <c r="C644" s="3" t="s">
        <v>3</v>
      </c>
      <c r="D644" s="3" t="s">
        <v>3</v>
      </c>
      <c r="E644" s="3" t="s">
        <v>4</v>
      </c>
    </row>
    <row r="645" spans="1:5" hidden="1" x14ac:dyDescent="0.25">
      <c r="A645" s="3" t="s">
        <v>1286</v>
      </c>
      <c r="B645" s="3" t="s">
        <v>1287</v>
      </c>
      <c r="C645" s="3" t="s">
        <v>3</v>
      </c>
      <c r="D645" s="3" t="s">
        <v>3</v>
      </c>
      <c r="E645" s="3" t="s">
        <v>4</v>
      </c>
    </row>
    <row r="646" spans="1:5" hidden="1" x14ac:dyDescent="0.25">
      <c r="A646" s="3" t="s">
        <v>1288</v>
      </c>
      <c r="B646" s="3" t="s">
        <v>1289</v>
      </c>
      <c r="C646" s="3" t="s">
        <v>3</v>
      </c>
      <c r="D646" s="3" t="s">
        <v>3</v>
      </c>
      <c r="E646" s="3" t="s">
        <v>4</v>
      </c>
    </row>
    <row r="647" spans="1:5" hidden="1" x14ac:dyDescent="0.25">
      <c r="A647" s="3" t="s">
        <v>1290</v>
      </c>
      <c r="B647" s="3" t="s">
        <v>1291</v>
      </c>
      <c r="C647" s="3" t="s">
        <v>3</v>
      </c>
      <c r="D647" s="3" t="s">
        <v>3</v>
      </c>
      <c r="E647" s="3" t="s">
        <v>4</v>
      </c>
    </row>
    <row r="648" spans="1:5" hidden="1" x14ac:dyDescent="0.25">
      <c r="A648" s="3" t="s">
        <v>1292</v>
      </c>
      <c r="B648" s="3" t="s">
        <v>1293</v>
      </c>
      <c r="C648" s="3" t="s">
        <v>3</v>
      </c>
      <c r="D648" s="3" t="s">
        <v>3</v>
      </c>
      <c r="E648" s="3" t="s">
        <v>4</v>
      </c>
    </row>
    <row r="649" spans="1:5" hidden="1" x14ac:dyDescent="0.25">
      <c r="A649" s="3" t="s">
        <v>1294</v>
      </c>
      <c r="B649" s="3" t="s">
        <v>1295</v>
      </c>
      <c r="C649" s="3" t="s">
        <v>3</v>
      </c>
      <c r="D649" s="3" t="s">
        <v>3</v>
      </c>
      <c r="E649" s="3" t="s">
        <v>4</v>
      </c>
    </row>
    <row r="650" spans="1:5" hidden="1" x14ac:dyDescent="0.25">
      <c r="A650" s="3" t="s">
        <v>1296</v>
      </c>
      <c r="B650" s="3" t="s">
        <v>1297</v>
      </c>
      <c r="C650" s="3" t="s">
        <v>3</v>
      </c>
      <c r="D650" s="3" t="s">
        <v>3</v>
      </c>
      <c r="E650" s="3" t="s">
        <v>4</v>
      </c>
    </row>
    <row r="651" spans="1:5" hidden="1" x14ac:dyDescent="0.25">
      <c r="A651" s="3" t="s">
        <v>1298</v>
      </c>
      <c r="B651" s="3" t="s">
        <v>1299</v>
      </c>
      <c r="C651" s="3" t="s">
        <v>3</v>
      </c>
      <c r="D651" s="3" t="s">
        <v>3</v>
      </c>
      <c r="E651" s="3" t="s">
        <v>4</v>
      </c>
    </row>
    <row r="652" spans="1:5" hidden="1" x14ac:dyDescent="0.25">
      <c r="A652" s="3" t="s">
        <v>1300</v>
      </c>
      <c r="B652" s="3" t="s">
        <v>1301</v>
      </c>
      <c r="C652" s="3" t="s">
        <v>3</v>
      </c>
      <c r="D652" s="3" t="s">
        <v>3</v>
      </c>
      <c r="E652" s="3" t="s">
        <v>4</v>
      </c>
    </row>
    <row r="653" spans="1:5" hidden="1" x14ac:dyDescent="0.25">
      <c r="A653" s="3" t="s">
        <v>1302</v>
      </c>
      <c r="B653" s="3" t="s">
        <v>1303</v>
      </c>
      <c r="C653" s="3" t="s">
        <v>3</v>
      </c>
      <c r="D653" s="3" t="s">
        <v>3</v>
      </c>
      <c r="E653" s="3" t="s">
        <v>4</v>
      </c>
    </row>
    <row r="654" spans="1:5" hidden="1" x14ac:dyDescent="0.25">
      <c r="A654" s="3" t="s">
        <v>1304</v>
      </c>
      <c r="B654" s="3" t="s">
        <v>1305</v>
      </c>
      <c r="C654" s="3" t="s">
        <v>3</v>
      </c>
      <c r="D654" s="3" t="s">
        <v>3</v>
      </c>
      <c r="E654" s="3" t="s">
        <v>4</v>
      </c>
    </row>
    <row r="655" spans="1:5" hidden="1" x14ac:dyDescent="0.25">
      <c r="A655" s="3" t="s">
        <v>1306</v>
      </c>
      <c r="B655" s="3" t="s">
        <v>1307</v>
      </c>
      <c r="C655" s="3" t="s">
        <v>3</v>
      </c>
      <c r="D655" s="3" t="s">
        <v>3</v>
      </c>
      <c r="E655" s="3" t="s">
        <v>4</v>
      </c>
    </row>
    <row r="656" spans="1:5" hidden="1" x14ac:dyDescent="0.25">
      <c r="A656" s="3" t="s">
        <v>1308</v>
      </c>
      <c r="B656" s="3" t="s">
        <v>1309</v>
      </c>
      <c r="C656" s="3" t="s">
        <v>3</v>
      </c>
      <c r="D656" s="3" t="s">
        <v>3</v>
      </c>
      <c r="E656" s="3" t="s">
        <v>4</v>
      </c>
    </row>
    <row r="657" spans="1:5" hidden="1" x14ac:dyDescent="0.25">
      <c r="A657" s="3" t="s">
        <v>1310</v>
      </c>
      <c r="B657" s="3" t="s">
        <v>1311</v>
      </c>
      <c r="C657" s="3" t="s">
        <v>3</v>
      </c>
      <c r="D657" s="3" t="s">
        <v>3</v>
      </c>
      <c r="E657" s="3" t="s">
        <v>4</v>
      </c>
    </row>
    <row r="658" spans="1:5" hidden="1" x14ac:dyDescent="0.25">
      <c r="A658" s="3" t="s">
        <v>1312</v>
      </c>
      <c r="B658" s="3" t="s">
        <v>1313</v>
      </c>
      <c r="C658" s="3" t="s">
        <v>3</v>
      </c>
      <c r="D658" s="3" t="s">
        <v>3</v>
      </c>
      <c r="E658" s="3" t="s">
        <v>4</v>
      </c>
    </row>
    <row r="659" spans="1:5" hidden="1" x14ac:dyDescent="0.25">
      <c r="A659" s="3" t="s">
        <v>1314</v>
      </c>
      <c r="B659" s="3" t="s">
        <v>1315</v>
      </c>
      <c r="C659" s="3" t="s">
        <v>3</v>
      </c>
      <c r="D659" s="3" t="s">
        <v>3</v>
      </c>
      <c r="E659" s="3" t="s">
        <v>4</v>
      </c>
    </row>
    <row r="660" spans="1:5" hidden="1" x14ac:dyDescent="0.25">
      <c r="A660" s="3" t="s">
        <v>1316</v>
      </c>
      <c r="B660" s="3" t="s">
        <v>1317</v>
      </c>
      <c r="C660" s="3" t="s">
        <v>3</v>
      </c>
      <c r="D660" s="3" t="s">
        <v>3</v>
      </c>
      <c r="E660" s="3" t="s">
        <v>4</v>
      </c>
    </row>
    <row r="661" spans="1:5" hidden="1" x14ac:dyDescent="0.25">
      <c r="A661" s="3" t="s">
        <v>1318</v>
      </c>
      <c r="B661" s="3" t="s">
        <v>1319</v>
      </c>
      <c r="C661" s="3" t="s">
        <v>3</v>
      </c>
      <c r="D661" s="3" t="s">
        <v>3</v>
      </c>
      <c r="E661" s="3" t="s">
        <v>4</v>
      </c>
    </row>
    <row r="662" spans="1:5" hidden="1" x14ac:dyDescent="0.25">
      <c r="A662" s="3" t="s">
        <v>1320</v>
      </c>
      <c r="B662" s="3" t="s">
        <v>1321</v>
      </c>
      <c r="C662" s="3" t="s">
        <v>3</v>
      </c>
      <c r="D662" s="3" t="s">
        <v>3</v>
      </c>
      <c r="E662" s="3" t="s">
        <v>4</v>
      </c>
    </row>
    <row r="663" spans="1:5" hidden="1" x14ac:dyDescent="0.25">
      <c r="A663" s="3" t="s">
        <v>1322</v>
      </c>
      <c r="B663" s="3" t="s">
        <v>1323</v>
      </c>
      <c r="C663" s="3" t="s">
        <v>3</v>
      </c>
      <c r="D663" s="3" t="s">
        <v>3</v>
      </c>
      <c r="E663" s="3" t="s">
        <v>4</v>
      </c>
    </row>
    <row r="664" spans="1:5" hidden="1" x14ac:dyDescent="0.25">
      <c r="A664" s="3" t="s">
        <v>1324</v>
      </c>
      <c r="B664" s="3" t="s">
        <v>1325</v>
      </c>
      <c r="C664" s="3" t="s">
        <v>3</v>
      </c>
      <c r="D664" s="3" t="s">
        <v>3</v>
      </c>
      <c r="E664" s="3" t="s">
        <v>4</v>
      </c>
    </row>
    <row r="665" spans="1:5" hidden="1" x14ac:dyDescent="0.25">
      <c r="A665" s="3" t="s">
        <v>1326</v>
      </c>
      <c r="B665" s="3" t="s">
        <v>1327</v>
      </c>
      <c r="C665" s="3" t="s">
        <v>3</v>
      </c>
      <c r="D665" s="3" t="s">
        <v>3</v>
      </c>
      <c r="E665" s="3" t="s">
        <v>4</v>
      </c>
    </row>
    <row r="666" spans="1:5" hidden="1" x14ac:dyDescent="0.25">
      <c r="A666" s="3" t="s">
        <v>1328</v>
      </c>
      <c r="B666" s="3" t="s">
        <v>1329</v>
      </c>
      <c r="C666" s="3" t="s">
        <v>3</v>
      </c>
      <c r="D666" s="3" t="s">
        <v>3</v>
      </c>
      <c r="E666" s="3" t="s">
        <v>4</v>
      </c>
    </row>
    <row r="667" spans="1:5" hidden="1" x14ac:dyDescent="0.25">
      <c r="A667" s="3" t="s">
        <v>1330</v>
      </c>
      <c r="B667" s="3" t="s">
        <v>1331</v>
      </c>
      <c r="C667" s="3" t="s">
        <v>3</v>
      </c>
      <c r="D667" s="3" t="s">
        <v>3</v>
      </c>
      <c r="E667" s="3" t="s">
        <v>4</v>
      </c>
    </row>
    <row r="668" spans="1:5" hidden="1" x14ac:dyDescent="0.25">
      <c r="A668" s="3" t="s">
        <v>1332</v>
      </c>
      <c r="B668" s="3" t="s">
        <v>1333</v>
      </c>
      <c r="C668" s="3" t="s">
        <v>3</v>
      </c>
      <c r="D668" s="3" t="s">
        <v>3</v>
      </c>
      <c r="E668" s="3" t="s">
        <v>4</v>
      </c>
    </row>
    <row r="669" spans="1:5" hidden="1" x14ac:dyDescent="0.25">
      <c r="A669" s="3" t="s">
        <v>1334</v>
      </c>
      <c r="B669" s="3" t="s">
        <v>1335</v>
      </c>
      <c r="C669" s="3" t="s">
        <v>3</v>
      </c>
      <c r="D669" s="3" t="s">
        <v>3</v>
      </c>
      <c r="E669" s="3" t="s">
        <v>4</v>
      </c>
    </row>
    <row r="670" spans="1:5" hidden="1" x14ac:dyDescent="0.25">
      <c r="A670" s="3" t="s">
        <v>1336</v>
      </c>
      <c r="B670" s="3" t="s">
        <v>1337</v>
      </c>
      <c r="C670" s="3" t="s">
        <v>3</v>
      </c>
      <c r="D670" s="3" t="s">
        <v>3</v>
      </c>
      <c r="E670" s="3" t="s">
        <v>4</v>
      </c>
    </row>
    <row r="671" spans="1:5" hidden="1" x14ac:dyDescent="0.25">
      <c r="A671" s="3" t="s">
        <v>1338</v>
      </c>
      <c r="B671" s="3" t="s">
        <v>1339</v>
      </c>
      <c r="C671" s="3" t="s">
        <v>3</v>
      </c>
      <c r="D671" s="3" t="s">
        <v>3</v>
      </c>
      <c r="E671" s="3" t="s">
        <v>4</v>
      </c>
    </row>
    <row r="672" spans="1:5" hidden="1" x14ac:dyDescent="0.25">
      <c r="A672" s="3" t="s">
        <v>1340</v>
      </c>
      <c r="B672" s="3" t="s">
        <v>1341</v>
      </c>
      <c r="C672" s="3" t="s">
        <v>3</v>
      </c>
      <c r="D672" s="3" t="s">
        <v>3</v>
      </c>
      <c r="E672" s="3" t="s">
        <v>4</v>
      </c>
    </row>
    <row r="673" spans="1:5" hidden="1" x14ac:dyDescent="0.25">
      <c r="A673" s="3" t="s">
        <v>1342</v>
      </c>
      <c r="B673" s="3" t="s">
        <v>1343</v>
      </c>
      <c r="C673" s="3" t="s">
        <v>3</v>
      </c>
      <c r="D673" s="3" t="s">
        <v>3</v>
      </c>
      <c r="E673" s="3" t="s">
        <v>4</v>
      </c>
    </row>
    <row r="674" spans="1:5" hidden="1" x14ac:dyDescent="0.25">
      <c r="A674" s="3" t="s">
        <v>1344</v>
      </c>
      <c r="B674" s="3" t="s">
        <v>1345</v>
      </c>
      <c r="C674" s="3" t="s">
        <v>3</v>
      </c>
      <c r="D674" s="3" t="s">
        <v>3</v>
      </c>
      <c r="E674" s="3" t="s">
        <v>4</v>
      </c>
    </row>
    <row r="675" spans="1:5" hidden="1" x14ac:dyDescent="0.25">
      <c r="A675" s="3" t="s">
        <v>1346</v>
      </c>
      <c r="B675" s="3" t="s">
        <v>1347</v>
      </c>
      <c r="C675" s="3" t="s">
        <v>3</v>
      </c>
      <c r="D675" s="3" t="s">
        <v>3</v>
      </c>
      <c r="E675" s="3" t="s">
        <v>4</v>
      </c>
    </row>
    <row r="676" spans="1:5" hidden="1" x14ac:dyDescent="0.25">
      <c r="A676" s="3" t="s">
        <v>1348</v>
      </c>
      <c r="B676" s="3" t="s">
        <v>1349</v>
      </c>
      <c r="C676" s="3" t="s">
        <v>3</v>
      </c>
      <c r="D676" s="3" t="s">
        <v>3</v>
      </c>
      <c r="E676" s="3" t="s">
        <v>4</v>
      </c>
    </row>
    <row r="677" spans="1:5" hidden="1" x14ac:dyDescent="0.25">
      <c r="A677" s="3" t="s">
        <v>1350</v>
      </c>
      <c r="B677" s="3" t="s">
        <v>1351</v>
      </c>
      <c r="C677" s="3" t="s">
        <v>3</v>
      </c>
      <c r="D677" s="3" t="s">
        <v>3</v>
      </c>
      <c r="E677" s="3" t="s">
        <v>4</v>
      </c>
    </row>
    <row r="678" spans="1:5" hidden="1" x14ac:dyDescent="0.25">
      <c r="A678" s="3" t="s">
        <v>1352</v>
      </c>
      <c r="B678" s="3" t="s">
        <v>1353</v>
      </c>
      <c r="C678" s="3" t="s">
        <v>3</v>
      </c>
      <c r="D678" s="3" t="s">
        <v>3</v>
      </c>
      <c r="E678" s="3" t="s">
        <v>4</v>
      </c>
    </row>
    <row r="679" spans="1:5" hidden="1" x14ac:dyDescent="0.25">
      <c r="A679" s="3" t="s">
        <v>1354</v>
      </c>
      <c r="B679" s="3" t="s">
        <v>1355</v>
      </c>
      <c r="C679" s="3" t="s">
        <v>3</v>
      </c>
      <c r="D679" s="3" t="s">
        <v>3</v>
      </c>
      <c r="E679" s="3" t="s">
        <v>4</v>
      </c>
    </row>
    <row r="680" spans="1:5" hidden="1" x14ac:dyDescent="0.25">
      <c r="A680" s="3" t="s">
        <v>1356</v>
      </c>
      <c r="B680" s="3" t="s">
        <v>1357</v>
      </c>
      <c r="C680" s="3" t="s">
        <v>3</v>
      </c>
      <c r="D680" s="3" t="s">
        <v>3</v>
      </c>
      <c r="E680" s="3" t="s">
        <v>4</v>
      </c>
    </row>
    <row r="681" spans="1:5" hidden="1" x14ac:dyDescent="0.25">
      <c r="A681" s="3" t="s">
        <v>1358</v>
      </c>
      <c r="B681" s="3" t="s">
        <v>1359</v>
      </c>
      <c r="C681" s="3" t="s">
        <v>3</v>
      </c>
      <c r="D681" s="3" t="s">
        <v>3</v>
      </c>
      <c r="E681" s="3" t="s">
        <v>4</v>
      </c>
    </row>
    <row r="682" spans="1:5" hidden="1" x14ac:dyDescent="0.25">
      <c r="A682" s="3" t="s">
        <v>1360</v>
      </c>
      <c r="B682" s="3" t="s">
        <v>1361</v>
      </c>
      <c r="C682" s="3" t="s">
        <v>3</v>
      </c>
      <c r="D682" s="3" t="s">
        <v>3</v>
      </c>
      <c r="E682" s="3" t="s">
        <v>4</v>
      </c>
    </row>
    <row r="683" spans="1:5" hidden="1" x14ac:dyDescent="0.25">
      <c r="A683" s="3" t="s">
        <v>1362</v>
      </c>
      <c r="B683" s="3" t="s">
        <v>1363</v>
      </c>
      <c r="C683" s="3" t="s">
        <v>3</v>
      </c>
      <c r="D683" s="3" t="s">
        <v>3</v>
      </c>
      <c r="E683" s="3" t="s">
        <v>4</v>
      </c>
    </row>
    <row r="684" spans="1:5" hidden="1" x14ac:dyDescent="0.25">
      <c r="A684" s="3" t="s">
        <v>1364</v>
      </c>
      <c r="B684" s="3" t="s">
        <v>1365</v>
      </c>
      <c r="C684" s="3" t="s">
        <v>3</v>
      </c>
      <c r="D684" s="3" t="s">
        <v>3</v>
      </c>
      <c r="E684" s="3" t="s">
        <v>4</v>
      </c>
    </row>
    <row r="685" spans="1:5" hidden="1" x14ac:dyDescent="0.25">
      <c r="A685" s="3" t="s">
        <v>1366</v>
      </c>
      <c r="B685" s="3" t="s">
        <v>1367</v>
      </c>
      <c r="C685" s="3" t="s">
        <v>3</v>
      </c>
      <c r="D685" s="3" t="s">
        <v>3</v>
      </c>
      <c r="E685" s="3" t="s">
        <v>4</v>
      </c>
    </row>
    <row r="686" spans="1:5" hidden="1" x14ac:dyDescent="0.25">
      <c r="A686" s="3" t="s">
        <v>1368</v>
      </c>
      <c r="B686" s="3" t="s">
        <v>1369</v>
      </c>
      <c r="C686" s="3" t="s">
        <v>3</v>
      </c>
      <c r="D686" s="3" t="s">
        <v>3</v>
      </c>
      <c r="E686" s="3" t="s">
        <v>4</v>
      </c>
    </row>
    <row r="687" spans="1:5" hidden="1" x14ac:dyDescent="0.25">
      <c r="A687" s="3" t="s">
        <v>1370</v>
      </c>
      <c r="B687" s="3" t="s">
        <v>1371</v>
      </c>
      <c r="C687" s="3" t="s">
        <v>3</v>
      </c>
      <c r="D687" s="3" t="s">
        <v>3</v>
      </c>
      <c r="E687" s="3" t="s">
        <v>4</v>
      </c>
    </row>
    <row r="688" spans="1:5" hidden="1" x14ac:dyDescent="0.25">
      <c r="A688" s="3" t="s">
        <v>1372</v>
      </c>
      <c r="B688" s="3" t="s">
        <v>1373</v>
      </c>
      <c r="C688" s="3" t="s">
        <v>3</v>
      </c>
      <c r="D688" s="3" t="s">
        <v>3</v>
      </c>
      <c r="E688" s="3" t="s">
        <v>4</v>
      </c>
    </row>
    <row r="689" spans="1:5" hidden="1" x14ac:dyDescent="0.25">
      <c r="A689" s="3" t="s">
        <v>1374</v>
      </c>
      <c r="B689" s="3" t="s">
        <v>1375</v>
      </c>
      <c r="C689" s="3" t="s">
        <v>3</v>
      </c>
      <c r="D689" s="3" t="s">
        <v>3</v>
      </c>
      <c r="E689" s="3" t="s">
        <v>4</v>
      </c>
    </row>
    <row r="690" spans="1:5" hidden="1" x14ac:dyDescent="0.25">
      <c r="A690" s="3" t="s">
        <v>1376</v>
      </c>
      <c r="B690" s="3" t="s">
        <v>1377</v>
      </c>
      <c r="C690" s="3" t="s">
        <v>3</v>
      </c>
      <c r="D690" s="3" t="s">
        <v>3</v>
      </c>
      <c r="E690" s="3" t="s">
        <v>4</v>
      </c>
    </row>
    <row r="691" spans="1:5" hidden="1" x14ac:dyDescent="0.25">
      <c r="A691" s="3" t="s">
        <v>1378</v>
      </c>
      <c r="B691" s="3" t="s">
        <v>1379</v>
      </c>
      <c r="C691" s="3" t="s">
        <v>3</v>
      </c>
      <c r="D691" s="3" t="s">
        <v>3</v>
      </c>
      <c r="E691" s="3" t="s">
        <v>4</v>
      </c>
    </row>
    <row r="692" spans="1:5" hidden="1" x14ac:dyDescent="0.25">
      <c r="A692" s="3" t="s">
        <v>1380</v>
      </c>
      <c r="B692" s="3" t="s">
        <v>1381</v>
      </c>
      <c r="C692" s="3" t="s">
        <v>3</v>
      </c>
      <c r="D692" s="3" t="s">
        <v>3</v>
      </c>
      <c r="E692" s="3" t="s">
        <v>4</v>
      </c>
    </row>
    <row r="693" spans="1:5" hidden="1" x14ac:dyDescent="0.25">
      <c r="A693" s="3" t="s">
        <v>1382</v>
      </c>
      <c r="B693" s="3" t="s">
        <v>1383</v>
      </c>
      <c r="C693" s="3" t="s">
        <v>3</v>
      </c>
      <c r="D693" s="3" t="s">
        <v>3</v>
      </c>
      <c r="E693" s="3" t="s">
        <v>4</v>
      </c>
    </row>
    <row r="694" spans="1:5" hidden="1" x14ac:dyDescent="0.25">
      <c r="A694" s="3" t="s">
        <v>1384</v>
      </c>
      <c r="B694" s="3" t="s">
        <v>1385</v>
      </c>
      <c r="C694" s="3" t="s">
        <v>3</v>
      </c>
      <c r="D694" s="3" t="s">
        <v>3</v>
      </c>
      <c r="E694" s="3" t="s">
        <v>4</v>
      </c>
    </row>
    <row r="695" spans="1:5" hidden="1" x14ac:dyDescent="0.25">
      <c r="A695" s="3" t="s">
        <v>1386</v>
      </c>
      <c r="B695" s="3" t="s">
        <v>1387</v>
      </c>
      <c r="C695" s="3" t="s">
        <v>3</v>
      </c>
      <c r="D695" s="3" t="s">
        <v>3</v>
      </c>
      <c r="E695" s="3" t="s">
        <v>4</v>
      </c>
    </row>
    <row r="696" spans="1:5" hidden="1" x14ac:dyDescent="0.25">
      <c r="A696" s="3" t="s">
        <v>1388</v>
      </c>
      <c r="B696" s="3" t="s">
        <v>1389</v>
      </c>
      <c r="C696" s="3" t="s">
        <v>3</v>
      </c>
      <c r="D696" s="3" t="s">
        <v>3</v>
      </c>
      <c r="E696" s="3" t="s">
        <v>4</v>
      </c>
    </row>
    <row r="697" spans="1:5" hidden="1" x14ac:dyDescent="0.25">
      <c r="A697" s="3" t="s">
        <v>1390</v>
      </c>
      <c r="B697" s="3" t="s">
        <v>1391</v>
      </c>
      <c r="C697" s="3" t="s">
        <v>3</v>
      </c>
      <c r="D697" s="3" t="s">
        <v>3</v>
      </c>
      <c r="E697" s="3" t="s">
        <v>4</v>
      </c>
    </row>
    <row r="698" spans="1:5" hidden="1" x14ac:dyDescent="0.25">
      <c r="A698" s="3" t="s">
        <v>1392</v>
      </c>
      <c r="B698" s="3" t="s">
        <v>1393</v>
      </c>
      <c r="C698" s="3" t="s">
        <v>3</v>
      </c>
      <c r="D698" s="3" t="s">
        <v>3</v>
      </c>
      <c r="E698" s="3" t="s">
        <v>4</v>
      </c>
    </row>
    <row r="699" spans="1:5" hidden="1" x14ac:dyDescent="0.25">
      <c r="A699" s="3" t="s">
        <v>1394</v>
      </c>
      <c r="B699" s="3" t="s">
        <v>1395</v>
      </c>
      <c r="C699" s="3" t="s">
        <v>3</v>
      </c>
      <c r="D699" s="3" t="s">
        <v>3</v>
      </c>
      <c r="E699" s="3" t="s">
        <v>4</v>
      </c>
    </row>
    <row r="700" spans="1:5" hidden="1" x14ac:dyDescent="0.25">
      <c r="A700" s="3" t="s">
        <v>1396</v>
      </c>
      <c r="B700" s="3" t="s">
        <v>1397</v>
      </c>
      <c r="C700" s="3" t="s">
        <v>3</v>
      </c>
      <c r="D700" s="3" t="s">
        <v>3</v>
      </c>
      <c r="E700" s="3" t="s">
        <v>4</v>
      </c>
    </row>
    <row r="701" spans="1:5" hidden="1" x14ac:dyDescent="0.25">
      <c r="A701" s="3" t="s">
        <v>1398</v>
      </c>
      <c r="B701" s="3" t="s">
        <v>1399</v>
      </c>
      <c r="C701" s="3" t="s">
        <v>3</v>
      </c>
      <c r="D701" s="3" t="s">
        <v>3</v>
      </c>
      <c r="E701" s="3" t="s">
        <v>4</v>
      </c>
    </row>
    <row r="702" spans="1:5" hidden="1" x14ac:dyDescent="0.25">
      <c r="A702" s="3" t="s">
        <v>1400</v>
      </c>
      <c r="B702" s="3" t="s">
        <v>1401</v>
      </c>
      <c r="C702" s="3" t="s">
        <v>3</v>
      </c>
      <c r="D702" s="3" t="s">
        <v>3</v>
      </c>
      <c r="E702" s="3" t="s">
        <v>4</v>
      </c>
    </row>
    <row r="703" spans="1:5" hidden="1" x14ac:dyDescent="0.25">
      <c r="A703" s="3" t="s">
        <v>1402</v>
      </c>
      <c r="B703" s="3" t="s">
        <v>1403</v>
      </c>
      <c r="C703" s="3" t="s">
        <v>3</v>
      </c>
      <c r="D703" s="3" t="s">
        <v>3</v>
      </c>
      <c r="E703" s="3" t="s">
        <v>4</v>
      </c>
    </row>
    <row r="704" spans="1:5" hidden="1" x14ac:dyDescent="0.25">
      <c r="A704" s="3" t="s">
        <v>1404</v>
      </c>
      <c r="B704" s="3" t="s">
        <v>1405</v>
      </c>
      <c r="C704" s="3" t="s">
        <v>3</v>
      </c>
      <c r="D704" s="3" t="s">
        <v>3</v>
      </c>
      <c r="E704" s="3" t="s">
        <v>4</v>
      </c>
    </row>
    <row r="705" spans="1:5" hidden="1" x14ac:dyDescent="0.25">
      <c r="A705" s="3" t="s">
        <v>1406</v>
      </c>
      <c r="B705" s="3" t="s">
        <v>1407</v>
      </c>
      <c r="C705" s="3" t="s">
        <v>3</v>
      </c>
      <c r="D705" s="3" t="s">
        <v>3</v>
      </c>
      <c r="E705" s="3" t="s">
        <v>4</v>
      </c>
    </row>
    <row r="706" spans="1:5" hidden="1" x14ac:dyDescent="0.25">
      <c r="A706" s="3" t="s">
        <v>1408</v>
      </c>
      <c r="B706" s="3" t="s">
        <v>1409</v>
      </c>
      <c r="C706" s="3" t="s">
        <v>3</v>
      </c>
      <c r="D706" s="3" t="s">
        <v>3</v>
      </c>
      <c r="E706" s="3" t="s">
        <v>4</v>
      </c>
    </row>
    <row r="707" spans="1:5" hidden="1" x14ac:dyDescent="0.25">
      <c r="A707" s="3" t="s">
        <v>1410</v>
      </c>
      <c r="B707" s="3" t="s">
        <v>1411</v>
      </c>
      <c r="C707" s="3" t="s">
        <v>3</v>
      </c>
      <c r="D707" s="3" t="s">
        <v>3</v>
      </c>
      <c r="E707" s="3" t="s">
        <v>4</v>
      </c>
    </row>
    <row r="708" spans="1:5" hidden="1" x14ac:dyDescent="0.25">
      <c r="A708" s="3" t="s">
        <v>1412</v>
      </c>
      <c r="B708" s="3" t="s">
        <v>1413</v>
      </c>
      <c r="C708" s="3" t="s">
        <v>3</v>
      </c>
      <c r="D708" s="3" t="s">
        <v>3</v>
      </c>
      <c r="E708" s="3" t="s">
        <v>4</v>
      </c>
    </row>
    <row r="709" spans="1:5" hidden="1" x14ac:dyDescent="0.25">
      <c r="A709" s="3" t="s">
        <v>1414</v>
      </c>
      <c r="B709" s="3" t="s">
        <v>1415</v>
      </c>
      <c r="C709" s="3" t="s">
        <v>3</v>
      </c>
      <c r="D709" s="3" t="s">
        <v>3</v>
      </c>
      <c r="E709" s="3" t="s">
        <v>4</v>
      </c>
    </row>
    <row r="710" spans="1:5" hidden="1" x14ac:dyDescent="0.25">
      <c r="A710" s="3" t="s">
        <v>1416</v>
      </c>
      <c r="B710" s="3" t="s">
        <v>1417</v>
      </c>
      <c r="C710" s="3" t="s">
        <v>3</v>
      </c>
      <c r="D710" s="3" t="s">
        <v>3</v>
      </c>
      <c r="E710" s="3" t="s">
        <v>4</v>
      </c>
    </row>
    <row r="711" spans="1:5" hidden="1" x14ac:dyDescent="0.25">
      <c r="A711" s="3" t="s">
        <v>1418</v>
      </c>
      <c r="B711" s="3" t="s">
        <v>1419</v>
      </c>
      <c r="C711" s="3" t="s">
        <v>3</v>
      </c>
      <c r="D711" s="3" t="s">
        <v>3</v>
      </c>
      <c r="E711" s="3" t="s">
        <v>4</v>
      </c>
    </row>
    <row r="712" spans="1:5" hidden="1" x14ac:dyDescent="0.25">
      <c r="A712" s="3" t="s">
        <v>1420</v>
      </c>
      <c r="B712" s="3" t="s">
        <v>1421</v>
      </c>
      <c r="C712" s="3" t="s">
        <v>3</v>
      </c>
      <c r="D712" s="3" t="s">
        <v>3</v>
      </c>
      <c r="E712" s="3" t="s">
        <v>4</v>
      </c>
    </row>
    <row r="713" spans="1:5" hidden="1" x14ac:dyDescent="0.25">
      <c r="A713" s="3" t="s">
        <v>1422</v>
      </c>
      <c r="B713" s="3" t="s">
        <v>1423</v>
      </c>
      <c r="C713" s="3" t="s">
        <v>3</v>
      </c>
      <c r="D713" s="3" t="s">
        <v>3</v>
      </c>
      <c r="E713" s="3" t="s">
        <v>4</v>
      </c>
    </row>
    <row r="714" spans="1:5" hidden="1" x14ac:dyDescent="0.25">
      <c r="A714" s="3" t="s">
        <v>1424</v>
      </c>
      <c r="B714" s="3" t="s">
        <v>1425</v>
      </c>
      <c r="C714" s="3" t="s">
        <v>3</v>
      </c>
      <c r="D714" s="3" t="s">
        <v>3</v>
      </c>
      <c r="E714" s="3" t="s">
        <v>4</v>
      </c>
    </row>
    <row r="715" spans="1:5" hidden="1" x14ac:dyDescent="0.25">
      <c r="A715" s="3" t="s">
        <v>1426</v>
      </c>
      <c r="B715" s="3" t="s">
        <v>1427</v>
      </c>
      <c r="C715" s="3" t="s">
        <v>3</v>
      </c>
      <c r="D715" s="3" t="s">
        <v>3</v>
      </c>
      <c r="E715" s="3" t="s">
        <v>4</v>
      </c>
    </row>
    <row r="716" spans="1:5" hidden="1" x14ac:dyDescent="0.25">
      <c r="A716" s="3" t="s">
        <v>1428</v>
      </c>
      <c r="B716" s="3" t="s">
        <v>1429</v>
      </c>
      <c r="C716" s="3" t="s">
        <v>3</v>
      </c>
      <c r="D716" s="3" t="s">
        <v>3</v>
      </c>
      <c r="E716" s="3" t="s">
        <v>4</v>
      </c>
    </row>
    <row r="717" spans="1:5" hidden="1" x14ac:dyDescent="0.25">
      <c r="A717" s="3" t="s">
        <v>1430</v>
      </c>
      <c r="B717" s="3" t="s">
        <v>1431</v>
      </c>
      <c r="C717" s="3" t="s">
        <v>3</v>
      </c>
      <c r="D717" s="3" t="s">
        <v>3</v>
      </c>
      <c r="E717" s="3" t="s">
        <v>4</v>
      </c>
    </row>
    <row r="718" spans="1:5" hidden="1" x14ac:dyDescent="0.25">
      <c r="A718" s="3" t="s">
        <v>1432</v>
      </c>
      <c r="B718" s="3" t="s">
        <v>1433</v>
      </c>
      <c r="C718" s="3" t="s">
        <v>3</v>
      </c>
      <c r="D718" s="3" t="s">
        <v>3</v>
      </c>
      <c r="E718" s="3" t="s">
        <v>4</v>
      </c>
    </row>
    <row r="719" spans="1:5" hidden="1" x14ac:dyDescent="0.25">
      <c r="A719" s="3" t="s">
        <v>1434</v>
      </c>
      <c r="B719" s="3" t="s">
        <v>1435</v>
      </c>
      <c r="C719" s="3" t="s">
        <v>3</v>
      </c>
      <c r="D719" s="3" t="s">
        <v>3</v>
      </c>
      <c r="E719" s="3" t="s">
        <v>4</v>
      </c>
    </row>
    <row r="720" spans="1:5" hidden="1" x14ac:dyDescent="0.25">
      <c r="A720" s="3" t="s">
        <v>1436</v>
      </c>
      <c r="B720" s="3" t="s">
        <v>1437</v>
      </c>
      <c r="C720" s="3" t="s">
        <v>3</v>
      </c>
      <c r="D720" s="3" t="s">
        <v>3</v>
      </c>
      <c r="E720" s="3" t="s">
        <v>4</v>
      </c>
    </row>
    <row r="721" spans="1:5" hidden="1" x14ac:dyDescent="0.25">
      <c r="A721" s="3" t="s">
        <v>1438</v>
      </c>
      <c r="B721" s="3" t="s">
        <v>1439</v>
      </c>
      <c r="C721" s="3" t="s">
        <v>3</v>
      </c>
      <c r="D721" s="3" t="s">
        <v>3</v>
      </c>
      <c r="E721" s="3" t="s">
        <v>4</v>
      </c>
    </row>
    <row r="722" spans="1:5" hidden="1" x14ac:dyDescent="0.25">
      <c r="A722" s="3" t="s">
        <v>1440</v>
      </c>
      <c r="B722" s="3" t="s">
        <v>1441</v>
      </c>
      <c r="C722" s="3" t="s">
        <v>3</v>
      </c>
      <c r="D722" s="3" t="s">
        <v>3</v>
      </c>
      <c r="E722" s="3" t="s">
        <v>4</v>
      </c>
    </row>
    <row r="723" spans="1:5" hidden="1" x14ac:dyDescent="0.25">
      <c r="A723" s="3" t="s">
        <v>1442</v>
      </c>
      <c r="B723" s="3" t="s">
        <v>1443</v>
      </c>
      <c r="C723" s="3" t="s">
        <v>3</v>
      </c>
      <c r="D723" s="3" t="s">
        <v>3</v>
      </c>
      <c r="E723" s="3" t="s">
        <v>4</v>
      </c>
    </row>
    <row r="724" spans="1:5" hidden="1" x14ac:dyDescent="0.25">
      <c r="A724" s="3" t="s">
        <v>1444</v>
      </c>
      <c r="B724" s="3" t="s">
        <v>1445</v>
      </c>
      <c r="C724" s="3" t="s">
        <v>3</v>
      </c>
      <c r="D724" s="3" t="s">
        <v>3</v>
      </c>
      <c r="E724" s="3" t="s">
        <v>4</v>
      </c>
    </row>
    <row r="725" spans="1:5" hidden="1" x14ac:dyDescent="0.25">
      <c r="A725" s="3" t="s">
        <v>1446</v>
      </c>
      <c r="B725" s="3" t="s">
        <v>1447</v>
      </c>
      <c r="C725" s="3" t="s">
        <v>3</v>
      </c>
      <c r="D725" s="3" t="s">
        <v>3</v>
      </c>
      <c r="E725" s="3" t="s">
        <v>4</v>
      </c>
    </row>
    <row r="726" spans="1:5" hidden="1" x14ac:dyDescent="0.25">
      <c r="A726" s="3" t="s">
        <v>1448</v>
      </c>
      <c r="B726" s="3" t="s">
        <v>1449</v>
      </c>
      <c r="C726" s="3" t="s">
        <v>3</v>
      </c>
      <c r="D726" s="3" t="s">
        <v>3</v>
      </c>
      <c r="E726" s="3" t="s">
        <v>4</v>
      </c>
    </row>
    <row r="727" spans="1:5" hidden="1" x14ac:dyDescent="0.25">
      <c r="A727" s="3" t="s">
        <v>1450</v>
      </c>
      <c r="B727" s="3" t="s">
        <v>1451</v>
      </c>
      <c r="C727" s="3" t="s">
        <v>3</v>
      </c>
      <c r="D727" s="3" t="s">
        <v>3</v>
      </c>
      <c r="E727" s="3" t="s">
        <v>4</v>
      </c>
    </row>
    <row r="728" spans="1:5" hidden="1" x14ac:dyDescent="0.25">
      <c r="A728" s="3" t="s">
        <v>1452</v>
      </c>
      <c r="B728" s="3" t="s">
        <v>1453</v>
      </c>
      <c r="C728" s="3" t="s">
        <v>3</v>
      </c>
      <c r="D728" s="3" t="s">
        <v>3</v>
      </c>
      <c r="E728" s="3" t="s">
        <v>4</v>
      </c>
    </row>
    <row r="729" spans="1:5" hidden="1" x14ac:dyDescent="0.25">
      <c r="A729" s="3" t="s">
        <v>1454</v>
      </c>
      <c r="B729" s="3" t="s">
        <v>1455</v>
      </c>
      <c r="C729" s="3" t="s">
        <v>3</v>
      </c>
      <c r="D729" s="3" t="s">
        <v>3</v>
      </c>
      <c r="E729" s="3" t="s">
        <v>4</v>
      </c>
    </row>
    <row r="730" spans="1:5" hidden="1" x14ac:dyDescent="0.25">
      <c r="A730" s="3" t="s">
        <v>1456</v>
      </c>
      <c r="B730" s="3" t="s">
        <v>1457</v>
      </c>
      <c r="C730" s="3" t="s">
        <v>3</v>
      </c>
      <c r="D730" s="3" t="s">
        <v>3</v>
      </c>
      <c r="E730" s="3" t="s">
        <v>4</v>
      </c>
    </row>
    <row r="731" spans="1:5" hidden="1" x14ac:dyDescent="0.25">
      <c r="A731" s="3" t="s">
        <v>1458</v>
      </c>
      <c r="B731" s="3" t="s">
        <v>1459</v>
      </c>
      <c r="C731" s="3" t="s">
        <v>3</v>
      </c>
      <c r="D731" s="3" t="s">
        <v>3</v>
      </c>
      <c r="E731" s="3" t="s">
        <v>4</v>
      </c>
    </row>
    <row r="732" spans="1:5" hidden="1" x14ac:dyDescent="0.25">
      <c r="A732" s="3" t="s">
        <v>1460</v>
      </c>
      <c r="B732" s="3" t="s">
        <v>1461</v>
      </c>
      <c r="C732" s="3" t="s">
        <v>3</v>
      </c>
      <c r="D732" s="3" t="s">
        <v>3</v>
      </c>
      <c r="E732" s="3" t="s">
        <v>4</v>
      </c>
    </row>
    <row r="733" spans="1:5" hidden="1" x14ac:dyDescent="0.25">
      <c r="A733" s="3" t="s">
        <v>1462</v>
      </c>
      <c r="B733" s="3" t="s">
        <v>1463</v>
      </c>
      <c r="C733" s="3" t="s">
        <v>3</v>
      </c>
      <c r="D733" s="3" t="s">
        <v>3</v>
      </c>
      <c r="E733" s="3" t="s">
        <v>4</v>
      </c>
    </row>
    <row r="734" spans="1:5" hidden="1" x14ac:dyDescent="0.25">
      <c r="A734" s="3" t="s">
        <v>1464</v>
      </c>
      <c r="B734" s="3" t="s">
        <v>1465</v>
      </c>
      <c r="C734" s="3" t="s">
        <v>3</v>
      </c>
      <c r="D734" s="3" t="s">
        <v>3</v>
      </c>
      <c r="E734" s="3" t="s">
        <v>4</v>
      </c>
    </row>
    <row r="735" spans="1:5" hidden="1" x14ac:dyDescent="0.25">
      <c r="A735" s="3" t="s">
        <v>1466</v>
      </c>
      <c r="B735" s="3" t="s">
        <v>1467</v>
      </c>
      <c r="C735" s="3" t="s">
        <v>3</v>
      </c>
      <c r="D735" s="3" t="s">
        <v>3</v>
      </c>
      <c r="E735" s="3" t="s">
        <v>4</v>
      </c>
    </row>
    <row r="736" spans="1:5" hidden="1" x14ac:dyDescent="0.25">
      <c r="A736" s="3" t="s">
        <v>1468</v>
      </c>
      <c r="B736" s="3" t="s">
        <v>1469</v>
      </c>
      <c r="C736" s="3" t="s">
        <v>3</v>
      </c>
      <c r="D736" s="3" t="s">
        <v>3</v>
      </c>
      <c r="E736" s="3" t="s">
        <v>4</v>
      </c>
    </row>
    <row r="737" spans="1:5" hidden="1" x14ac:dyDescent="0.25">
      <c r="A737" s="3" t="s">
        <v>1470</v>
      </c>
      <c r="B737" s="3" t="s">
        <v>1471</v>
      </c>
      <c r="C737" s="3" t="s">
        <v>3</v>
      </c>
      <c r="D737" s="3" t="s">
        <v>3</v>
      </c>
      <c r="E737" s="3" t="s">
        <v>4</v>
      </c>
    </row>
    <row r="738" spans="1:5" hidden="1" x14ac:dyDescent="0.25">
      <c r="A738" s="3" t="s">
        <v>1472</v>
      </c>
      <c r="B738" s="3" t="s">
        <v>1473</v>
      </c>
      <c r="C738" s="3" t="s">
        <v>3</v>
      </c>
      <c r="D738" s="3" t="s">
        <v>3</v>
      </c>
      <c r="E738" s="3" t="s">
        <v>4</v>
      </c>
    </row>
    <row r="739" spans="1:5" hidden="1" x14ac:dyDescent="0.25">
      <c r="A739" s="3" t="s">
        <v>1474</v>
      </c>
      <c r="B739" s="3" t="s">
        <v>1475</v>
      </c>
      <c r="C739" s="3" t="s">
        <v>3</v>
      </c>
      <c r="D739" s="3" t="s">
        <v>3</v>
      </c>
      <c r="E739" s="3" t="s">
        <v>4</v>
      </c>
    </row>
    <row r="740" spans="1:5" hidden="1" x14ac:dyDescent="0.25">
      <c r="A740" s="3" t="s">
        <v>1476</v>
      </c>
      <c r="B740" s="3" t="s">
        <v>1477</v>
      </c>
      <c r="C740" s="3" t="s">
        <v>3</v>
      </c>
      <c r="D740" s="3" t="s">
        <v>3</v>
      </c>
      <c r="E740" s="3" t="s">
        <v>4</v>
      </c>
    </row>
    <row r="741" spans="1:5" hidden="1" x14ac:dyDescent="0.25">
      <c r="A741" s="3" t="s">
        <v>1478</v>
      </c>
      <c r="B741" s="3" t="s">
        <v>1479</v>
      </c>
      <c r="C741" s="3" t="s">
        <v>3</v>
      </c>
      <c r="D741" s="3" t="s">
        <v>3</v>
      </c>
      <c r="E741" s="3" t="s">
        <v>4</v>
      </c>
    </row>
    <row r="742" spans="1:5" hidden="1" x14ac:dyDescent="0.25">
      <c r="A742" s="3" t="s">
        <v>1480</v>
      </c>
      <c r="B742" s="3" t="s">
        <v>1481</v>
      </c>
      <c r="C742" s="3" t="s">
        <v>3</v>
      </c>
      <c r="D742" s="3" t="s">
        <v>3</v>
      </c>
      <c r="E742" s="3" t="s">
        <v>4</v>
      </c>
    </row>
    <row r="743" spans="1:5" hidden="1" x14ac:dyDescent="0.25">
      <c r="A743" s="3" t="s">
        <v>1482</v>
      </c>
      <c r="B743" s="3" t="s">
        <v>1483</v>
      </c>
      <c r="C743" s="3" t="s">
        <v>3</v>
      </c>
      <c r="D743" s="3" t="s">
        <v>3</v>
      </c>
      <c r="E743" s="3" t="s">
        <v>4</v>
      </c>
    </row>
    <row r="744" spans="1:5" hidden="1" x14ac:dyDescent="0.25">
      <c r="A744" s="3" t="s">
        <v>1484</v>
      </c>
      <c r="B744" s="3" t="s">
        <v>1485</v>
      </c>
      <c r="C744" s="3" t="s">
        <v>3</v>
      </c>
      <c r="D744" s="3" t="s">
        <v>3</v>
      </c>
      <c r="E744" s="3" t="s">
        <v>4</v>
      </c>
    </row>
    <row r="745" spans="1:5" hidden="1" x14ac:dyDescent="0.25">
      <c r="A745" s="3" t="s">
        <v>1486</v>
      </c>
      <c r="B745" s="3" t="s">
        <v>1487</v>
      </c>
      <c r="C745" s="3" t="s">
        <v>3</v>
      </c>
      <c r="D745" s="3" t="s">
        <v>3</v>
      </c>
      <c r="E745" s="3" t="s">
        <v>4</v>
      </c>
    </row>
    <row r="746" spans="1:5" hidden="1" x14ac:dyDescent="0.25">
      <c r="A746" s="3" t="s">
        <v>1488</v>
      </c>
      <c r="B746" s="3" t="s">
        <v>1489</v>
      </c>
      <c r="C746" s="3" t="s">
        <v>3</v>
      </c>
      <c r="D746" s="3" t="s">
        <v>3</v>
      </c>
      <c r="E746" s="3" t="s">
        <v>4</v>
      </c>
    </row>
    <row r="747" spans="1:5" hidden="1" x14ac:dyDescent="0.25">
      <c r="A747" s="3" t="s">
        <v>1490</v>
      </c>
      <c r="B747" s="3" t="s">
        <v>1491</v>
      </c>
      <c r="C747" s="3" t="s">
        <v>3</v>
      </c>
      <c r="D747" s="3" t="s">
        <v>3</v>
      </c>
      <c r="E747" s="3" t="s">
        <v>4</v>
      </c>
    </row>
    <row r="748" spans="1:5" hidden="1" x14ac:dyDescent="0.25">
      <c r="A748" s="3" t="s">
        <v>1492</v>
      </c>
      <c r="B748" s="3" t="s">
        <v>1493</v>
      </c>
      <c r="C748" s="3" t="s">
        <v>3</v>
      </c>
      <c r="D748" s="3" t="s">
        <v>3</v>
      </c>
      <c r="E748" s="3" t="s">
        <v>4</v>
      </c>
    </row>
    <row r="749" spans="1:5" hidden="1" x14ac:dyDescent="0.25">
      <c r="A749" s="3" t="s">
        <v>1494</v>
      </c>
      <c r="B749" s="3" t="s">
        <v>1495</v>
      </c>
      <c r="C749" s="3" t="s">
        <v>3</v>
      </c>
      <c r="D749" s="3" t="s">
        <v>3</v>
      </c>
      <c r="E749" s="3" t="s">
        <v>4</v>
      </c>
    </row>
    <row r="750" spans="1:5" hidden="1" x14ac:dyDescent="0.25">
      <c r="A750" s="3" t="s">
        <v>1496</v>
      </c>
      <c r="B750" s="3" t="s">
        <v>1497</v>
      </c>
      <c r="C750" s="3" t="s">
        <v>3</v>
      </c>
      <c r="D750" s="3" t="s">
        <v>3</v>
      </c>
      <c r="E750" s="3" t="s">
        <v>4</v>
      </c>
    </row>
    <row r="751" spans="1:5" hidden="1" x14ac:dyDescent="0.25">
      <c r="A751" s="3" t="s">
        <v>1498</v>
      </c>
      <c r="B751" s="3" t="s">
        <v>1499</v>
      </c>
      <c r="C751" s="3" t="s">
        <v>3</v>
      </c>
      <c r="D751" s="3" t="s">
        <v>3</v>
      </c>
      <c r="E751" s="3" t="s">
        <v>4</v>
      </c>
    </row>
    <row r="752" spans="1:5" hidden="1" x14ac:dyDescent="0.25">
      <c r="A752" s="3" t="s">
        <v>1500</v>
      </c>
      <c r="B752" s="3" t="s">
        <v>1501</v>
      </c>
      <c r="C752" s="3" t="s">
        <v>3</v>
      </c>
      <c r="D752" s="3" t="s">
        <v>3</v>
      </c>
      <c r="E752" s="3" t="s">
        <v>4</v>
      </c>
    </row>
    <row r="753" spans="1:5" hidden="1" x14ac:dyDescent="0.25">
      <c r="A753" s="3" t="s">
        <v>1502</v>
      </c>
      <c r="B753" s="3" t="s">
        <v>1503</v>
      </c>
      <c r="C753" s="3" t="s">
        <v>3</v>
      </c>
      <c r="D753" s="3" t="s">
        <v>3</v>
      </c>
      <c r="E753" s="3" t="s">
        <v>4</v>
      </c>
    </row>
    <row r="754" spans="1:5" hidden="1" x14ac:dyDescent="0.25">
      <c r="A754" s="3" t="s">
        <v>1504</v>
      </c>
      <c r="B754" s="3" t="s">
        <v>1505</v>
      </c>
      <c r="C754" s="3" t="s">
        <v>3</v>
      </c>
      <c r="D754" s="3" t="s">
        <v>3</v>
      </c>
      <c r="E754" s="3" t="s">
        <v>4</v>
      </c>
    </row>
    <row r="755" spans="1:5" hidden="1" x14ac:dyDescent="0.25">
      <c r="A755" s="3" t="s">
        <v>1506</v>
      </c>
      <c r="B755" s="3" t="s">
        <v>1507</v>
      </c>
      <c r="C755" s="3" t="s">
        <v>3</v>
      </c>
      <c r="D755" s="3" t="s">
        <v>3</v>
      </c>
      <c r="E755" s="3" t="s">
        <v>4</v>
      </c>
    </row>
    <row r="756" spans="1:5" hidden="1" x14ac:dyDescent="0.25">
      <c r="A756" s="3" t="s">
        <v>1508</v>
      </c>
      <c r="B756" s="3" t="s">
        <v>1509</v>
      </c>
      <c r="C756" s="3" t="s">
        <v>3</v>
      </c>
      <c r="D756" s="3" t="s">
        <v>3</v>
      </c>
      <c r="E756" s="3" t="s">
        <v>4</v>
      </c>
    </row>
    <row r="757" spans="1:5" hidden="1" x14ac:dyDescent="0.25">
      <c r="A757" s="3" t="s">
        <v>1510</v>
      </c>
      <c r="B757" s="3" t="s">
        <v>1511</v>
      </c>
      <c r="C757" s="3" t="s">
        <v>3</v>
      </c>
      <c r="D757" s="3" t="s">
        <v>3</v>
      </c>
      <c r="E757" s="3" t="s">
        <v>4</v>
      </c>
    </row>
    <row r="758" spans="1:5" hidden="1" x14ac:dyDescent="0.25">
      <c r="A758" s="3" t="s">
        <v>1512</v>
      </c>
      <c r="B758" s="3" t="s">
        <v>1513</v>
      </c>
      <c r="C758" s="3" t="s">
        <v>3</v>
      </c>
      <c r="D758" s="3" t="s">
        <v>3</v>
      </c>
      <c r="E758" s="3" t="s">
        <v>4</v>
      </c>
    </row>
    <row r="759" spans="1:5" hidden="1" x14ac:dyDescent="0.25">
      <c r="A759" s="3" t="s">
        <v>1514</v>
      </c>
      <c r="B759" s="3" t="s">
        <v>1515</v>
      </c>
      <c r="C759" s="3" t="s">
        <v>3</v>
      </c>
      <c r="D759" s="3" t="s">
        <v>3</v>
      </c>
      <c r="E759" s="3" t="s">
        <v>4</v>
      </c>
    </row>
    <row r="760" spans="1:5" hidden="1" x14ac:dyDescent="0.25">
      <c r="A760" s="3" t="s">
        <v>1516</v>
      </c>
      <c r="B760" s="3" t="s">
        <v>1517</v>
      </c>
      <c r="C760" s="3" t="s">
        <v>3</v>
      </c>
      <c r="D760" s="3" t="s">
        <v>3</v>
      </c>
      <c r="E760" s="3" t="s">
        <v>4</v>
      </c>
    </row>
    <row r="761" spans="1:5" hidden="1" x14ac:dyDescent="0.25">
      <c r="A761" s="3" t="s">
        <v>1518</v>
      </c>
      <c r="B761" s="3" t="s">
        <v>1519</v>
      </c>
      <c r="C761" s="3" t="s">
        <v>3</v>
      </c>
      <c r="D761" s="3" t="s">
        <v>3</v>
      </c>
      <c r="E761" s="3" t="s">
        <v>4</v>
      </c>
    </row>
    <row r="762" spans="1:5" hidden="1" x14ac:dyDescent="0.25">
      <c r="A762" s="3" t="s">
        <v>1520</v>
      </c>
      <c r="B762" s="3" t="s">
        <v>1521</v>
      </c>
      <c r="C762" s="3" t="s">
        <v>3</v>
      </c>
      <c r="D762" s="3" t="s">
        <v>3</v>
      </c>
      <c r="E762" s="3" t="s">
        <v>4</v>
      </c>
    </row>
    <row r="763" spans="1:5" hidden="1" x14ac:dyDescent="0.25">
      <c r="A763" s="3" t="s">
        <v>1522</v>
      </c>
      <c r="B763" s="3" t="s">
        <v>1523</v>
      </c>
      <c r="C763" s="3" t="s">
        <v>3</v>
      </c>
      <c r="D763" s="3" t="s">
        <v>3</v>
      </c>
      <c r="E763" s="3" t="s">
        <v>4</v>
      </c>
    </row>
    <row r="764" spans="1:5" hidden="1" x14ac:dyDescent="0.25">
      <c r="A764" s="3" t="s">
        <v>1524</v>
      </c>
      <c r="B764" s="3" t="s">
        <v>1525</v>
      </c>
      <c r="C764" s="3" t="s">
        <v>3</v>
      </c>
      <c r="D764" s="3" t="s">
        <v>3</v>
      </c>
      <c r="E764" s="3" t="s">
        <v>4</v>
      </c>
    </row>
    <row r="765" spans="1:5" hidden="1" x14ac:dyDescent="0.25">
      <c r="A765" s="3" t="s">
        <v>1526</v>
      </c>
      <c r="B765" s="3" t="s">
        <v>1527</v>
      </c>
      <c r="C765" s="3" t="s">
        <v>3</v>
      </c>
      <c r="D765" s="3" t="s">
        <v>3</v>
      </c>
      <c r="E765" s="3" t="s">
        <v>4</v>
      </c>
    </row>
    <row r="766" spans="1:5" hidden="1" x14ac:dyDescent="0.25">
      <c r="A766" s="3" t="s">
        <v>1528</v>
      </c>
      <c r="B766" s="3" t="s">
        <v>1529</v>
      </c>
      <c r="C766" s="3" t="s">
        <v>3</v>
      </c>
      <c r="D766" s="3" t="s">
        <v>3</v>
      </c>
      <c r="E766" s="3" t="s">
        <v>4</v>
      </c>
    </row>
    <row r="767" spans="1:5" hidden="1" x14ac:dyDescent="0.25">
      <c r="A767" s="3" t="s">
        <v>1530</v>
      </c>
      <c r="B767" s="3" t="s">
        <v>1531</v>
      </c>
      <c r="C767" s="3" t="s">
        <v>3</v>
      </c>
      <c r="D767" s="3" t="s">
        <v>3</v>
      </c>
      <c r="E767" s="3" t="s">
        <v>4</v>
      </c>
    </row>
    <row r="768" spans="1:5" hidden="1" x14ac:dyDescent="0.25">
      <c r="A768" s="3" t="s">
        <v>1532</v>
      </c>
      <c r="B768" s="3" t="s">
        <v>1533</v>
      </c>
      <c r="C768" s="3" t="s">
        <v>3</v>
      </c>
      <c r="D768" s="3" t="s">
        <v>3</v>
      </c>
      <c r="E768" s="3" t="s">
        <v>4</v>
      </c>
    </row>
    <row r="769" spans="1:5" hidden="1" x14ac:dyDescent="0.25">
      <c r="A769" s="3" t="s">
        <v>1534</v>
      </c>
      <c r="B769" s="3" t="s">
        <v>1535</v>
      </c>
      <c r="C769" s="3" t="s">
        <v>3</v>
      </c>
      <c r="D769" s="3" t="s">
        <v>3</v>
      </c>
      <c r="E769" s="3" t="s">
        <v>4</v>
      </c>
    </row>
    <row r="770" spans="1:5" hidden="1" x14ac:dyDescent="0.25">
      <c r="A770" s="3" t="s">
        <v>1536</v>
      </c>
      <c r="B770" s="3" t="s">
        <v>1537</v>
      </c>
      <c r="C770" s="3" t="s">
        <v>3</v>
      </c>
      <c r="D770" s="3" t="s">
        <v>3</v>
      </c>
      <c r="E770" s="3" t="s">
        <v>4</v>
      </c>
    </row>
    <row r="771" spans="1:5" hidden="1" x14ac:dyDescent="0.25">
      <c r="A771" s="3" t="s">
        <v>1538</v>
      </c>
      <c r="B771" s="3" t="s">
        <v>1539</v>
      </c>
      <c r="C771" s="3" t="s">
        <v>3</v>
      </c>
      <c r="D771" s="3" t="s">
        <v>3</v>
      </c>
      <c r="E771" s="3" t="s">
        <v>4</v>
      </c>
    </row>
    <row r="772" spans="1:5" hidden="1" x14ac:dyDescent="0.25">
      <c r="A772" s="3" t="s">
        <v>1540</v>
      </c>
      <c r="B772" s="3" t="s">
        <v>1541</v>
      </c>
      <c r="C772" s="3" t="s">
        <v>3</v>
      </c>
      <c r="D772" s="3" t="s">
        <v>3</v>
      </c>
      <c r="E772" s="3" t="s">
        <v>4</v>
      </c>
    </row>
    <row r="773" spans="1:5" hidden="1" x14ac:dyDescent="0.25">
      <c r="A773" s="3" t="s">
        <v>1542</v>
      </c>
      <c r="B773" s="3" t="s">
        <v>1543</v>
      </c>
      <c r="C773" s="3" t="s">
        <v>3</v>
      </c>
      <c r="D773" s="3" t="s">
        <v>3</v>
      </c>
      <c r="E773" s="3" t="s">
        <v>4</v>
      </c>
    </row>
    <row r="774" spans="1:5" hidden="1" x14ac:dyDescent="0.25">
      <c r="A774" s="3" t="s">
        <v>1544</v>
      </c>
      <c r="B774" s="3" t="s">
        <v>1545</v>
      </c>
      <c r="C774" s="3" t="s">
        <v>3</v>
      </c>
      <c r="D774" s="3" t="s">
        <v>3</v>
      </c>
      <c r="E774" s="3" t="s">
        <v>4</v>
      </c>
    </row>
    <row r="775" spans="1:5" hidden="1" x14ac:dyDescent="0.25">
      <c r="A775" s="3" t="s">
        <v>1546</v>
      </c>
      <c r="B775" s="3" t="s">
        <v>1547</v>
      </c>
      <c r="C775" s="3" t="s">
        <v>3</v>
      </c>
      <c r="D775" s="3" t="s">
        <v>3</v>
      </c>
      <c r="E775" s="3" t="s">
        <v>4</v>
      </c>
    </row>
    <row r="776" spans="1:5" hidden="1" x14ac:dyDescent="0.25">
      <c r="A776" s="3" t="s">
        <v>1548</v>
      </c>
      <c r="B776" s="3" t="s">
        <v>1549</v>
      </c>
      <c r="C776" s="3" t="s">
        <v>3</v>
      </c>
      <c r="D776" s="3" t="s">
        <v>3</v>
      </c>
      <c r="E776" s="3" t="s">
        <v>4</v>
      </c>
    </row>
    <row r="777" spans="1:5" hidden="1" x14ac:dyDescent="0.25">
      <c r="A777" s="3" t="s">
        <v>1550</v>
      </c>
      <c r="B777" s="3" t="s">
        <v>1551</v>
      </c>
      <c r="C777" s="3" t="s">
        <v>3</v>
      </c>
      <c r="D777" s="3" t="s">
        <v>3</v>
      </c>
      <c r="E777" s="3" t="s">
        <v>4</v>
      </c>
    </row>
    <row r="778" spans="1:5" hidden="1" x14ac:dyDescent="0.25">
      <c r="A778" s="3" t="s">
        <v>1552</v>
      </c>
      <c r="B778" s="3" t="s">
        <v>1553</v>
      </c>
      <c r="C778" s="3" t="s">
        <v>3</v>
      </c>
      <c r="D778" s="3" t="s">
        <v>3</v>
      </c>
      <c r="E778" s="3" t="s">
        <v>4</v>
      </c>
    </row>
    <row r="779" spans="1:5" hidden="1" x14ac:dyDescent="0.25">
      <c r="A779" s="3" t="s">
        <v>1554</v>
      </c>
      <c r="B779" s="3" t="s">
        <v>1555</v>
      </c>
      <c r="C779" s="3" t="s">
        <v>3</v>
      </c>
      <c r="D779" s="3" t="s">
        <v>3</v>
      </c>
      <c r="E779" s="3" t="s">
        <v>4</v>
      </c>
    </row>
    <row r="780" spans="1:5" hidden="1" x14ac:dyDescent="0.25">
      <c r="A780" s="3" t="s">
        <v>1556</v>
      </c>
      <c r="B780" s="3" t="s">
        <v>1557</v>
      </c>
      <c r="C780" s="3" t="s">
        <v>3</v>
      </c>
      <c r="D780" s="3" t="s">
        <v>3</v>
      </c>
      <c r="E780" s="3" t="s">
        <v>4</v>
      </c>
    </row>
    <row r="781" spans="1:5" hidden="1" x14ac:dyDescent="0.25">
      <c r="A781" s="3" t="s">
        <v>1558</v>
      </c>
      <c r="B781" s="3" t="s">
        <v>1559</v>
      </c>
      <c r="C781" s="3" t="s">
        <v>3</v>
      </c>
      <c r="D781" s="3" t="s">
        <v>3</v>
      </c>
      <c r="E781" s="3" t="s">
        <v>4</v>
      </c>
    </row>
    <row r="782" spans="1:5" hidden="1" x14ac:dyDescent="0.25">
      <c r="A782" s="3" t="s">
        <v>1560</v>
      </c>
      <c r="B782" s="3" t="s">
        <v>1561</v>
      </c>
      <c r="C782" s="3" t="s">
        <v>3</v>
      </c>
      <c r="D782" s="3" t="s">
        <v>3</v>
      </c>
      <c r="E782" s="3" t="s">
        <v>4</v>
      </c>
    </row>
    <row r="783" spans="1:5" hidden="1" x14ac:dyDescent="0.25">
      <c r="A783" s="3" t="s">
        <v>1562</v>
      </c>
      <c r="B783" s="3" t="s">
        <v>1563</v>
      </c>
      <c r="C783" s="3" t="s">
        <v>3</v>
      </c>
      <c r="D783" s="3" t="s">
        <v>3</v>
      </c>
      <c r="E783" s="3" t="s">
        <v>4</v>
      </c>
    </row>
    <row r="784" spans="1:5" hidden="1" x14ac:dyDescent="0.25">
      <c r="A784" s="3" t="s">
        <v>1564</v>
      </c>
      <c r="B784" s="3" t="s">
        <v>1565</v>
      </c>
      <c r="C784" s="3" t="s">
        <v>3</v>
      </c>
      <c r="D784" s="3" t="s">
        <v>3</v>
      </c>
      <c r="E784" s="3" t="s">
        <v>4</v>
      </c>
    </row>
    <row r="785" spans="1:5" hidden="1" x14ac:dyDescent="0.25">
      <c r="A785" s="3" t="s">
        <v>1566</v>
      </c>
      <c r="B785" s="3" t="s">
        <v>1567</v>
      </c>
      <c r="C785" s="3" t="s">
        <v>3</v>
      </c>
      <c r="D785" s="3" t="s">
        <v>3</v>
      </c>
      <c r="E785" s="3" t="s">
        <v>4</v>
      </c>
    </row>
    <row r="786" spans="1:5" hidden="1" x14ac:dyDescent="0.25">
      <c r="A786" s="3" t="s">
        <v>1568</v>
      </c>
      <c r="B786" s="3" t="s">
        <v>1569</v>
      </c>
      <c r="C786" s="3" t="s">
        <v>3</v>
      </c>
      <c r="D786" s="3" t="s">
        <v>3</v>
      </c>
      <c r="E786" s="3" t="s">
        <v>4</v>
      </c>
    </row>
    <row r="787" spans="1:5" hidden="1" x14ac:dyDescent="0.25">
      <c r="A787" s="3" t="s">
        <v>1570</v>
      </c>
      <c r="B787" s="3" t="s">
        <v>1571</v>
      </c>
      <c r="C787" s="3" t="s">
        <v>3</v>
      </c>
      <c r="D787" s="3" t="s">
        <v>3</v>
      </c>
      <c r="E787" s="3" t="s">
        <v>4</v>
      </c>
    </row>
    <row r="788" spans="1:5" hidden="1" x14ac:dyDescent="0.25">
      <c r="A788" s="3" t="s">
        <v>1572</v>
      </c>
      <c r="B788" s="3" t="s">
        <v>1573</v>
      </c>
      <c r="C788" s="3" t="s">
        <v>3</v>
      </c>
      <c r="D788" s="3" t="s">
        <v>3</v>
      </c>
      <c r="E788" s="3" t="s">
        <v>4</v>
      </c>
    </row>
    <row r="789" spans="1:5" hidden="1" x14ac:dyDescent="0.25">
      <c r="A789" s="3" t="s">
        <v>1574</v>
      </c>
      <c r="B789" s="3" t="s">
        <v>1575</v>
      </c>
      <c r="C789" s="3" t="s">
        <v>3</v>
      </c>
      <c r="D789" s="3" t="s">
        <v>3</v>
      </c>
      <c r="E789" s="3" t="s">
        <v>4</v>
      </c>
    </row>
    <row r="790" spans="1:5" hidden="1" x14ac:dyDescent="0.25">
      <c r="A790" s="3" t="s">
        <v>1576</v>
      </c>
      <c r="B790" s="3" t="s">
        <v>1577</v>
      </c>
      <c r="C790" s="3" t="s">
        <v>3</v>
      </c>
      <c r="D790" s="3" t="s">
        <v>3</v>
      </c>
      <c r="E790" s="3" t="s">
        <v>4</v>
      </c>
    </row>
    <row r="791" spans="1:5" hidden="1" x14ac:dyDescent="0.25">
      <c r="A791" s="3" t="s">
        <v>1578</v>
      </c>
      <c r="B791" s="3" t="s">
        <v>1579</v>
      </c>
      <c r="C791" s="3" t="s">
        <v>3</v>
      </c>
      <c r="D791" s="3" t="s">
        <v>3</v>
      </c>
      <c r="E791" s="3" t="s">
        <v>4</v>
      </c>
    </row>
    <row r="792" spans="1:5" hidden="1" x14ac:dyDescent="0.25">
      <c r="A792" s="3" t="s">
        <v>1580</v>
      </c>
      <c r="B792" s="3" t="s">
        <v>1581</v>
      </c>
      <c r="C792" s="3" t="s">
        <v>3</v>
      </c>
      <c r="D792" s="3" t="s">
        <v>3</v>
      </c>
      <c r="E792" s="3" t="s">
        <v>4</v>
      </c>
    </row>
    <row r="793" spans="1:5" hidden="1" x14ac:dyDescent="0.25">
      <c r="A793" s="3" t="s">
        <v>1582</v>
      </c>
      <c r="B793" s="3" t="s">
        <v>1583</v>
      </c>
      <c r="C793" s="3" t="s">
        <v>3</v>
      </c>
      <c r="D793" s="3" t="s">
        <v>3</v>
      </c>
      <c r="E793" s="3" t="s">
        <v>4</v>
      </c>
    </row>
    <row r="794" spans="1:5" hidden="1" x14ac:dyDescent="0.25">
      <c r="A794" s="3" t="s">
        <v>1584</v>
      </c>
      <c r="B794" s="3" t="s">
        <v>1585</v>
      </c>
      <c r="C794" s="3" t="s">
        <v>3</v>
      </c>
      <c r="D794" s="3" t="s">
        <v>3</v>
      </c>
      <c r="E794" s="3" t="s">
        <v>4</v>
      </c>
    </row>
    <row r="795" spans="1:5" hidden="1" x14ac:dyDescent="0.25">
      <c r="A795" s="3" t="s">
        <v>1586</v>
      </c>
      <c r="B795" s="3" t="s">
        <v>1587</v>
      </c>
      <c r="C795" s="3" t="s">
        <v>3</v>
      </c>
      <c r="D795" s="3" t="s">
        <v>3</v>
      </c>
      <c r="E795" s="3" t="s">
        <v>4</v>
      </c>
    </row>
    <row r="796" spans="1:5" hidden="1" x14ac:dyDescent="0.25">
      <c r="A796" s="3" t="s">
        <v>1588</v>
      </c>
      <c r="B796" s="3" t="s">
        <v>1589</v>
      </c>
      <c r="C796" s="3" t="s">
        <v>3</v>
      </c>
      <c r="D796" s="3" t="s">
        <v>3</v>
      </c>
      <c r="E796" s="3" t="s">
        <v>4</v>
      </c>
    </row>
    <row r="797" spans="1:5" hidden="1" x14ac:dyDescent="0.25">
      <c r="A797" s="3" t="s">
        <v>1590</v>
      </c>
      <c r="B797" s="3" t="s">
        <v>1591</v>
      </c>
      <c r="C797" s="3" t="s">
        <v>3</v>
      </c>
      <c r="D797" s="3" t="s">
        <v>3</v>
      </c>
      <c r="E797" s="3" t="s">
        <v>4</v>
      </c>
    </row>
    <row r="798" spans="1:5" hidden="1" x14ac:dyDescent="0.25">
      <c r="A798" s="3" t="s">
        <v>1592</v>
      </c>
      <c r="B798" s="3" t="s">
        <v>1593</v>
      </c>
      <c r="C798" s="3" t="s">
        <v>3</v>
      </c>
      <c r="D798" s="3" t="s">
        <v>3</v>
      </c>
      <c r="E798" s="3" t="s">
        <v>4</v>
      </c>
    </row>
    <row r="799" spans="1:5" hidden="1" x14ac:dyDescent="0.25">
      <c r="A799" s="3" t="s">
        <v>1594</v>
      </c>
      <c r="B799" s="3" t="s">
        <v>1595</v>
      </c>
      <c r="C799" s="3" t="s">
        <v>3</v>
      </c>
      <c r="D799" s="3" t="s">
        <v>3</v>
      </c>
      <c r="E799" s="3" t="s">
        <v>4</v>
      </c>
    </row>
    <row r="800" spans="1:5" hidden="1" x14ac:dyDescent="0.25">
      <c r="A800" s="3" t="s">
        <v>1596</v>
      </c>
      <c r="B800" s="3" t="s">
        <v>1597</v>
      </c>
      <c r="C800" s="3" t="s">
        <v>3</v>
      </c>
      <c r="D800" s="3" t="s">
        <v>3</v>
      </c>
      <c r="E800" s="3" t="s">
        <v>4</v>
      </c>
    </row>
    <row r="801" spans="1:5" hidden="1" x14ac:dyDescent="0.25">
      <c r="A801" s="3" t="s">
        <v>1598</v>
      </c>
      <c r="B801" s="3" t="s">
        <v>1599</v>
      </c>
      <c r="C801" s="3" t="s">
        <v>3</v>
      </c>
      <c r="D801" s="3" t="s">
        <v>3</v>
      </c>
      <c r="E801" s="3" t="s">
        <v>4</v>
      </c>
    </row>
    <row r="802" spans="1:5" hidden="1" x14ac:dyDescent="0.25">
      <c r="A802" s="3" t="s">
        <v>1600</v>
      </c>
      <c r="B802" s="3" t="s">
        <v>1601</v>
      </c>
      <c r="C802" s="3" t="s">
        <v>3</v>
      </c>
      <c r="D802" s="3" t="s">
        <v>3</v>
      </c>
      <c r="E802" s="3" t="s">
        <v>4</v>
      </c>
    </row>
    <row r="803" spans="1:5" hidden="1" x14ac:dyDescent="0.25">
      <c r="A803" s="3" t="s">
        <v>1602</v>
      </c>
      <c r="B803" s="3" t="s">
        <v>1603</v>
      </c>
      <c r="C803" s="3" t="s">
        <v>3</v>
      </c>
      <c r="D803" s="3" t="s">
        <v>3</v>
      </c>
      <c r="E803" s="3" t="s">
        <v>4</v>
      </c>
    </row>
    <row r="804" spans="1:5" hidden="1" x14ac:dyDescent="0.25">
      <c r="A804" s="3" t="s">
        <v>1604</v>
      </c>
      <c r="B804" s="3" t="s">
        <v>1605</v>
      </c>
      <c r="C804" s="3" t="s">
        <v>3</v>
      </c>
      <c r="D804" s="3" t="s">
        <v>3</v>
      </c>
      <c r="E804" s="3" t="s">
        <v>4</v>
      </c>
    </row>
    <row r="805" spans="1:5" hidden="1" x14ac:dyDescent="0.25">
      <c r="A805" s="3" t="s">
        <v>1606</v>
      </c>
      <c r="B805" s="3" t="s">
        <v>1607</v>
      </c>
      <c r="C805" s="3" t="s">
        <v>3</v>
      </c>
      <c r="D805" s="3" t="s">
        <v>3</v>
      </c>
      <c r="E805" s="3" t="s">
        <v>4</v>
      </c>
    </row>
    <row r="806" spans="1:5" hidden="1" x14ac:dyDescent="0.25">
      <c r="A806" s="3" t="s">
        <v>1608</v>
      </c>
      <c r="B806" s="3" t="s">
        <v>1609</v>
      </c>
      <c r="C806" s="3" t="s">
        <v>3</v>
      </c>
      <c r="D806" s="3" t="s">
        <v>3</v>
      </c>
      <c r="E806" s="3" t="s">
        <v>4</v>
      </c>
    </row>
    <row r="807" spans="1:5" hidden="1" x14ac:dyDescent="0.25">
      <c r="A807" s="3" t="s">
        <v>1610</v>
      </c>
      <c r="B807" s="3" t="s">
        <v>1611</v>
      </c>
      <c r="C807" s="3" t="s">
        <v>3</v>
      </c>
      <c r="D807" s="3" t="s">
        <v>3</v>
      </c>
      <c r="E807" s="3" t="s">
        <v>4</v>
      </c>
    </row>
    <row r="808" spans="1:5" hidden="1" x14ac:dyDescent="0.25">
      <c r="A808" s="3" t="s">
        <v>1612</v>
      </c>
      <c r="B808" s="3" t="s">
        <v>1613</v>
      </c>
      <c r="C808" s="3" t="s">
        <v>3</v>
      </c>
      <c r="D808" s="3" t="s">
        <v>3</v>
      </c>
      <c r="E808" s="3" t="s">
        <v>4</v>
      </c>
    </row>
    <row r="809" spans="1:5" hidden="1" x14ac:dyDescent="0.25">
      <c r="A809" s="3" t="s">
        <v>1614</v>
      </c>
      <c r="B809" s="3" t="s">
        <v>1615</v>
      </c>
      <c r="C809" s="3" t="s">
        <v>3</v>
      </c>
      <c r="D809" s="3" t="s">
        <v>3</v>
      </c>
      <c r="E809" s="3" t="s">
        <v>4</v>
      </c>
    </row>
    <row r="810" spans="1:5" hidden="1" x14ac:dyDescent="0.25">
      <c r="A810" s="3" t="s">
        <v>1616</v>
      </c>
      <c r="B810" s="3" t="s">
        <v>1617</v>
      </c>
      <c r="C810" s="3" t="s">
        <v>3</v>
      </c>
      <c r="D810" s="3" t="s">
        <v>3</v>
      </c>
      <c r="E810" s="3" t="s">
        <v>4</v>
      </c>
    </row>
    <row r="811" spans="1:5" hidden="1" x14ac:dyDescent="0.25">
      <c r="A811" s="3" t="s">
        <v>1618</v>
      </c>
      <c r="B811" s="3" t="s">
        <v>1619</v>
      </c>
      <c r="C811" s="3" t="s">
        <v>3</v>
      </c>
      <c r="D811" s="3" t="s">
        <v>3</v>
      </c>
      <c r="E811" s="3" t="s">
        <v>4</v>
      </c>
    </row>
    <row r="812" spans="1:5" hidden="1" x14ac:dyDescent="0.25">
      <c r="A812" s="3" t="s">
        <v>1620</v>
      </c>
      <c r="B812" s="3" t="s">
        <v>1621</v>
      </c>
      <c r="C812" s="3" t="s">
        <v>3</v>
      </c>
      <c r="D812" s="3" t="s">
        <v>3</v>
      </c>
      <c r="E812" s="3" t="s">
        <v>4</v>
      </c>
    </row>
    <row r="813" spans="1:5" hidden="1" x14ac:dyDescent="0.25">
      <c r="A813" s="3" t="s">
        <v>1622</v>
      </c>
      <c r="B813" s="3" t="s">
        <v>1623</v>
      </c>
      <c r="C813" s="3" t="s">
        <v>3</v>
      </c>
      <c r="D813" s="3" t="s">
        <v>3</v>
      </c>
      <c r="E813" s="3" t="s">
        <v>4</v>
      </c>
    </row>
    <row r="814" spans="1:5" hidden="1" x14ac:dyDescent="0.25">
      <c r="A814" s="3" t="s">
        <v>1624</v>
      </c>
      <c r="B814" s="3" t="s">
        <v>1625</v>
      </c>
      <c r="C814" s="3" t="s">
        <v>3</v>
      </c>
      <c r="D814" s="3" t="s">
        <v>3</v>
      </c>
      <c r="E814" s="3" t="s">
        <v>4</v>
      </c>
    </row>
    <row r="815" spans="1:5" hidden="1" x14ac:dyDescent="0.25">
      <c r="A815" s="3" t="s">
        <v>1626</v>
      </c>
      <c r="B815" s="3" t="s">
        <v>1627</v>
      </c>
      <c r="C815" s="3" t="s">
        <v>3</v>
      </c>
      <c r="D815" s="3" t="s">
        <v>3</v>
      </c>
      <c r="E815" s="3" t="s">
        <v>4</v>
      </c>
    </row>
    <row r="816" spans="1:5" hidden="1" x14ac:dyDescent="0.25">
      <c r="A816" s="3" t="s">
        <v>1628</v>
      </c>
      <c r="B816" s="3" t="s">
        <v>1629</v>
      </c>
      <c r="C816" s="3" t="s">
        <v>3</v>
      </c>
      <c r="D816" s="3" t="s">
        <v>3</v>
      </c>
      <c r="E816" s="3" t="s">
        <v>4</v>
      </c>
    </row>
    <row r="817" spans="1:9" hidden="1" x14ac:dyDescent="0.25">
      <c r="A817" s="3" t="s">
        <v>1630</v>
      </c>
      <c r="B817" s="3" t="s">
        <v>1631</v>
      </c>
      <c r="C817" s="3" t="s">
        <v>3</v>
      </c>
      <c r="D817" s="3" t="s">
        <v>3</v>
      </c>
      <c r="E817" s="3" t="s">
        <v>4</v>
      </c>
      <c r="H817"/>
      <c r="I817" s="3"/>
    </row>
    <row r="818" spans="1:9" hidden="1" x14ac:dyDescent="0.25">
      <c r="A818" s="3" t="s">
        <v>1632</v>
      </c>
      <c r="B818" s="3" t="s">
        <v>1633</v>
      </c>
      <c r="C818" s="3" t="s">
        <v>3</v>
      </c>
      <c r="D818" s="3" t="s">
        <v>3</v>
      </c>
      <c r="E818" s="3" t="s">
        <v>4</v>
      </c>
      <c r="H818"/>
    </row>
    <row r="819" spans="1:9" hidden="1" x14ac:dyDescent="0.25">
      <c r="A819" s="3" t="s">
        <v>1634</v>
      </c>
      <c r="B819" s="3" t="s">
        <v>1635</v>
      </c>
      <c r="C819" s="3" t="s">
        <v>3</v>
      </c>
      <c r="D819" s="3" t="s">
        <v>3</v>
      </c>
      <c r="E819" s="3" t="s">
        <v>4</v>
      </c>
      <c r="H819"/>
      <c r="I819" s="3"/>
    </row>
    <row r="820" spans="1:9" hidden="1" x14ac:dyDescent="0.25">
      <c r="A820" s="3" t="s">
        <v>1636</v>
      </c>
      <c r="B820" s="3" t="s">
        <v>1637</v>
      </c>
      <c r="C820" s="3" t="s">
        <v>3</v>
      </c>
      <c r="D820" s="3" t="s">
        <v>3</v>
      </c>
      <c r="E820" s="3" t="s">
        <v>4</v>
      </c>
      <c r="H820"/>
      <c r="I820" s="3"/>
    </row>
    <row r="821" spans="1:9" hidden="1" x14ac:dyDescent="0.25">
      <c r="A821" s="3" t="s">
        <v>1638</v>
      </c>
      <c r="B821" s="3" t="s">
        <v>1639</v>
      </c>
      <c r="C821" s="3" t="s">
        <v>3</v>
      </c>
      <c r="D821" s="3" t="s">
        <v>3</v>
      </c>
      <c r="E821" s="3" t="s">
        <v>4</v>
      </c>
      <c r="H821"/>
      <c r="I821" s="3"/>
    </row>
    <row r="822" spans="1:9" hidden="1" x14ac:dyDescent="0.25">
      <c r="A822" s="3" t="s">
        <v>1640</v>
      </c>
      <c r="B822" s="3" t="s">
        <v>1641</v>
      </c>
      <c r="C822" s="3" t="s">
        <v>3</v>
      </c>
      <c r="D822" s="3" t="s">
        <v>3</v>
      </c>
      <c r="E822" s="3" t="s">
        <v>4</v>
      </c>
      <c r="H822"/>
      <c r="I822" s="3"/>
    </row>
    <row r="823" spans="1:9" hidden="1" x14ac:dyDescent="0.25">
      <c r="A823" s="3" t="s">
        <v>1642</v>
      </c>
      <c r="B823" s="3" t="s">
        <v>1643</v>
      </c>
      <c r="C823" s="3" t="s">
        <v>3</v>
      </c>
      <c r="D823" s="3" t="s">
        <v>3</v>
      </c>
      <c r="E823" s="3" t="s">
        <v>4</v>
      </c>
      <c r="H823"/>
      <c r="I823" s="3"/>
    </row>
    <row r="824" spans="1:9" hidden="1" x14ac:dyDescent="0.25">
      <c r="A824" s="3" t="s">
        <v>1644</v>
      </c>
      <c r="B824" s="3" t="s">
        <v>1645</v>
      </c>
      <c r="C824" s="3" t="s">
        <v>3</v>
      </c>
      <c r="D824" s="3" t="s">
        <v>3</v>
      </c>
      <c r="E824" s="3" t="s">
        <v>4</v>
      </c>
      <c r="H824"/>
      <c r="I824" s="3"/>
    </row>
    <row r="825" spans="1:9" hidden="1" x14ac:dyDescent="0.25">
      <c r="A825" s="3" t="s">
        <v>1646</v>
      </c>
      <c r="B825" s="3" t="s">
        <v>1647</v>
      </c>
      <c r="C825" s="3" t="s">
        <v>3</v>
      </c>
      <c r="D825" s="3" t="s">
        <v>3</v>
      </c>
      <c r="E825" s="3" t="s">
        <v>4</v>
      </c>
      <c r="H825"/>
      <c r="I825" s="3"/>
    </row>
    <row r="826" spans="1:9" hidden="1" x14ac:dyDescent="0.25">
      <c r="A826" s="3" t="s">
        <v>1648</v>
      </c>
      <c r="B826" s="3" t="s">
        <v>1649</v>
      </c>
      <c r="C826" s="3" t="s">
        <v>3</v>
      </c>
      <c r="D826" s="3" t="s">
        <v>3</v>
      </c>
      <c r="E826" s="3" t="s">
        <v>4</v>
      </c>
      <c r="H826"/>
      <c r="I826" s="3"/>
    </row>
    <row r="827" spans="1:9" hidden="1" x14ac:dyDescent="0.25">
      <c r="A827" s="3" t="s">
        <v>1650</v>
      </c>
      <c r="B827" s="3" t="s">
        <v>1651</v>
      </c>
      <c r="C827" s="3" t="s">
        <v>3</v>
      </c>
      <c r="D827" s="3" t="s">
        <v>3</v>
      </c>
      <c r="E827" s="3" t="s">
        <v>4</v>
      </c>
      <c r="H827"/>
    </row>
    <row r="828" spans="1:9" hidden="1" x14ac:dyDescent="0.25">
      <c r="A828" s="3" t="s">
        <v>1652</v>
      </c>
      <c r="B828" s="3" t="s">
        <v>1653</v>
      </c>
      <c r="C828" s="3" t="s">
        <v>3</v>
      </c>
      <c r="D828" s="3" t="s">
        <v>3</v>
      </c>
      <c r="E828" s="3" t="s">
        <v>4</v>
      </c>
      <c r="H828"/>
      <c r="I828" s="3"/>
    </row>
    <row r="829" spans="1:9" hidden="1" x14ac:dyDescent="0.25">
      <c r="A829" s="3" t="s">
        <v>1654</v>
      </c>
      <c r="B829" s="3" t="s">
        <v>1655</v>
      </c>
      <c r="C829" s="3" t="s">
        <v>3</v>
      </c>
      <c r="D829" s="3" t="s">
        <v>3</v>
      </c>
      <c r="E829" s="3" t="s">
        <v>4</v>
      </c>
      <c r="H829"/>
      <c r="I829" s="3"/>
    </row>
    <row r="830" spans="1:9" x14ac:dyDescent="0.25">
      <c r="A830" s="3" t="s">
        <v>1656</v>
      </c>
      <c r="B830" s="3" t="s">
        <v>1657</v>
      </c>
      <c r="C830" s="3" t="s">
        <v>3</v>
      </c>
      <c r="D830" s="3" t="s">
        <v>3</v>
      </c>
      <c r="E830" s="3" t="s">
        <v>4</v>
      </c>
      <c r="H830"/>
      <c r="I830" s="3"/>
    </row>
    <row r="831" spans="1:9" x14ac:dyDescent="0.25">
      <c r="A831" s="3" t="s">
        <v>1658</v>
      </c>
      <c r="B831" s="3" t="s">
        <v>1659</v>
      </c>
      <c r="C831" s="3" t="s">
        <v>3</v>
      </c>
      <c r="D831" s="3" t="s">
        <v>3</v>
      </c>
      <c r="E831" s="3" t="s">
        <v>4</v>
      </c>
      <c r="H831"/>
      <c r="I831" s="3"/>
    </row>
    <row r="832" spans="1:9" x14ac:dyDescent="0.25">
      <c r="A832" s="3" t="s">
        <v>1660</v>
      </c>
      <c r="B832" s="3" t="s">
        <v>1661</v>
      </c>
      <c r="C832" s="3" t="s">
        <v>3</v>
      </c>
      <c r="D832" s="3" t="s">
        <v>3</v>
      </c>
      <c r="E832" s="3" t="s">
        <v>4</v>
      </c>
    </row>
    <row r="833" spans="1:5" hidden="1" x14ac:dyDescent="0.25">
      <c r="A833" s="3" t="s">
        <v>1662</v>
      </c>
      <c r="B833" s="3" t="s">
        <v>1663</v>
      </c>
      <c r="C833" s="3" t="s">
        <v>3</v>
      </c>
      <c r="D833" s="3" t="s">
        <v>3</v>
      </c>
      <c r="E833" s="3" t="s">
        <v>4</v>
      </c>
    </row>
    <row r="834" spans="1:5" hidden="1" x14ac:dyDescent="0.25">
      <c r="A834" s="3" t="s">
        <v>1664</v>
      </c>
      <c r="B834" s="3" t="s">
        <v>1665</v>
      </c>
      <c r="C834" s="3" t="s">
        <v>3</v>
      </c>
      <c r="D834" s="3" t="s">
        <v>3</v>
      </c>
      <c r="E834" s="3" t="s">
        <v>4</v>
      </c>
    </row>
    <row r="835" spans="1:5" hidden="1" x14ac:dyDescent="0.25">
      <c r="A835" s="3" t="s">
        <v>1666</v>
      </c>
      <c r="B835" s="3" t="s">
        <v>1667</v>
      </c>
      <c r="C835" s="3" t="s">
        <v>3</v>
      </c>
      <c r="D835" s="3" t="s">
        <v>3</v>
      </c>
      <c r="E835" s="3" t="s">
        <v>4</v>
      </c>
    </row>
    <row r="836" spans="1:5" hidden="1" x14ac:dyDescent="0.25">
      <c r="A836" s="3" t="s">
        <v>1668</v>
      </c>
      <c r="B836" s="3" t="s">
        <v>1669</v>
      </c>
      <c r="C836" s="3" t="s">
        <v>3</v>
      </c>
      <c r="D836" s="3" t="s">
        <v>3</v>
      </c>
      <c r="E836" s="3" t="s">
        <v>4</v>
      </c>
    </row>
    <row r="837" spans="1:5" hidden="1" x14ac:dyDescent="0.25">
      <c r="A837" s="3" t="s">
        <v>1670</v>
      </c>
      <c r="B837" s="3" t="s">
        <v>1671</v>
      </c>
      <c r="C837" s="3" t="s">
        <v>3</v>
      </c>
      <c r="D837" s="3" t="s">
        <v>3</v>
      </c>
      <c r="E837" s="3" t="s">
        <v>4</v>
      </c>
    </row>
    <row r="838" spans="1:5" hidden="1" x14ac:dyDescent="0.25">
      <c r="A838" s="3" t="s">
        <v>1672</v>
      </c>
      <c r="B838" s="3" t="s">
        <v>1673</v>
      </c>
      <c r="C838" s="3" t="s">
        <v>3</v>
      </c>
      <c r="D838" s="3" t="s">
        <v>3</v>
      </c>
      <c r="E838" s="3" t="s">
        <v>4</v>
      </c>
    </row>
    <row r="839" spans="1:5" hidden="1" x14ac:dyDescent="0.25">
      <c r="A839" s="3" t="s">
        <v>1674</v>
      </c>
      <c r="B839" s="3" t="s">
        <v>1675</v>
      </c>
      <c r="C839" s="3" t="s">
        <v>3</v>
      </c>
      <c r="D839" s="3" t="s">
        <v>3</v>
      </c>
      <c r="E839" s="3" t="s">
        <v>4</v>
      </c>
    </row>
    <row r="840" spans="1:5" hidden="1" x14ac:dyDescent="0.25">
      <c r="A840" s="3" t="s">
        <v>1676</v>
      </c>
      <c r="B840" s="3" t="s">
        <v>1677</v>
      </c>
      <c r="C840" s="3" t="s">
        <v>3</v>
      </c>
      <c r="D840" s="3" t="s">
        <v>3</v>
      </c>
      <c r="E840" s="3" t="s">
        <v>4</v>
      </c>
    </row>
    <row r="841" spans="1:5" hidden="1" x14ac:dyDescent="0.25">
      <c r="A841" s="3" t="s">
        <v>1678</v>
      </c>
      <c r="B841" s="3" t="s">
        <v>1679</v>
      </c>
      <c r="C841" s="3" t="s">
        <v>3</v>
      </c>
      <c r="D841" s="3" t="s">
        <v>3</v>
      </c>
      <c r="E841" s="3" t="s">
        <v>4</v>
      </c>
    </row>
    <row r="842" spans="1:5" hidden="1" x14ac:dyDescent="0.25">
      <c r="A842" s="3" t="s">
        <v>1680</v>
      </c>
      <c r="B842" s="3" t="s">
        <v>1681</v>
      </c>
      <c r="C842" s="3" t="s">
        <v>3</v>
      </c>
      <c r="D842" s="3" t="s">
        <v>3</v>
      </c>
      <c r="E842" s="3" t="s">
        <v>4</v>
      </c>
    </row>
    <row r="843" spans="1:5" hidden="1" x14ac:dyDescent="0.25">
      <c r="A843" s="3" t="s">
        <v>1682</v>
      </c>
      <c r="B843" s="3" t="s">
        <v>1683</v>
      </c>
      <c r="C843" s="3" t="s">
        <v>3</v>
      </c>
      <c r="D843" s="3" t="s">
        <v>3</v>
      </c>
      <c r="E843" s="3" t="s">
        <v>4</v>
      </c>
    </row>
    <row r="844" spans="1:5" hidden="1" x14ac:dyDescent="0.25">
      <c r="A844" s="3" t="s">
        <v>1684</v>
      </c>
      <c r="B844" s="3" t="s">
        <v>1685</v>
      </c>
      <c r="C844" s="3" t="s">
        <v>3</v>
      </c>
      <c r="D844" s="3" t="s">
        <v>3</v>
      </c>
      <c r="E844" s="3" t="s">
        <v>4</v>
      </c>
    </row>
    <row r="845" spans="1:5" hidden="1" x14ac:dyDescent="0.25">
      <c r="A845" s="3" t="s">
        <v>1686</v>
      </c>
      <c r="B845" s="3" t="s">
        <v>1687</v>
      </c>
      <c r="C845" s="3" t="s">
        <v>3</v>
      </c>
      <c r="D845" s="3" t="s">
        <v>3</v>
      </c>
      <c r="E845" s="3" t="s">
        <v>4</v>
      </c>
    </row>
    <row r="846" spans="1:5" hidden="1" x14ac:dyDescent="0.25">
      <c r="A846" s="3" t="s">
        <v>1688</v>
      </c>
      <c r="B846" s="3" t="s">
        <v>1689</v>
      </c>
      <c r="C846" s="3" t="s">
        <v>3</v>
      </c>
      <c r="D846" s="3" t="s">
        <v>3</v>
      </c>
      <c r="E846" s="3" t="s">
        <v>4</v>
      </c>
    </row>
    <row r="847" spans="1:5" hidden="1" x14ac:dyDescent="0.25">
      <c r="A847" s="3" t="s">
        <v>1690</v>
      </c>
      <c r="B847" s="3" t="s">
        <v>1691</v>
      </c>
      <c r="C847" s="3" t="s">
        <v>3</v>
      </c>
      <c r="D847" s="3" t="s">
        <v>3</v>
      </c>
      <c r="E847" s="3" t="s">
        <v>4</v>
      </c>
    </row>
    <row r="848" spans="1:5" hidden="1" x14ac:dyDescent="0.25">
      <c r="A848" s="3" t="s">
        <v>1692</v>
      </c>
      <c r="B848" s="3" t="s">
        <v>1693</v>
      </c>
      <c r="C848" s="3" t="s">
        <v>3</v>
      </c>
      <c r="D848" s="3" t="s">
        <v>3</v>
      </c>
      <c r="E848" s="3" t="s">
        <v>4</v>
      </c>
    </row>
    <row r="849" spans="1:5" hidden="1" x14ac:dyDescent="0.25">
      <c r="A849" s="3" t="s">
        <v>1694</v>
      </c>
      <c r="B849" s="3" t="s">
        <v>1695</v>
      </c>
      <c r="C849" s="3" t="s">
        <v>3</v>
      </c>
      <c r="D849" s="3" t="s">
        <v>3</v>
      </c>
      <c r="E849" s="3" t="s">
        <v>4</v>
      </c>
    </row>
    <row r="850" spans="1:5" hidden="1" x14ac:dyDescent="0.25">
      <c r="A850" s="3" t="s">
        <v>1696</v>
      </c>
      <c r="B850" s="3" t="s">
        <v>1697</v>
      </c>
      <c r="C850" s="3" t="s">
        <v>3</v>
      </c>
      <c r="D850" s="3" t="s">
        <v>3</v>
      </c>
      <c r="E850" s="3" t="s">
        <v>4</v>
      </c>
    </row>
    <row r="851" spans="1:5" hidden="1" x14ac:dyDescent="0.25">
      <c r="A851" s="3" t="s">
        <v>1698</v>
      </c>
      <c r="B851" s="3" t="s">
        <v>1699</v>
      </c>
      <c r="C851" s="3" t="s">
        <v>3</v>
      </c>
      <c r="D851" s="3" t="s">
        <v>3</v>
      </c>
      <c r="E851" s="3" t="s">
        <v>4</v>
      </c>
    </row>
    <row r="852" spans="1:5" hidden="1" x14ac:dyDescent="0.25">
      <c r="A852" s="3" t="s">
        <v>1700</v>
      </c>
      <c r="B852" s="3" t="s">
        <v>1701</v>
      </c>
      <c r="C852" s="3" t="s">
        <v>3</v>
      </c>
      <c r="D852" s="3" t="s">
        <v>3</v>
      </c>
      <c r="E852" s="3" t="s">
        <v>4</v>
      </c>
    </row>
    <row r="853" spans="1:5" hidden="1" x14ac:dyDescent="0.25">
      <c r="A853" s="3" t="s">
        <v>1702</v>
      </c>
      <c r="B853" s="3" t="s">
        <v>1703</v>
      </c>
      <c r="C853" s="3" t="s">
        <v>3</v>
      </c>
      <c r="D853" s="3" t="s">
        <v>3</v>
      </c>
      <c r="E853" s="3" t="s">
        <v>4</v>
      </c>
    </row>
    <row r="854" spans="1:5" hidden="1" x14ac:dyDescent="0.25">
      <c r="A854" s="3" t="s">
        <v>1704</v>
      </c>
      <c r="B854" s="3" t="s">
        <v>1705</v>
      </c>
      <c r="C854" s="3" t="s">
        <v>3</v>
      </c>
      <c r="D854" s="3" t="s">
        <v>3</v>
      </c>
      <c r="E854" s="3" t="s">
        <v>4</v>
      </c>
    </row>
    <row r="855" spans="1:5" hidden="1" x14ac:dyDescent="0.25">
      <c r="A855" s="3" t="s">
        <v>1706</v>
      </c>
      <c r="B855" s="3" t="s">
        <v>1231</v>
      </c>
      <c r="C855" s="3" t="s">
        <v>3</v>
      </c>
      <c r="D855" s="3" t="s">
        <v>3</v>
      </c>
      <c r="E855" s="3" t="s">
        <v>4</v>
      </c>
    </row>
    <row r="856" spans="1:5" hidden="1" x14ac:dyDescent="0.25">
      <c r="A856" s="3" t="s">
        <v>1707</v>
      </c>
      <c r="B856" s="3" t="s">
        <v>1708</v>
      </c>
      <c r="C856" s="3" t="s">
        <v>3</v>
      </c>
      <c r="D856" s="3" t="s">
        <v>3</v>
      </c>
      <c r="E856" s="3" t="s">
        <v>4</v>
      </c>
    </row>
    <row r="857" spans="1:5" hidden="1" x14ac:dyDescent="0.25">
      <c r="A857" s="3" t="s">
        <v>1709</v>
      </c>
      <c r="B857" s="3" t="s">
        <v>1710</v>
      </c>
      <c r="C857" s="3" t="s">
        <v>3</v>
      </c>
      <c r="D857" s="3" t="s">
        <v>3</v>
      </c>
      <c r="E857" s="3" t="s">
        <v>4</v>
      </c>
    </row>
    <row r="858" spans="1:5" hidden="1" x14ac:dyDescent="0.25">
      <c r="A858" s="3" t="s">
        <v>1711</v>
      </c>
      <c r="B858" s="3" t="s">
        <v>1712</v>
      </c>
      <c r="C858" s="3" t="s">
        <v>3</v>
      </c>
      <c r="D858" s="3" t="s">
        <v>3</v>
      </c>
      <c r="E858" s="3" t="s">
        <v>4</v>
      </c>
    </row>
    <row r="859" spans="1:5" hidden="1" x14ac:dyDescent="0.25">
      <c r="A859" s="3" t="s">
        <v>1713</v>
      </c>
      <c r="B859" s="3" t="s">
        <v>1714</v>
      </c>
      <c r="C859" s="3" t="s">
        <v>3</v>
      </c>
      <c r="D859" s="3" t="s">
        <v>3</v>
      </c>
      <c r="E859" s="3" t="s">
        <v>4</v>
      </c>
    </row>
    <row r="860" spans="1:5" hidden="1" x14ac:dyDescent="0.25">
      <c r="A860" s="3" t="s">
        <v>1715</v>
      </c>
      <c r="B860" s="3" t="s">
        <v>1716</v>
      </c>
      <c r="C860" s="3" t="s">
        <v>3</v>
      </c>
      <c r="D860" s="3" t="s">
        <v>3</v>
      </c>
      <c r="E860" s="3" t="s">
        <v>4</v>
      </c>
    </row>
    <row r="861" spans="1:5" hidden="1" x14ac:dyDescent="0.25">
      <c r="A861" s="3" t="s">
        <v>1717</v>
      </c>
      <c r="B861" s="3" t="s">
        <v>1718</v>
      </c>
      <c r="C861" s="3" t="s">
        <v>3</v>
      </c>
      <c r="D861" s="3" t="s">
        <v>3</v>
      </c>
      <c r="E861" s="3" t="s">
        <v>4</v>
      </c>
    </row>
    <row r="862" spans="1:5" hidden="1" x14ac:dyDescent="0.25">
      <c r="A862" s="3" t="s">
        <v>1719</v>
      </c>
      <c r="B862" s="3" t="s">
        <v>1720</v>
      </c>
      <c r="C862" s="3" t="s">
        <v>3</v>
      </c>
      <c r="D862" s="3" t="s">
        <v>3</v>
      </c>
      <c r="E862" s="3" t="s">
        <v>4</v>
      </c>
    </row>
    <row r="863" spans="1:5" hidden="1" x14ac:dyDescent="0.25">
      <c r="A863" s="3" t="s">
        <v>1721</v>
      </c>
      <c r="B863" s="3" t="s">
        <v>1722</v>
      </c>
      <c r="C863" s="3" t="s">
        <v>3</v>
      </c>
      <c r="D863" s="3" t="s">
        <v>3</v>
      </c>
      <c r="E863" s="3" t="s">
        <v>4</v>
      </c>
    </row>
    <row r="864" spans="1:5" hidden="1" x14ac:dyDescent="0.25">
      <c r="A864" s="3" t="s">
        <v>1723</v>
      </c>
      <c r="B864" s="3" t="s">
        <v>1724</v>
      </c>
      <c r="C864" s="3" t="s">
        <v>3</v>
      </c>
      <c r="D864" s="3" t="s">
        <v>3</v>
      </c>
      <c r="E864" s="3" t="s">
        <v>4</v>
      </c>
    </row>
    <row r="865" spans="1:5" hidden="1" x14ac:dyDescent="0.25">
      <c r="A865" s="3" t="s">
        <v>1725</v>
      </c>
      <c r="B865" s="3" t="s">
        <v>1726</v>
      </c>
      <c r="C865" s="3" t="s">
        <v>3</v>
      </c>
      <c r="D865" s="3" t="s">
        <v>3</v>
      </c>
      <c r="E865" s="3" t="s">
        <v>4</v>
      </c>
    </row>
    <row r="866" spans="1:5" hidden="1" x14ac:dyDescent="0.25">
      <c r="A866" s="3" t="s">
        <v>1727</v>
      </c>
      <c r="B866" s="3" t="s">
        <v>1728</v>
      </c>
      <c r="C866" s="3" t="s">
        <v>3</v>
      </c>
      <c r="D866" s="3" t="s">
        <v>3</v>
      </c>
      <c r="E866" s="3" t="s">
        <v>4</v>
      </c>
    </row>
    <row r="867" spans="1:5" hidden="1" x14ac:dyDescent="0.25">
      <c r="A867" s="3" t="s">
        <v>1729</v>
      </c>
      <c r="B867" s="3" t="s">
        <v>1730</v>
      </c>
      <c r="C867" s="3" t="s">
        <v>3</v>
      </c>
      <c r="D867" s="3" t="s">
        <v>3</v>
      </c>
      <c r="E867" s="3" t="s">
        <v>4</v>
      </c>
    </row>
    <row r="868" spans="1:5" hidden="1" x14ac:dyDescent="0.25">
      <c r="A868" s="3" t="s">
        <v>1731</v>
      </c>
      <c r="B868" s="3" t="s">
        <v>1732</v>
      </c>
      <c r="C868" s="3" t="s">
        <v>3</v>
      </c>
      <c r="D868" s="3" t="s">
        <v>3</v>
      </c>
      <c r="E868" s="3" t="s">
        <v>4</v>
      </c>
    </row>
    <row r="869" spans="1:5" hidden="1" x14ac:dyDescent="0.25">
      <c r="A869" s="3" t="s">
        <v>1733</v>
      </c>
      <c r="B869" s="3" t="s">
        <v>1734</v>
      </c>
      <c r="C869" s="3" t="s">
        <v>3</v>
      </c>
      <c r="D869" s="3" t="s">
        <v>3</v>
      </c>
      <c r="E869" s="3" t="s">
        <v>4</v>
      </c>
    </row>
    <row r="870" spans="1:5" hidden="1" x14ac:dyDescent="0.25">
      <c r="A870" s="3" t="s">
        <v>1735</v>
      </c>
      <c r="B870" s="3" t="s">
        <v>1736</v>
      </c>
      <c r="C870" s="3" t="s">
        <v>3</v>
      </c>
      <c r="D870" s="3" t="s">
        <v>3</v>
      </c>
      <c r="E870" s="3" t="s">
        <v>4</v>
      </c>
    </row>
    <row r="871" spans="1:5" hidden="1" x14ac:dyDescent="0.25">
      <c r="A871" s="3" t="s">
        <v>1737</v>
      </c>
      <c r="B871" s="3" t="s">
        <v>1738</v>
      </c>
      <c r="C871" s="3" t="s">
        <v>3</v>
      </c>
      <c r="D871" s="3" t="s">
        <v>3</v>
      </c>
      <c r="E871" s="3" t="s">
        <v>4</v>
      </c>
    </row>
    <row r="872" spans="1:5" hidden="1" x14ac:dyDescent="0.25">
      <c r="A872" s="3" t="s">
        <v>1739</v>
      </c>
      <c r="B872" s="3" t="s">
        <v>1740</v>
      </c>
      <c r="C872" s="3" t="s">
        <v>3</v>
      </c>
      <c r="D872" s="3" t="s">
        <v>3</v>
      </c>
      <c r="E872" s="3" t="s">
        <v>4</v>
      </c>
    </row>
    <row r="873" spans="1:5" hidden="1" x14ac:dyDescent="0.25">
      <c r="A873" s="3" t="s">
        <v>1741</v>
      </c>
      <c r="B873" s="3" t="s">
        <v>1742</v>
      </c>
      <c r="C873" s="3" t="s">
        <v>3</v>
      </c>
      <c r="D873" s="3" t="s">
        <v>3</v>
      </c>
      <c r="E873" s="3" t="s">
        <v>4</v>
      </c>
    </row>
    <row r="874" spans="1:5" hidden="1" x14ac:dyDescent="0.25">
      <c r="A874" s="3" t="s">
        <v>1743</v>
      </c>
      <c r="B874" s="3" t="s">
        <v>1744</v>
      </c>
      <c r="C874" s="3" t="s">
        <v>3</v>
      </c>
      <c r="D874" s="3" t="s">
        <v>3</v>
      </c>
      <c r="E874" s="3" t="s">
        <v>4</v>
      </c>
    </row>
    <row r="875" spans="1:5" hidden="1" x14ac:dyDescent="0.25">
      <c r="A875" s="3" t="s">
        <v>1745</v>
      </c>
      <c r="B875" s="3" t="s">
        <v>1746</v>
      </c>
      <c r="C875" s="3" t="s">
        <v>3</v>
      </c>
      <c r="D875" s="3" t="s">
        <v>3</v>
      </c>
      <c r="E875" s="3" t="s">
        <v>4</v>
      </c>
    </row>
    <row r="876" spans="1:5" hidden="1" x14ac:dyDescent="0.25">
      <c r="A876" s="3" t="s">
        <v>1747</v>
      </c>
      <c r="B876" s="3" t="s">
        <v>1748</v>
      </c>
      <c r="C876" s="3" t="s">
        <v>3</v>
      </c>
      <c r="D876" s="3" t="s">
        <v>3</v>
      </c>
      <c r="E876" s="3" t="s">
        <v>4</v>
      </c>
    </row>
    <row r="877" spans="1:5" hidden="1" x14ac:dyDescent="0.25">
      <c r="A877" s="3" t="s">
        <v>1749</v>
      </c>
      <c r="B877" s="3" t="s">
        <v>1750</v>
      </c>
      <c r="C877" s="3" t="s">
        <v>3</v>
      </c>
      <c r="D877" s="3" t="s">
        <v>3</v>
      </c>
      <c r="E877" s="3" t="s">
        <v>4</v>
      </c>
    </row>
    <row r="878" spans="1:5" hidden="1" x14ac:dyDescent="0.25">
      <c r="A878" s="3" t="s">
        <v>1751</v>
      </c>
      <c r="B878" s="3" t="s">
        <v>1752</v>
      </c>
      <c r="C878" s="3" t="s">
        <v>3</v>
      </c>
      <c r="D878" s="3" t="s">
        <v>3</v>
      </c>
      <c r="E878" s="3" t="s">
        <v>4</v>
      </c>
    </row>
    <row r="879" spans="1:5" hidden="1" x14ac:dyDescent="0.25">
      <c r="A879" s="3" t="s">
        <v>1753</v>
      </c>
      <c r="B879" s="3" t="s">
        <v>1754</v>
      </c>
      <c r="C879" s="3" t="s">
        <v>3</v>
      </c>
      <c r="D879" s="3" t="s">
        <v>3</v>
      </c>
      <c r="E879" s="3" t="s">
        <v>4</v>
      </c>
    </row>
    <row r="880" spans="1:5" hidden="1" x14ac:dyDescent="0.25">
      <c r="A880" s="3" t="s">
        <v>1755</v>
      </c>
      <c r="B880" s="3" t="s">
        <v>1756</v>
      </c>
      <c r="C880" s="3" t="s">
        <v>3</v>
      </c>
      <c r="D880" s="3" t="s">
        <v>3</v>
      </c>
      <c r="E880" s="3" t="s">
        <v>4</v>
      </c>
    </row>
    <row r="881" spans="1:5" hidden="1" x14ac:dyDescent="0.25">
      <c r="A881" s="3" t="s">
        <v>1757</v>
      </c>
      <c r="B881" s="3" t="s">
        <v>1758</v>
      </c>
      <c r="C881" s="3" t="s">
        <v>3</v>
      </c>
      <c r="D881" s="3" t="s">
        <v>3</v>
      </c>
      <c r="E881" s="3" t="s">
        <v>4</v>
      </c>
    </row>
    <row r="882" spans="1:5" hidden="1" x14ac:dyDescent="0.25">
      <c r="A882" s="3" t="s">
        <v>1759</v>
      </c>
      <c r="B882" s="3" t="s">
        <v>1760</v>
      </c>
      <c r="C882" s="3" t="s">
        <v>3</v>
      </c>
      <c r="D882" s="3" t="s">
        <v>3</v>
      </c>
      <c r="E882" s="3" t="s">
        <v>4</v>
      </c>
    </row>
    <row r="883" spans="1:5" hidden="1" x14ac:dyDescent="0.25">
      <c r="A883" s="3" t="s">
        <v>1761</v>
      </c>
      <c r="B883" s="3" t="s">
        <v>1762</v>
      </c>
      <c r="C883" s="3" t="s">
        <v>3</v>
      </c>
      <c r="D883" s="3" t="s">
        <v>3</v>
      </c>
      <c r="E883" s="3" t="s">
        <v>4</v>
      </c>
    </row>
    <row r="884" spans="1:5" hidden="1" x14ac:dyDescent="0.25">
      <c r="A884" s="3" t="s">
        <v>1763</v>
      </c>
      <c r="B884" s="3" t="s">
        <v>1764</v>
      </c>
      <c r="C884" s="3" t="s">
        <v>3</v>
      </c>
      <c r="D884" s="3" t="s">
        <v>3</v>
      </c>
      <c r="E884" s="3" t="s">
        <v>4</v>
      </c>
    </row>
    <row r="885" spans="1:5" hidden="1" x14ac:dyDescent="0.25">
      <c r="A885" s="3" t="s">
        <v>1765</v>
      </c>
      <c r="B885" s="3" t="s">
        <v>1766</v>
      </c>
      <c r="C885" s="3" t="s">
        <v>3</v>
      </c>
      <c r="D885" s="3" t="s">
        <v>3</v>
      </c>
      <c r="E885" s="3" t="s">
        <v>4</v>
      </c>
    </row>
    <row r="886" spans="1:5" hidden="1" x14ac:dyDescent="0.25">
      <c r="A886" s="3" t="s">
        <v>1767</v>
      </c>
      <c r="B886" s="3" t="s">
        <v>1768</v>
      </c>
      <c r="C886" s="3" t="s">
        <v>3</v>
      </c>
      <c r="D886" s="3" t="s">
        <v>3</v>
      </c>
      <c r="E886" s="3" t="s">
        <v>4</v>
      </c>
    </row>
    <row r="887" spans="1:5" hidden="1" x14ac:dyDescent="0.25">
      <c r="A887" s="3" t="s">
        <v>1769</v>
      </c>
      <c r="B887" s="3" t="s">
        <v>1770</v>
      </c>
      <c r="C887" s="3" t="s">
        <v>3</v>
      </c>
      <c r="D887" s="3" t="s">
        <v>3</v>
      </c>
      <c r="E887" s="3" t="s">
        <v>4</v>
      </c>
    </row>
    <row r="888" spans="1:5" hidden="1" x14ac:dyDescent="0.25">
      <c r="A888" s="3" t="s">
        <v>1771</v>
      </c>
      <c r="B888" s="3" t="s">
        <v>1772</v>
      </c>
      <c r="C888" s="3" t="s">
        <v>3</v>
      </c>
      <c r="D888" s="3" t="s">
        <v>3</v>
      </c>
      <c r="E888" s="3" t="s">
        <v>4</v>
      </c>
    </row>
    <row r="889" spans="1:5" hidden="1" x14ac:dyDescent="0.25">
      <c r="A889" s="3" t="s">
        <v>1773</v>
      </c>
      <c r="B889" s="3" t="s">
        <v>1774</v>
      </c>
      <c r="C889" s="3" t="s">
        <v>3</v>
      </c>
      <c r="D889" s="3" t="s">
        <v>3</v>
      </c>
      <c r="E889" s="3" t="s">
        <v>4</v>
      </c>
    </row>
    <row r="890" spans="1:5" hidden="1" x14ac:dyDescent="0.25">
      <c r="A890" s="3" t="s">
        <v>1775</v>
      </c>
      <c r="B890" s="3" t="s">
        <v>1776</v>
      </c>
      <c r="C890" s="3" t="s">
        <v>3</v>
      </c>
      <c r="D890" s="3" t="s">
        <v>3</v>
      </c>
      <c r="E890" s="3" t="s">
        <v>4</v>
      </c>
    </row>
    <row r="891" spans="1:5" hidden="1" x14ac:dyDescent="0.25">
      <c r="A891" s="3" t="s">
        <v>1777</v>
      </c>
      <c r="B891" s="3" t="s">
        <v>1778</v>
      </c>
      <c r="C891" s="3" t="s">
        <v>3</v>
      </c>
      <c r="D891" s="3" t="s">
        <v>3</v>
      </c>
      <c r="E891" s="3" t="s">
        <v>4</v>
      </c>
    </row>
    <row r="892" spans="1:5" hidden="1" x14ac:dyDescent="0.25">
      <c r="A892" s="3" t="s">
        <v>1779</v>
      </c>
      <c r="B892" s="3" t="s">
        <v>1780</v>
      </c>
      <c r="C892" s="3" t="s">
        <v>3</v>
      </c>
      <c r="D892" s="3" t="s">
        <v>3</v>
      </c>
      <c r="E892" s="3" t="s">
        <v>4</v>
      </c>
    </row>
    <row r="893" spans="1:5" hidden="1" x14ac:dyDescent="0.25">
      <c r="A893" s="3" t="s">
        <v>1781</v>
      </c>
      <c r="B893" s="3" t="s">
        <v>1782</v>
      </c>
      <c r="C893" s="3" t="s">
        <v>3</v>
      </c>
      <c r="D893" s="3" t="s">
        <v>3</v>
      </c>
      <c r="E893" s="3" t="s">
        <v>4</v>
      </c>
    </row>
    <row r="894" spans="1:5" hidden="1" x14ac:dyDescent="0.25">
      <c r="A894" s="3" t="s">
        <v>1783</v>
      </c>
      <c r="B894" s="3" t="s">
        <v>1784</v>
      </c>
      <c r="C894" s="3" t="s">
        <v>3</v>
      </c>
      <c r="D894" s="3" t="s">
        <v>3</v>
      </c>
      <c r="E894" s="3" t="s">
        <v>4</v>
      </c>
    </row>
    <row r="895" spans="1:5" hidden="1" x14ac:dyDescent="0.25">
      <c r="A895" s="3" t="s">
        <v>1785</v>
      </c>
      <c r="B895" s="3" t="s">
        <v>1786</v>
      </c>
      <c r="C895" s="3" t="s">
        <v>3</v>
      </c>
      <c r="D895" s="3" t="s">
        <v>3</v>
      </c>
      <c r="E895" s="3" t="s">
        <v>4</v>
      </c>
    </row>
    <row r="896" spans="1:5" hidden="1" x14ac:dyDescent="0.25">
      <c r="A896" s="3" t="s">
        <v>1787</v>
      </c>
      <c r="B896" s="3" t="s">
        <v>1788</v>
      </c>
      <c r="C896" s="3" t="s">
        <v>3</v>
      </c>
      <c r="D896" s="3" t="s">
        <v>3</v>
      </c>
      <c r="E896" s="3" t="s">
        <v>4</v>
      </c>
    </row>
    <row r="897" spans="1:5" hidden="1" x14ac:dyDescent="0.25">
      <c r="A897" s="3" t="s">
        <v>1789</v>
      </c>
      <c r="B897" s="3" t="s">
        <v>1790</v>
      </c>
      <c r="C897" s="3" t="s">
        <v>3</v>
      </c>
      <c r="D897" s="3" t="s">
        <v>3</v>
      </c>
      <c r="E897" s="3" t="s">
        <v>4</v>
      </c>
    </row>
    <row r="898" spans="1:5" hidden="1" x14ac:dyDescent="0.25">
      <c r="A898" s="3" t="s">
        <v>1791</v>
      </c>
      <c r="B898" s="3" t="s">
        <v>1792</v>
      </c>
      <c r="C898" s="3" t="s">
        <v>3</v>
      </c>
      <c r="D898" s="3" t="s">
        <v>3</v>
      </c>
      <c r="E898" s="3" t="s">
        <v>4</v>
      </c>
    </row>
    <row r="899" spans="1:5" hidden="1" x14ac:dyDescent="0.25">
      <c r="A899" s="3" t="s">
        <v>1793</v>
      </c>
      <c r="B899" s="3" t="s">
        <v>1794</v>
      </c>
      <c r="C899" s="3" t="s">
        <v>3</v>
      </c>
      <c r="D899" s="3" t="s">
        <v>3</v>
      </c>
      <c r="E899" s="3" t="s">
        <v>4</v>
      </c>
    </row>
    <row r="900" spans="1:5" hidden="1" x14ac:dyDescent="0.25">
      <c r="A900" s="3" t="s">
        <v>1795</v>
      </c>
      <c r="B900" s="3" t="s">
        <v>1796</v>
      </c>
      <c r="C900" s="3" t="s">
        <v>3</v>
      </c>
      <c r="D900" s="3" t="s">
        <v>3</v>
      </c>
      <c r="E900" s="3" t="s">
        <v>4</v>
      </c>
    </row>
    <row r="901" spans="1:5" hidden="1" x14ac:dyDescent="0.25">
      <c r="A901" s="3" t="s">
        <v>1797</v>
      </c>
      <c r="B901" s="3" t="s">
        <v>1798</v>
      </c>
      <c r="C901" s="3" t="s">
        <v>3</v>
      </c>
      <c r="D901" s="3" t="s">
        <v>3</v>
      </c>
      <c r="E901" s="3" t="s">
        <v>4</v>
      </c>
    </row>
    <row r="902" spans="1:5" hidden="1" x14ac:dyDescent="0.25">
      <c r="A902" s="3" t="s">
        <v>1799</v>
      </c>
      <c r="B902" s="3" t="s">
        <v>1800</v>
      </c>
      <c r="C902" s="3" t="s">
        <v>3</v>
      </c>
      <c r="D902" s="3" t="s">
        <v>3</v>
      </c>
      <c r="E902" s="3" t="s">
        <v>4</v>
      </c>
    </row>
    <row r="903" spans="1:5" hidden="1" x14ac:dyDescent="0.25">
      <c r="A903" s="3" t="s">
        <v>1801</v>
      </c>
      <c r="B903" s="3" t="s">
        <v>1802</v>
      </c>
      <c r="C903" s="3" t="s">
        <v>3</v>
      </c>
      <c r="D903" s="3" t="s">
        <v>3</v>
      </c>
      <c r="E903" s="3" t="s">
        <v>4</v>
      </c>
    </row>
    <row r="904" spans="1:5" hidden="1" x14ac:dyDescent="0.25">
      <c r="A904" s="3" t="s">
        <v>1803</v>
      </c>
      <c r="B904" s="3" t="s">
        <v>1804</v>
      </c>
      <c r="C904" s="3" t="s">
        <v>3</v>
      </c>
      <c r="D904" s="3" t="s">
        <v>3</v>
      </c>
      <c r="E904" s="3" t="s">
        <v>4</v>
      </c>
    </row>
    <row r="905" spans="1:5" hidden="1" x14ac:dyDescent="0.25">
      <c r="A905" s="3" t="s">
        <v>1805</v>
      </c>
      <c r="B905" s="3" t="s">
        <v>1806</v>
      </c>
      <c r="C905" s="3" t="s">
        <v>3</v>
      </c>
      <c r="D905" s="3" t="s">
        <v>3</v>
      </c>
      <c r="E905" s="3" t="s">
        <v>4</v>
      </c>
    </row>
    <row r="906" spans="1:5" hidden="1" x14ac:dyDescent="0.25">
      <c r="A906" s="3" t="s">
        <v>1807</v>
      </c>
      <c r="B906" s="3" t="s">
        <v>1808</v>
      </c>
      <c r="C906" s="3" t="s">
        <v>3</v>
      </c>
      <c r="D906" s="3" t="s">
        <v>3</v>
      </c>
      <c r="E906" s="3" t="s">
        <v>4</v>
      </c>
    </row>
    <row r="907" spans="1:5" hidden="1" x14ac:dyDescent="0.25">
      <c r="A907" s="3" t="s">
        <v>1809</v>
      </c>
      <c r="B907" s="3" t="s">
        <v>1810</v>
      </c>
      <c r="C907" s="3" t="s">
        <v>3</v>
      </c>
      <c r="D907" s="3" t="s">
        <v>3</v>
      </c>
      <c r="E907" s="3" t="s">
        <v>4</v>
      </c>
    </row>
    <row r="908" spans="1:5" hidden="1" x14ac:dyDescent="0.25">
      <c r="A908" s="3" t="s">
        <v>1811</v>
      </c>
      <c r="B908" s="3" t="s">
        <v>1812</v>
      </c>
      <c r="C908" s="3" t="s">
        <v>3</v>
      </c>
      <c r="D908" s="3" t="s">
        <v>3</v>
      </c>
      <c r="E908" s="3" t="s">
        <v>4</v>
      </c>
    </row>
    <row r="909" spans="1:5" hidden="1" x14ac:dyDescent="0.25">
      <c r="A909" s="3" t="s">
        <v>1813</v>
      </c>
      <c r="B909" s="3" t="s">
        <v>1814</v>
      </c>
      <c r="C909" s="3" t="s">
        <v>3</v>
      </c>
      <c r="D909" s="3" t="s">
        <v>3</v>
      </c>
      <c r="E909" s="3" t="s">
        <v>4</v>
      </c>
    </row>
    <row r="910" spans="1:5" hidden="1" x14ac:dyDescent="0.25">
      <c r="A910" s="3" t="s">
        <v>1815</v>
      </c>
      <c r="B910" s="3" t="s">
        <v>1816</v>
      </c>
      <c r="C910" s="3" t="s">
        <v>3</v>
      </c>
      <c r="D910" s="3" t="s">
        <v>3</v>
      </c>
      <c r="E910" s="3" t="s">
        <v>4</v>
      </c>
    </row>
    <row r="911" spans="1:5" hidden="1" x14ac:dyDescent="0.25">
      <c r="A911" s="3" t="s">
        <v>1817</v>
      </c>
      <c r="B911" s="3" t="s">
        <v>1818</v>
      </c>
      <c r="C911" s="3" t="s">
        <v>3</v>
      </c>
      <c r="D911" s="3" t="s">
        <v>3</v>
      </c>
      <c r="E911" s="3" t="s">
        <v>4</v>
      </c>
    </row>
    <row r="912" spans="1:5" hidden="1" x14ac:dyDescent="0.25">
      <c r="A912" s="3" t="s">
        <v>1819</v>
      </c>
      <c r="B912" s="3" t="s">
        <v>1820</v>
      </c>
      <c r="C912" s="3" t="s">
        <v>3</v>
      </c>
      <c r="D912" s="3" t="s">
        <v>3</v>
      </c>
      <c r="E912" s="3" t="s">
        <v>4</v>
      </c>
    </row>
    <row r="913" spans="1:5" hidden="1" x14ac:dyDescent="0.25">
      <c r="A913" s="3" t="s">
        <v>1821</v>
      </c>
      <c r="B913" s="3" t="s">
        <v>1822</v>
      </c>
      <c r="C913" s="3" t="s">
        <v>3</v>
      </c>
      <c r="D913" s="3" t="s">
        <v>3</v>
      </c>
      <c r="E913" s="3" t="s">
        <v>4</v>
      </c>
    </row>
    <row r="914" spans="1:5" hidden="1" x14ac:dyDescent="0.25">
      <c r="A914" s="3" t="s">
        <v>1823</v>
      </c>
      <c r="B914" s="3" t="s">
        <v>1824</v>
      </c>
      <c r="C914" s="3" t="s">
        <v>3</v>
      </c>
      <c r="D914" s="3" t="s">
        <v>3</v>
      </c>
      <c r="E914" s="3" t="s">
        <v>4</v>
      </c>
    </row>
    <row r="915" spans="1:5" hidden="1" x14ac:dyDescent="0.25">
      <c r="A915" s="3" t="s">
        <v>1825</v>
      </c>
      <c r="B915" s="3" t="s">
        <v>1826</v>
      </c>
      <c r="C915" s="3" t="s">
        <v>3</v>
      </c>
      <c r="D915" s="3" t="s">
        <v>3</v>
      </c>
      <c r="E915" s="3" t="s">
        <v>4</v>
      </c>
    </row>
    <row r="916" spans="1:5" hidden="1" x14ac:dyDescent="0.25">
      <c r="A916" s="3" t="s">
        <v>1827</v>
      </c>
      <c r="B916" s="3" t="s">
        <v>1828</v>
      </c>
      <c r="C916" s="3" t="s">
        <v>3</v>
      </c>
      <c r="D916" s="3" t="s">
        <v>3</v>
      </c>
      <c r="E916" s="3" t="s">
        <v>4</v>
      </c>
    </row>
    <row r="917" spans="1:5" hidden="1" x14ac:dyDescent="0.25">
      <c r="A917" s="3" t="s">
        <v>1829</v>
      </c>
      <c r="B917" s="3" t="s">
        <v>1830</v>
      </c>
      <c r="C917" s="3" t="s">
        <v>3</v>
      </c>
      <c r="D917" s="3" t="s">
        <v>3</v>
      </c>
      <c r="E917" s="3" t="s">
        <v>4</v>
      </c>
    </row>
    <row r="918" spans="1:5" hidden="1" x14ac:dyDescent="0.25">
      <c r="A918" s="3" t="s">
        <v>1831</v>
      </c>
      <c r="B918" s="3" t="s">
        <v>1832</v>
      </c>
      <c r="C918" s="3" t="s">
        <v>3</v>
      </c>
      <c r="D918" s="3" t="s">
        <v>3</v>
      </c>
      <c r="E918" s="3" t="s">
        <v>4</v>
      </c>
    </row>
    <row r="919" spans="1:5" hidden="1" x14ac:dyDescent="0.25">
      <c r="A919" s="3" t="s">
        <v>1833</v>
      </c>
      <c r="B919" s="3" t="s">
        <v>1834</v>
      </c>
      <c r="C919" s="3" t="s">
        <v>3</v>
      </c>
      <c r="D919" s="3" t="s">
        <v>3</v>
      </c>
      <c r="E919" s="3" t="s">
        <v>4</v>
      </c>
    </row>
    <row r="920" spans="1:5" hidden="1" x14ac:dyDescent="0.25">
      <c r="A920" s="3" t="s">
        <v>1835</v>
      </c>
      <c r="B920" s="3" t="s">
        <v>1836</v>
      </c>
      <c r="C920" s="3" t="s">
        <v>3</v>
      </c>
      <c r="D920" s="3" t="s">
        <v>3</v>
      </c>
      <c r="E920" s="3" t="s">
        <v>4</v>
      </c>
    </row>
    <row r="921" spans="1:5" hidden="1" x14ac:dyDescent="0.25">
      <c r="A921" s="3" t="s">
        <v>1837</v>
      </c>
      <c r="B921" s="3" t="s">
        <v>1838</v>
      </c>
      <c r="C921" s="3" t="s">
        <v>3</v>
      </c>
      <c r="D921" s="3" t="s">
        <v>3</v>
      </c>
      <c r="E921" s="3" t="s">
        <v>4</v>
      </c>
    </row>
    <row r="922" spans="1:5" hidden="1" x14ac:dyDescent="0.25">
      <c r="A922" s="3" t="s">
        <v>1839</v>
      </c>
      <c r="B922" s="3" t="s">
        <v>1840</v>
      </c>
      <c r="C922" s="3" t="s">
        <v>3</v>
      </c>
      <c r="D922" s="3" t="s">
        <v>3</v>
      </c>
      <c r="E922" s="3" t="s">
        <v>4</v>
      </c>
    </row>
    <row r="923" spans="1:5" hidden="1" x14ac:dyDescent="0.25">
      <c r="A923" s="3" t="s">
        <v>1841</v>
      </c>
      <c r="B923" s="3" t="s">
        <v>1842</v>
      </c>
      <c r="C923" s="3" t="s">
        <v>3</v>
      </c>
      <c r="D923" s="3" t="s">
        <v>3</v>
      </c>
      <c r="E923" s="3" t="s">
        <v>4</v>
      </c>
    </row>
    <row r="924" spans="1:5" hidden="1" x14ac:dyDescent="0.25">
      <c r="A924" s="3" t="s">
        <v>1843</v>
      </c>
      <c r="B924" s="3" t="s">
        <v>1844</v>
      </c>
      <c r="C924" s="3" t="s">
        <v>3</v>
      </c>
      <c r="D924" s="3" t="s">
        <v>3</v>
      </c>
      <c r="E924" s="3" t="s">
        <v>4</v>
      </c>
    </row>
    <row r="925" spans="1:5" hidden="1" x14ac:dyDescent="0.25">
      <c r="A925" s="3" t="s">
        <v>1845</v>
      </c>
      <c r="B925" s="3" t="s">
        <v>1846</v>
      </c>
      <c r="C925" s="3" t="s">
        <v>3</v>
      </c>
      <c r="D925" s="3" t="s">
        <v>3</v>
      </c>
      <c r="E925" s="3" t="s">
        <v>4</v>
      </c>
    </row>
    <row r="926" spans="1:5" hidden="1" x14ac:dyDescent="0.25">
      <c r="A926" s="3" t="s">
        <v>1847</v>
      </c>
      <c r="B926" s="3" t="s">
        <v>1848</v>
      </c>
      <c r="C926" s="3" t="s">
        <v>3</v>
      </c>
      <c r="D926" s="3" t="s">
        <v>3</v>
      </c>
      <c r="E926" s="3" t="s">
        <v>4</v>
      </c>
    </row>
    <row r="927" spans="1:5" hidden="1" x14ac:dyDescent="0.25">
      <c r="A927" s="3" t="s">
        <v>1849</v>
      </c>
      <c r="B927" s="3" t="s">
        <v>1850</v>
      </c>
      <c r="C927" s="3" t="s">
        <v>3</v>
      </c>
      <c r="D927" s="3" t="s">
        <v>3</v>
      </c>
      <c r="E927" s="3" t="s">
        <v>4</v>
      </c>
    </row>
    <row r="928" spans="1:5" hidden="1" x14ac:dyDescent="0.25">
      <c r="A928" s="3" t="s">
        <v>1851</v>
      </c>
      <c r="B928" s="3" t="s">
        <v>1852</v>
      </c>
      <c r="C928" s="3" t="s">
        <v>3</v>
      </c>
      <c r="D928" s="3" t="s">
        <v>3</v>
      </c>
      <c r="E928" s="3" t="s">
        <v>4</v>
      </c>
    </row>
    <row r="929" spans="1:5" hidden="1" x14ac:dyDescent="0.25">
      <c r="A929" s="3" t="s">
        <v>1853</v>
      </c>
      <c r="B929" s="3" t="s">
        <v>1854</v>
      </c>
      <c r="C929" s="3" t="s">
        <v>3</v>
      </c>
      <c r="D929" s="3" t="s">
        <v>3</v>
      </c>
      <c r="E929" s="3" t="s">
        <v>4</v>
      </c>
    </row>
    <row r="930" spans="1:5" hidden="1" x14ac:dyDescent="0.25">
      <c r="A930" s="3" t="s">
        <v>1855</v>
      </c>
      <c r="B930" s="3" t="s">
        <v>1856</v>
      </c>
      <c r="C930" s="3" t="s">
        <v>3</v>
      </c>
      <c r="D930" s="3" t="s">
        <v>3</v>
      </c>
      <c r="E930" s="3" t="s">
        <v>4</v>
      </c>
    </row>
    <row r="931" spans="1:5" hidden="1" x14ac:dyDescent="0.25">
      <c r="A931" s="3" t="s">
        <v>1857</v>
      </c>
      <c r="B931" s="3" t="s">
        <v>1858</v>
      </c>
      <c r="C931" s="3" t="s">
        <v>3</v>
      </c>
      <c r="D931" s="3" t="s">
        <v>3</v>
      </c>
      <c r="E931" s="3" t="s">
        <v>4</v>
      </c>
    </row>
    <row r="932" spans="1:5" hidden="1" x14ac:dyDescent="0.25">
      <c r="A932" s="3" t="s">
        <v>1859</v>
      </c>
      <c r="B932" s="3" t="s">
        <v>1860</v>
      </c>
      <c r="C932" s="3" t="s">
        <v>3</v>
      </c>
      <c r="D932" s="3" t="s">
        <v>3</v>
      </c>
      <c r="E932" s="3" t="s">
        <v>4</v>
      </c>
    </row>
    <row r="933" spans="1:5" hidden="1" x14ac:dyDescent="0.25">
      <c r="A933" s="3" t="s">
        <v>1861</v>
      </c>
      <c r="B933" s="3" t="s">
        <v>1862</v>
      </c>
      <c r="C933" s="3" t="s">
        <v>3</v>
      </c>
      <c r="D933" s="3" t="s">
        <v>3</v>
      </c>
      <c r="E933" s="3" t="s">
        <v>4</v>
      </c>
    </row>
    <row r="934" spans="1:5" hidden="1" x14ac:dyDescent="0.25">
      <c r="A934" s="3" t="s">
        <v>1863</v>
      </c>
      <c r="B934" s="3" t="s">
        <v>1864</v>
      </c>
      <c r="C934" s="3" t="s">
        <v>3</v>
      </c>
      <c r="D934" s="3" t="s">
        <v>3</v>
      </c>
      <c r="E934" s="3" t="s">
        <v>4</v>
      </c>
    </row>
    <row r="935" spans="1:5" hidden="1" x14ac:dyDescent="0.25">
      <c r="A935" s="3" t="s">
        <v>1865</v>
      </c>
      <c r="B935" s="3" t="s">
        <v>1866</v>
      </c>
      <c r="C935" s="3" t="s">
        <v>3</v>
      </c>
      <c r="D935" s="3" t="s">
        <v>3</v>
      </c>
      <c r="E935" s="3" t="s">
        <v>4</v>
      </c>
    </row>
    <row r="936" spans="1:5" hidden="1" x14ac:dyDescent="0.25">
      <c r="A936" s="3" t="s">
        <v>1867</v>
      </c>
      <c r="B936" s="3" t="s">
        <v>1868</v>
      </c>
      <c r="C936" s="3" t="s">
        <v>3</v>
      </c>
      <c r="D936" s="3" t="s">
        <v>3</v>
      </c>
      <c r="E936" s="3" t="s">
        <v>4</v>
      </c>
    </row>
    <row r="937" spans="1:5" hidden="1" x14ac:dyDescent="0.25">
      <c r="A937" s="3" t="s">
        <v>1869</v>
      </c>
      <c r="B937" s="3" t="s">
        <v>1870</v>
      </c>
      <c r="C937" s="3" t="s">
        <v>3</v>
      </c>
      <c r="D937" s="3" t="s">
        <v>3</v>
      </c>
      <c r="E937" s="3" t="s">
        <v>4</v>
      </c>
    </row>
    <row r="938" spans="1:5" hidden="1" x14ac:dyDescent="0.25">
      <c r="A938" s="3" t="s">
        <v>1871</v>
      </c>
      <c r="B938" s="3" t="s">
        <v>1872</v>
      </c>
      <c r="C938" s="3" t="s">
        <v>3</v>
      </c>
      <c r="D938" s="3" t="s">
        <v>3</v>
      </c>
      <c r="E938" s="3" t="s">
        <v>4</v>
      </c>
    </row>
    <row r="939" spans="1:5" hidden="1" x14ac:dyDescent="0.25">
      <c r="A939" s="3" t="s">
        <v>1873</v>
      </c>
      <c r="B939" s="3" t="s">
        <v>1874</v>
      </c>
      <c r="C939" s="3" t="s">
        <v>3</v>
      </c>
      <c r="D939" s="3" t="s">
        <v>3</v>
      </c>
      <c r="E939" s="3" t="s">
        <v>4</v>
      </c>
    </row>
    <row r="940" spans="1:5" hidden="1" x14ac:dyDescent="0.25">
      <c r="A940" s="3" t="s">
        <v>1875</v>
      </c>
      <c r="B940" s="3" t="s">
        <v>1876</v>
      </c>
      <c r="C940" s="3" t="s">
        <v>3</v>
      </c>
      <c r="D940" s="3" t="s">
        <v>3</v>
      </c>
      <c r="E940" s="3" t="s">
        <v>4</v>
      </c>
    </row>
    <row r="941" spans="1:5" hidden="1" x14ac:dyDescent="0.25">
      <c r="A941" s="3" t="s">
        <v>1877</v>
      </c>
      <c r="B941" s="3" t="s">
        <v>1878</v>
      </c>
      <c r="C941" s="3" t="s">
        <v>3</v>
      </c>
      <c r="D941" s="3" t="s">
        <v>3</v>
      </c>
      <c r="E941" s="3" t="s">
        <v>4</v>
      </c>
    </row>
    <row r="942" spans="1:5" hidden="1" x14ac:dyDescent="0.25">
      <c r="A942" s="3" t="s">
        <v>1879</v>
      </c>
      <c r="B942" s="3" t="s">
        <v>1880</v>
      </c>
      <c r="C942" s="3" t="s">
        <v>3</v>
      </c>
      <c r="D942" s="3" t="s">
        <v>3</v>
      </c>
      <c r="E942" s="3" t="s">
        <v>4</v>
      </c>
    </row>
    <row r="943" spans="1:5" hidden="1" x14ac:dyDescent="0.25">
      <c r="A943" s="3" t="s">
        <v>1881</v>
      </c>
      <c r="B943" s="3" t="s">
        <v>1882</v>
      </c>
      <c r="C943" s="3" t="s">
        <v>3</v>
      </c>
      <c r="D943" s="3" t="s">
        <v>3</v>
      </c>
      <c r="E943" s="3" t="s">
        <v>4</v>
      </c>
    </row>
    <row r="944" spans="1:5" hidden="1" x14ac:dyDescent="0.25">
      <c r="A944" s="3" t="s">
        <v>1883</v>
      </c>
      <c r="B944" s="3" t="s">
        <v>1884</v>
      </c>
      <c r="C944" s="3" t="s">
        <v>3</v>
      </c>
      <c r="D944" s="3" t="s">
        <v>3</v>
      </c>
      <c r="E944" s="3" t="s">
        <v>4</v>
      </c>
    </row>
    <row r="945" spans="1:5" hidden="1" x14ac:dyDescent="0.25">
      <c r="A945" s="3" t="s">
        <v>1885</v>
      </c>
      <c r="B945" s="3" t="s">
        <v>1886</v>
      </c>
      <c r="C945" s="3" t="s">
        <v>3</v>
      </c>
      <c r="D945" s="3" t="s">
        <v>3</v>
      </c>
      <c r="E945" s="3" t="s">
        <v>4</v>
      </c>
    </row>
    <row r="946" spans="1:5" hidden="1" x14ac:dyDescent="0.25">
      <c r="A946" s="3" t="s">
        <v>1887</v>
      </c>
      <c r="B946" s="3" t="s">
        <v>1888</v>
      </c>
      <c r="C946" s="3" t="s">
        <v>3</v>
      </c>
      <c r="D946" s="3" t="s">
        <v>3</v>
      </c>
      <c r="E946" s="3" t="s">
        <v>4</v>
      </c>
    </row>
    <row r="947" spans="1:5" hidden="1" x14ac:dyDescent="0.25">
      <c r="A947" s="3" t="s">
        <v>1889</v>
      </c>
      <c r="B947" s="3" t="s">
        <v>1890</v>
      </c>
      <c r="C947" s="3" t="s">
        <v>3</v>
      </c>
      <c r="D947" s="3" t="s">
        <v>3</v>
      </c>
      <c r="E947" s="3" t="s">
        <v>4</v>
      </c>
    </row>
    <row r="948" spans="1:5" hidden="1" x14ac:dyDescent="0.25">
      <c r="A948" s="3" t="s">
        <v>1891</v>
      </c>
      <c r="B948" s="3" t="s">
        <v>1892</v>
      </c>
      <c r="C948" s="3" t="s">
        <v>3</v>
      </c>
      <c r="D948" s="3" t="s">
        <v>3</v>
      </c>
      <c r="E948" s="3" t="s">
        <v>4</v>
      </c>
    </row>
    <row r="949" spans="1:5" hidden="1" x14ac:dyDescent="0.25">
      <c r="A949" s="3" t="s">
        <v>1893</v>
      </c>
      <c r="B949" s="3" t="s">
        <v>1894</v>
      </c>
      <c r="C949" s="3" t="s">
        <v>3</v>
      </c>
      <c r="D949" s="3" t="s">
        <v>3</v>
      </c>
      <c r="E949" s="3" t="s">
        <v>4</v>
      </c>
    </row>
    <row r="950" spans="1:5" hidden="1" x14ac:dyDescent="0.25">
      <c r="A950" s="3" t="s">
        <v>1895</v>
      </c>
      <c r="B950" s="3" t="s">
        <v>1896</v>
      </c>
      <c r="C950" s="3" t="s">
        <v>3</v>
      </c>
      <c r="D950" s="3" t="s">
        <v>3</v>
      </c>
      <c r="E950" s="3" t="s">
        <v>4</v>
      </c>
    </row>
    <row r="951" spans="1:5" hidden="1" x14ac:dyDescent="0.25">
      <c r="A951" s="3" t="s">
        <v>1897</v>
      </c>
      <c r="B951" s="3" t="s">
        <v>1898</v>
      </c>
      <c r="C951" s="3" t="s">
        <v>3</v>
      </c>
      <c r="D951" s="3" t="s">
        <v>3</v>
      </c>
      <c r="E951" s="3" t="s">
        <v>4</v>
      </c>
    </row>
    <row r="952" spans="1:5" hidden="1" x14ac:dyDescent="0.25">
      <c r="A952" s="3" t="s">
        <v>1899</v>
      </c>
      <c r="B952" s="3" t="s">
        <v>1900</v>
      </c>
      <c r="C952" s="3" t="s">
        <v>3</v>
      </c>
      <c r="D952" s="3" t="s">
        <v>3</v>
      </c>
      <c r="E952" s="3" t="s">
        <v>4</v>
      </c>
    </row>
    <row r="953" spans="1:5" hidden="1" x14ac:dyDescent="0.25">
      <c r="A953" s="3" t="s">
        <v>1901</v>
      </c>
      <c r="B953" s="3" t="s">
        <v>1902</v>
      </c>
      <c r="C953" s="3" t="s">
        <v>3</v>
      </c>
      <c r="D953" s="3" t="s">
        <v>3</v>
      </c>
      <c r="E953" s="3" t="s">
        <v>4</v>
      </c>
    </row>
    <row r="954" spans="1:5" hidden="1" x14ac:dyDescent="0.25">
      <c r="A954" s="3" t="s">
        <v>1903</v>
      </c>
      <c r="B954" s="3" t="s">
        <v>1904</v>
      </c>
      <c r="C954" s="3" t="s">
        <v>3</v>
      </c>
      <c r="D954" s="3" t="s">
        <v>3</v>
      </c>
      <c r="E954" s="3" t="s">
        <v>4</v>
      </c>
    </row>
    <row r="955" spans="1:5" hidden="1" x14ac:dyDescent="0.25">
      <c r="A955" s="3" t="s">
        <v>1905</v>
      </c>
      <c r="B955" s="3" t="s">
        <v>1906</v>
      </c>
      <c r="C955" s="3" t="s">
        <v>3</v>
      </c>
      <c r="D955" s="3" t="s">
        <v>3</v>
      </c>
      <c r="E955" s="3" t="s">
        <v>4</v>
      </c>
    </row>
    <row r="956" spans="1:5" hidden="1" x14ac:dyDescent="0.25">
      <c r="A956" s="3" t="s">
        <v>1907</v>
      </c>
      <c r="B956" s="3" t="s">
        <v>1908</v>
      </c>
      <c r="C956" s="3" t="s">
        <v>3</v>
      </c>
      <c r="D956" s="3" t="s">
        <v>3</v>
      </c>
      <c r="E956" s="3" t="s">
        <v>4</v>
      </c>
    </row>
    <row r="957" spans="1:5" hidden="1" x14ac:dyDescent="0.25">
      <c r="A957" s="3" t="s">
        <v>1909</v>
      </c>
      <c r="B957" s="3" t="s">
        <v>1910</v>
      </c>
      <c r="C957" s="3" t="s">
        <v>3</v>
      </c>
      <c r="D957" s="3" t="s">
        <v>3</v>
      </c>
      <c r="E957" s="3" t="s">
        <v>4</v>
      </c>
    </row>
    <row r="958" spans="1:5" hidden="1" x14ac:dyDescent="0.25">
      <c r="A958" s="3" t="s">
        <v>1911</v>
      </c>
      <c r="B958" s="3" t="s">
        <v>1912</v>
      </c>
      <c r="C958" s="3" t="s">
        <v>3</v>
      </c>
      <c r="D958" s="3" t="s">
        <v>3</v>
      </c>
      <c r="E958" s="3" t="s">
        <v>4</v>
      </c>
    </row>
    <row r="959" spans="1:5" hidden="1" x14ac:dyDescent="0.25">
      <c r="A959" s="3" t="s">
        <v>1913</v>
      </c>
      <c r="B959" s="3" t="s">
        <v>1898</v>
      </c>
      <c r="C959" s="3" t="s">
        <v>3</v>
      </c>
      <c r="D959" s="3" t="s">
        <v>3</v>
      </c>
      <c r="E959" s="3" t="s">
        <v>4</v>
      </c>
    </row>
    <row r="960" spans="1:5" hidden="1" x14ac:dyDescent="0.25">
      <c r="A960" s="3" t="s">
        <v>1914</v>
      </c>
      <c r="B960" s="3" t="s">
        <v>1915</v>
      </c>
      <c r="C960" s="3" t="s">
        <v>3</v>
      </c>
      <c r="D960" s="3" t="s">
        <v>3</v>
      </c>
      <c r="E960" s="3" t="s">
        <v>4</v>
      </c>
    </row>
    <row r="961" spans="1:5" hidden="1" x14ac:dyDescent="0.25">
      <c r="A961" s="3" t="s">
        <v>1916</v>
      </c>
      <c r="B961" s="3" t="s">
        <v>1917</v>
      </c>
      <c r="C961" s="3" t="s">
        <v>3</v>
      </c>
      <c r="D961" s="3" t="s">
        <v>3</v>
      </c>
      <c r="E961" s="3" t="s">
        <v>4</v>
      </c>
    </row>
    <row r="962" spans="1:5" hidden="1" x14ac:dyDescent="0.25">
      <c r="A962" s="3" t="s">
        <v>1918</v>
      </c>
      <c r="B962" s="3" t="s">
        <v>1919</v>
      </c>
      <c r="C962" s="3" t="s">
        <v>3</v>
      </c>
      <c r="D962" s="3" t="s">
        <v>3</v>
      </c>
      <c r="E962" s="3" t="s">
        <v>4</v>
      </c>
    </row>
    <row r="963" spans="1:5" hidden="1" x14ac:dyDescent="0.25">
      <c r="A963" s="3" t="s">
        <v>1920</v>
      </c>
      <c r="B963" s="3" t="s">
        <v>1921</v>
      </c>
      <c r="C963" s="3" t="s">
        <v>3</v>
      </c>
      <c r="D963" s="3" t="s">
        <v>3</v>
      </c>
      <c r="E963" s="3" t="s">
        <v>4</v>
      </c>
    </row>
    <row r="964" spans="1:5" hidden="1" x14ac:dyDescent="0.25">
      <c r="A964" s="3" t="s">
        <v>1922</v>
      </c>
      <c r="B964" s="3" t="s">
        <v>1923</v>
      </c>
      <c r="C964" s="3" t="s">
        <v>3</v>
      </c>
      <c r="D964" s="3" t="s">
        <v>3</v>
      </c>
      <c r="E964" s="3" t="s">
        <v>4</v>
      </c>
    </row>
    <row r="965" spans="1:5" hidden="1" x14ac:dyDescent="0.25">
      <c r="A965" s="3" t="s">
        <v>1924</v>
      </c>
      <c r="B965" s="3" t="s">
        <v>1925</v>
      </c>
      <c r="C965" s="3" t="s">
        <v>3</v>
      </c>
      <c r="D965" s="3" t="s">
        <v>3</v>
      </c>
      <c r="E965" s="3" t="s">
        <v>4</v>
      </c>
    </row>
    <row r="966" spans="1:5" hidden="1" x14ac:dyDescent="0.25">
      <c r="A966" s="3" t="s">
        <v>1926</v>
      </c>
      <c r="B966" s="3" t="s">
        <v>1927</v>
      </c>
      <c r="C966" s="3" t="s">
        <v>3</v>
      </c>
      <c r="D966" s="3" t="s">
        <v>3</v>
      </c>
      <c r="E966" s="3" t="s">
        <v>4</v>
      </c>
    </row>
    <row r="967" spans="1:5" hidden="1" x14ac:dyDescent="0.25">
      <c r="A967" s="3" t="s">
        <v>1928</v>
      </c>
      <c r="B967" s="3" t="s">
        <v>1929</v>
      </c>
      <c r="C967" s="3" t="s">
        <v>3</v>
      </c>
      <c r="D967" s="3" t="s">
        <v>3</v>
      </c>
      <c r="E967" s="3" t="s">
        <v>4</v>
      </c>
    </row>
    <row r="968" spans="1:5" hidden="1" x14ac:dyDescent="0.25">
      <c r="A968" s="3" t="s">
        <v>1930</v>
      </c>
      <c r="B968" s="3" t="s">
        <v>1931</v>
      </c>
      <c r="C968" s="3" t="s">
        <v>3</v>
      </c>
      <c r="D968" s="3" t="s">
        <v>3</v>
      </c>
      <c r="E968" s="3" t="s">
        <v>4</v>
      </c>
    </row>
    <row r="969" spans="1:5" hidden="1" x14ac:dyDescent="0.25">
      <c r="A969" s="3" t="s">
        <v>1932</v>
      </c>
      <c r="B969" s="3" t="s">
        <v>1933</v>
      </c>
      <c r="C969" s="3" t="s">
        <v>3</v>
      </c>
      <c r="D969" s="3" t="s">
        <v>3</v>
      </c>
      <c r="E969" s="3" t="s">
        <v>4</v>
      </c>
    </row>
    <row r="970" spans="1:5" hidden="1" x14ac:dyDescent="0.25">
      <c r="A970" s="3" t="s">
        <v>1934</v>
      </c>
      <c r="B970" s="3" t="s">
        <v>1935</v>
      </c>
      <c r="C970" s="3" t="s">
        <v>3</v>
      </c>
      <c r="D970" s="3" t="s">
        <v>3</v>
      </c>
      <c r="E970" s="3" t="s">
        <v>4</v>
      </c>
    </row>
    <row r="971" spans="1:5" hidden="1" x14ac:dyDescent="0.25">
      <c r="A971" s="3" t="s">
        <v>1936</v>
      </c>
      <c r="B971" s="3" t="s">
        <v>1937</v>
      </c>
      <c r="C971" s="3" t="s">
        <v>3</v>
      </c>
      <c r="D971" s="3" t="s">
        <v>3</v>
      </c>
      <c r="E971" s="3" t="s">
        <v>4</v>
      </c>
    </row>
    <row r="972" spans="1:5" hidden="1" x14ac:dyDescent="0.25">
      <c r="A972" s="3" t="s">
        <v>1938</v>
      </c>
      <c r="B972" s="3" t="s">
        <v>1939</v>
      </c>
      <c r="C972" s="3" t="s">
        <v>3</v>
      </c>
      <c r="D972" s="3" t="s">
        <v>3</v>
      </c>
      <c r="E972" s="3" t="s">
        <v>4</v>
      </c>
    </row>
    <row r="973" spans="1:5" hidden="1" x14ac:dyDescent="0.25">
      <c r="A973" s="3" t="s">
        <v>1940</v>
      </c>
      <c r="B973" s="3" t="s">
        <v>1941</v>
      </c>
      <c r="C973" s="3" t="s">
        <v>3</v>
      </c>
      <c r="D973" s="3" t="s">
        <v>3</v>
      </c>
      <c r="E973" s="3" t="s">
        <v>4</v>
      </c>
    </row>
    <row r="974" spans="1:5" hidden="1" x14ac:dyDescent="0.25">
      <c r="A974" s="3" t="s">
        <v>1942</v>
      </c>
      <c r="B974" s="3" t="s">
        <v>1943</v>
      </c>
      <c r="C974" s="3" t="s">
        <v>3</v>
      </c>
      <c r="D974" s="3" t="s">
        <v>3</v>
      </c>
      <c r="E974" s="3" t="s">
        <v>4</v>
      </c>
    </row>
    <row r="975" spans="1:5" hidden="1" x14ac:dyDescent="0.25">
      <c r="A975" s="3" t="s">
        <v>1944</v>
      </c>
      <c r="B975" s="3" t="s">
        <v>1945</v>
      </c>
      <c r="C975" s="3" t="s">
        <v>3</v>
      </c>
      <c r="D975" s="3" t="s">
        <v>3</v>
      </c>
      <c r="E975" s="3" t="s">
        <v>4</v>
      </c>
    </row>
    <row r="976" spans="1:5" hidden="1" x14ac:dyDescent="0.25">
      <c r="A976" s="3" t="s">
        <v>1946</v>
      </c>
      <c r="B976" s="3" t="s">
        <v>1947</v>
      </c>
      <c r="C976" s="3" t="s">
        <v>3</v>
      </c>
      <c r="D976" s="3" t="s">
        <v>3</v>
      </c>
      <c r="E976" s="3" t="s">
        <v>4</v>
      </c>
    </row>
    <row r="977" spans="1:5" hidden="1" x14ac:dyDescent="0.25">
      <c r="A977" s="3" t="s">
        <v>1948</v>
      </c>
      <c r="B977" s="3" t="s">
        <v>1949</v>
      </c>
      <c r="C977" s="3" t="s">
        <v>3</v>
      </c>
      <c r="D977" s="3" t="s">
        <v>3</v>
      </c>
      <c r="E977" s="3" t="s">
        <v>4</v>
      </c>
    </row>
    <row r="978" spans="1:5" hidden="1" x14ac:dyDescent="0.25">
      <c r="A978" s="3" t="s">
        <v>1950</v>
      </c>
      <c r="B978" s="3" t="s">
        <v>1951</v>
      </c>
      <c r="C978" s="3" t="s">
        <v>3</v>
      </c>
      <c r="D978" s="3" t="s">
        <v>3</v>
      </c>
      <c r="E978" s="3" t="s">
        <v>4</v>
      </c>
    </row>
    <row r="979" spans="1:5" hidden="1" x14ac:dyDescent="0.25">
      <c r="A979" s="3" t="s">
        <v>1952</v>
      </c>
      <c r="B979" s="3" t="s">
        <v>1953</v>
      </c>
      <c r="C979" s="3" t="s">
        <v>3</v>
      </c>
      <c r="D979" s="3" t="s">
        <v>3</v>
      </c>
      <c r="E979" s="3" t="s">
        <v>4</v>
      </c>
    </row>
    <row r="980" spans="1:5" hidden="1" x14ac:dyDescent="0.25">
      <c r="A980" s="3" t="s">
        <v>1954</v>
      </c>
      <c r="B980" s="3" t="s">
        <v>1955</v>
      </c>
      <c r="C980" s="3" t="s">
        <v>3</v>
      </c>
      <c r="D980" s="3" t="s">
        <v>3</v>
      </c>
      <c r="E980" s="3" t="s">
        <v>4</v>
      </c>
    </row>
    <row r="981" spans="1:5" hidden="1" x14ac:dyDescent="0.25">
      <c r="A981" s="3" t="s">
        <v>1956</v>
      </c>
      <c r="B981" s="3" t="s">
        <v>1957</v>
      </c>
      <c r="C981" s="3" t="s">
        <v>3</v>
      </c>
      <c r="D981" s="3" t="s">
        <v>3</v>
      </c>
      <c r="E981" s="3" t="s">
        <v>4</v>
      </c>
    </row>
    <row r="982" spans="1:5" hidden="1" x14ac:dyDescent="0.25">
      <c r="A982" s="3" t="s">
        <v>1958</v>
      </c>
      <c r="B982" s="3" t="s">
        <v>1959</v>
      </c>
      <c r="C982" s="3" t="s">
        <v>3</v>
      </c>
      <c r="D982" s="3" t="s">
        <v>3</v>
      </c>
      <c r="E982" s="3" t="s">
        <v>4</v>
      </c>
    </row>
    <row r="983" spans="1:5" hidden="1" x14ac:dyDescent="0.25">
      <c r="A983" s="3" t="s">
        <v>1960</v>
      </c>
      <c r="B983" s="3" t="s">
        <v>1961</v>
      </c>
      <c r="C983" s="3" t="s">
        <v>3</v>
      </c>
      <c r="D983" s="3" t="s">
        <v>3</v>
      </c>
      <c r="E983" s="3" t="s">
        <v>4</v>
      </c>
    </row>
    <row r="984" spans="1:5" hidden="1" x14ac:dyDescent="0.25">
      <c r="A984" s="3" t="s">
        <v>1962</v>
      </c>
      <c r="B984" s="3" t="s">
        <v>1963</v>
      </c>
      <c r="C984" s="3" t="s">
        <v>3</v>
      </c>
      <c r="D984" s="3" t="s">
        <v>3</v>
      </c>
      <c r="E984" s="3" t="s">
        <v>4</v>
      </c>
    </row>
    <row r="985" spans="1:5" hidden="1" x14ac:dyDescent="0.25">
      <c r="A985" s="3" t="s">
        <v>1964</v>
      </c>
      <c r="B985" s="3" t="s">
        <v>1965</v>
      </c>
      <c r="C985" s="3" t="s">
        <v>3</v>
      </c>
      <c r="D985" s="3" t="s">
        <v>3</v>
      </c>
      <c r="E985" s="3" t="s">
        <v>4</v>
      </c>
    </row>
    <row r="986" spans="1:5" hidden="1" x14ac:dyDescent="0.25">
      <c r="A986" s="3" t="s">
        <v>1966</v>
      </c>
      <c r="B986" s="3" t="s">
        <v>1967</v>
      </c>
      <c r="C986" s="3" t="s">
        <v>3</v>
      </c>
      <c r="D986" s="3" t="s">
        <v>3</v>
      </c>
      <c r="E986" s="3" t="s">
        <v>4</v>
      </c>
    </row>
    <row r="987" spans="1:5" hidden="1" x14ac:dyDescent="0.25">
      <c r="A987" s="3" t="s">
        <v>1968</v>
      </c>
      <c r="B987" s="3" t="s">
        <v>1969</v>
      </c>
      <c r="C987" s="3" t="s">
        <v>3</v>
      </c>
      <c r="D987" s="3" t="s">
        <v>3</v>
      </c>
      <c r="E987" s="3" t="s">
        <v>4</v>
      </c>
    </row>
    <row r="988" spans="1:5" hidden="1" x14ac:dyDescent="0.25">
      <c r="A988" s="3" t="s">
        <v>1970</v>
      </c>
      <c r="B988" s="3" t="s">
        <v>1971</v>
      </c>
      <c r="C988" s="3" t="s">
        <v>3</v>
      </c>
      <c r="D988" s="3" t="s">
        <v>3</v>
      </c>
      <c r="E988" s="3" t="s">
        <v>4</v>
      </c>
    </row>
    <row r="989" spans="1:5" hidden="1" x14ac:dyDescent="0.25">
      <c r="A989" s="3" t="s">
        <v>1972</v>
      </c>
      <c r="B989" s="3" t="s">
        <v>1973</v>
      </c>
      <c r="C989" s="3" t="s">
        <v>3</v>
      </c>
      <c r="D989" s="3" t="s">
        <v>3</v>
      </c>
      <c r="E989" s="3" t="s">
        <v>4</v>
      </c>
    </row>
    <row r="990" spans="1:5" hidden="1" x14ac:dyDescent="0.25">
      <c r="A990" s="3" t="s">
        <v>1974</v>
      </c>
      <c r="B990" s="3" t="s">
        <v>1975</v>
      </c>
      <c r="C990" s="3" t="s">
        <v>3</v>
      </c>
      <c r="D990" s="3" t="s">
        <v>3</v>
      </c>
      <c r="E990" s="3" t="s">
        <v>4</v>
      </c>
    </row>
    <row r="991" spans="1:5" hidden="1" x14ac:dyDescent="0.25">
      <c r="A991" s="3" t="s">
        <v>1976</v>
      </c>
      <c r="B991" s="3" t="s">
        <v>1977</v>
      </c>
      <c r="C991" s="3" t="s">
        <v>3</v>
      </c>
      <c r="D991" s="3" t="s">
        <v>3</v>
      </c>
      <c r="E991" s="3" t="s">
        <v>4</v>
      </c>
    </row>
    <row r="992" spans="1:5" hidden="1" x14ac:dyDescent="0.25">
      <c r="A992" s="3" t="s">
        <v>1978</v>
      </c>
      <c r="B992" s="3" t="s">
        <v>1979</v>
      </c>
      <c r="C992" s="3" t="s">
        <v>3</v>
      </c>
      <c r="D992" s="3" t="s">
        <v>3</v>
      </c>
      <c r="E992" s="3" t="s">
        <v>4</v>
      </c>
    </row>
    <row r="993" spans="1:5" hidden="1" x14ac:dyDescent="0.25">
      <c r="A993" s="3" t="s">
        <v>1980</v>
      </c>
      <c r="B993" s="3" t="s">
        <v>1981</v>
      </c>
      <c r="C993" s="3" t="s">
        <v>3</v>
      </c>
      <c r="D993" s="3" t="s">
        <v>3</v>
      </c>
      <c r="E993" s="3" t="s">
        <v>4</v>
      </c>
    </row>
    <row r="994" spans="1:5" hidden="1" x14ac:dyDescent="0.25">
      <c r="A994" s="3" t="s">
        <v>1982</v>
      </c>
      <c r="B994" s="3" t="s">
        <v>1983</v>
      </c>
      <c r="C994" s="3" t="s">
        <v>3</v>
      </c>
      <c r="D994" s="3" t="s">
        <v>3</v>
      </c>
      <c r="E994" s="3" t="s">
        <v>4</v>
      </c>
    </row>
    <row r="995" spans="1:5" hidden="1" x14ac:dyDescent="0.25">
      <c r="A995" s="3" t="s">
        <v>1984</v>
      </c>
      <c r="B995" s="3" t="s">
        <v>1985</v>
      </c>
      <c r="C995" s="3" t="s">
        <v>3</v>
      </c>
      <c r="D995" s="3" t="s">
        <v>3</v>
      </c>
      <c r="E995" s="3" t="s">
        <v>4</v>
      </c>
    </row>
    <row r="996" spans="1:5" hidden="1" x14ac:dyDescent="0.25">
      <c r="A996" s="3" t="s">
        <v>1986</v>
      </c>
      <c r="B996" s="3" t="s">
        <v>1987</v>
      </c>
      <c r="C996" s="3" t="s">
        <v>3</v>
      </c>
      <c r="D996" s="3" t="s">
        <v>3</v>
      </c>
      <c r="E996" s="3" t="s">
        <v>4</v>
      </c>
    </row>
    <row r="997" spans="1:5" hidden="1" x14ac:dyDescent="0.25">
      <c r="A997" s="3" t="s">
        <v>1988</v>
      </c>
      <c r="B997" s="3" t="s">
        <v>1989</v>
      </c>
      <c r="C997" s="3" t="s">
        <v>3</v>
      </c>
      <c r="D997" s="3" t="s">
        <v>3</v>
      </c>
      <c r="E997" s="3" t="s">
        <v>4</v>
      </c>
    </row>
    <row r="998" spans="1:5" hidden="1" x14ac:dyDescent="0.25">
      <c r="A998" s="3" t="s">
        <v>1990</v>
      </c>
      <c r="B998" s="3" t="s">
        <v>1991</v>
      </c>
      <c r="C998" s="3" t="s">
        <v>3</v>
      </c>
      <c r="D998" s="3" t="s">
        <v>3</v>
      </c>
      <c r="E998" s="3" t="s">
        <v>4</v>
      </c>
    </row>
    <row r="999" spans="1:5" hidden="1" x14ac:dyDescent="0.25">
      <c r="A999" s="3" t="s">
        <v>1992</v>
      </c>
      <c r="B999" s="3" t="s">
        <v>1993</v>
      </c>
      <c r="C999" s="3" t="s">
        <v>3</v>
      </c>
      <c r="D999" s="3" t="s">
        <v>3</v>
      </c>
      <c r="E999" s="3" t="s">
        <v>4</v>
      </c>
    </row>
    <row r="1000" spans="1:5" hidden="1" x14ac:dyDescent="0.25">
      <c r="A1000" s="3" t="s">
        <v>1994</v>
      </c>
      <c r="B1000" s="3" t="s">
        <v>1995</v>
      </c>
      <c r="C1000" s="3" t="s">
        <v>3</v>
      </c>
      <c r="D1000" s="3" t="s">
        <v>3</v>
      </c>
      <c r="E1000" s="3" t="s">
        <v>4</v>
      </c>
    </row>
    <row r="1001" spans="1:5" hidden="1" x14ac:dyDescent="0.25">
      <c r="A1001" s="3" t="s">
        <v>1996</v>
      </c>
      <c r="B1001" s="3" t="s">
        <v>1997</v>
      </c>
      <c r="C1001" s="3" t="s">
        <v>3</v>
      </c>
      <c r="D1001" s="3" t="s">
        <v>3</v>
      </c>
      <c r="E1001" s="3" t="s">
        <v>4</v>
      </c>
    </row>
    <row r="1002" spans="1:5" hidden="1" x14ac:dyDescent="0.25">
      <c r="A1002" s="3" t="s">
        <v>1998</v>
      </c>
      <c r="B1002" s="3" t="s">
        <v>1999</v>
      </c>
      <c r="C1002" s="3" t="s">
        <v>3</v>
      </c>
      <c r="D1002" s="3" t="s">
        <v>3</v>
      </c>
      <c r="E1002" s="3" t="s">
        <v>4</v>
      </c>
    </row>
    <row r="1003" spans="1:5" hidden="1" x14ac:dyDescent="0.25">
      <c r="A1003" s="3" t="s">
        <v>2000</v>
      </c>
      <c r="B1003" s="3" t="s">
        <v>2001</v>
      </c>
      <c r="C1003" s="3" t="s">
        <v>3</v>
      </c>
      <c r="D1003" s="3" t="s">
        <v>3</v>
      </c>
      <c r="E1003" s="3" t="s">
        <v>4</v>
      </c>
    </row>
    <row r="1004" spans="1:5" hidden="1" x14ac:dyDescent="0.25">
      <c r="A1004" s="3" t="s">
        <v>2002</v>
      </c>
      <c r="B1004" s="3" t="s">
        <v>2003</v>
      </c>
      <c r="C1004" s="3" t="s">
        <v>3</v>
      </c>
      <c r="D1004" s="3" t="s">
        <v>3</v>
      </c>
      <c r="E1004" s="3" t="s">
        <v>4</v>
      </c>
    </row>
    <row r="1005" spans="1:5" hidden="1" x14ac:dyDescent="0.25">
      <c r="A1005" s="3" t="s">
        <v>2004</v>
      </c>
      <c r="B1005" s="3" t="s">
        <v>2005</v>
      </c>
      <c r="C1005" s="3" t="s">
        <v>3</v>
      </c>
      <c r="D1005" s="3" t="s">
        <v>3</v>
      </c>
      <c r="E1005" s="3" t="s">
        <v>4</v>
      </c>
    </row>
    <row r="1006" spans="1:5" hidden="1" x14ac:dyDescent="0.25">
      <c r="A1006" s="3" t="s">
        <v>2006</v>
      </c>
      <c r="B1006" s="3" t="s">
        <v>2007</v>
      </c>
      <c r="C1006" s="3" t="s">
        <v>3</v>
      </c>
      <c r="D1006" s="3" t="s">
        <v>3</v>
      </c>
      <c r="E1006" s="3" t="s">
        <v>4</v>
      </c>
    </row>
    <row r="1007" spans="1:5" hidden="1" x14ac:dyDescent="0.25">
      <c r="A1007" s="3" t="s">
        <v>2008</v>
      </c>
      <c r="B1007" s="3" t="s">
        <v>2009</v>
      </c>
      <c r="C1007" s="3" t="s">
        <v>3</v>
      </c>
      <c r="D1007" s="3" t="s">
        <v>3</v>
      </c>
      <c r="E1007" s="3" t="s">
        <v>4</v>
      </c>
    </row>
    <row r="1008" spans="1:5" hidden="1" x14ac:dyDescent="0.25">
      <c r="A1008" s="3" t="s">
        <v>2010</v>
      </c>
      <c r="B1008" s="3" t="s">
        <v>2011</v>
      </c>
      <c r="C1008" s="3" t="s">
        <v>3</v>
      </c>
      <c r="D1008" s="3" t="s">
        <v>3</v>
      </c>
      <c r="E1008" s="3" t="s">
        <v>4</v>
      </c>
    </row>
    <row r="1009" spans="1:5" hidden="1" x14ac:dyDescent="0.25">
      <c r="A1009" s="3" t="s">
        <v>2012</v>
      </c>
      <c r="B1009" s="3" t="s">
        <v>2013</v>
      </c>
      <c r="C1009" s="3" t="s">
        <v>3</v>
      </c>
      <c r="D1009" s="3" t="s">
        <v>3</v>
      </c>
      <c r="E1009" s="3" t="s">
        <v>4</v>
      </c>
    </row>
    <row r="1010" spans="1:5" hidden="1" x14ac:dyDescent="0.25">
      <c r="A1010" s="3" t="s">
        <v>2014</v>
      </c>
      <c r="B1010" s="3" t="s">
        <v>2015</v>
      </c>
      <c r="C1010" s="3" t="s">
        <v>3</v>
      </c>
      <c r="D1010" s="3" t="s">
        <v>3</v>
      </c>
      <c r="E1010" s="3" t="s">
        <v>4</v>
      </c>
    </row>
    <row r="1011" spans="1:5" hidden="1" x14ac:dyDescent="0.25">
      <c r="A1011" s="3" t="s">
        <v>2016</v>
      </c>
      <c r="B1011" s="3" t="s">
        <v>2017</v>
      </c>
      <c r="C1011" s="3" t="s">
        <v>3</v>
      </c>
      <c r="D1011" s="3" t="s">
        <v>3</v>
      </c>
      <c r="E1011" s="3" t="s">
        <v>4</v>
      </c>
    </row>
    <row r="1012" spans="1:5" hidden="1" x14ac:dyDescent="0.25">
      <c r="A1012" s="3" t="s">
        <v>2018</v>
      </c>
      <c r="B1012" s="3" t="s">
        <v>2019</v>
      </c>
      <c r="C1012" s="3" t="s">
        <v>3</v>
      </c>
      <c r="D1012" s="3" t="s">
        <v>3</v>
      </c>
      <c r="E1012" s="3" t="s">
        <v>4</v>
      </c>
    </row>
    <row r="1013" spans="1:5" hidden="1" x14ac:dyDescent="0.25">
      <c r="A1013" s="3" t="s">
        <v>2020</v>
      </c>
      <c r="B1013" s="3" t="s">
        <v>2021</v>
      </c>
      <c r="C1013" s="3" t="s">
        <v>3</v>
      </c>
      <c r="D1013" s="3" t="s">
        <v>3</v>
      </c>
      <c r="E1013" s="3" t="s">
        <v>4</v>
      </c>
    </row>
    <row r="1014" spans="1:5" hidden="1" x14ac:dyDescent="0.25">
      <c r="A1014" s="3" t="s">
        <v>2022</v>
      </c>
      <c r="B1014" s="3" t="s">
        <v>2023</v>
      </c>
      <c r="C1014" s="3" t="s">
        <v>3</v>
      </c>
      <c r="D1014" s="3" t="s">
        <v>3</v>
      </c>
      <c r="E1014" s="3" t="s">
        <v>4</v>
      </c>
    </row>
    <row r="1015" spans="1:5" hidden="1" x14ac:dyDescent="0.25">
      <c r="A1015" s="3" t="s">
        <v>2024</v>
      </c>
      <c r="B1015" s="3" t="s">
        <v>2025</v>
      </c>
      <c r="C1015" s="3" t="s">
        <v>3</v>
      </c>
      <c r="D1015" s="3" t="s">
        <v>3</v>
      </c>
      <c r="E1015" s="3" t="s">
        <v>4</v>
      </c>
    </row>
    <row r="1016" spans="1:5" hidden="1" x14ac:dyDescent="0.25">
      <c r="A1016" s="3" t="s">
        <v>2026</v>
      </c>
      <c r="B1016" s="3" t="s">
        <v>2027</v>
      </c>
      <c r="C1016" s="3" t="s">
        <v>3</v>
      </c>
      <c r="D1016" s="3" t="s">
        <v>3</v>
      </c>
      <c r="E1016" s="3" t="s">
        <v>4</v>
      </c>
    </row>
    <row r="1017" spans="1:5" hidden="1" x14ac:dyDescent="0.25">
      <c r="A1017" s="3" t="s">
        <v>2028</v>
      </c>
      <c r="B1017" s="3" t="s">
        <v>2029</v>
      </c>
      <c r="C1017" s="3" t="s">
        <v>3</v>
      </c>
      <c r="D1017" s="3" t="s">
        <v>3</v>
      </c>
      <c r="E1017" s="3" t="s">
        <v>4</v>
      </c>
    </row>
    <row r="1018" spans="1:5" hidden="1" x14ac:dyDescent="0.25">
      <c r="A1018" s="3" t="s">
        <v>2030</v>
      </c>
      <c r="B1018" s="3" t="s">
        <v>2031</v>
      </c>
      <c r="C1018" s="3" t="s">
        <v>3</v>
      </c>
      <c r="D1018" s="3" t="s">
        <v>3</v>
      </c>
      <c r="E1018" s="3" t="s">
        <v>4</v>
      </c>
    </row>
    <row r="1019" spans="1:5" hidden="1" x14ac:dyDescent="0.25">
      <c r="A1019" s="3" t="s">
        <v>2032</v>
      </c>
      <c r="B1019" s="3" t="s">
        <v>2033</v>
      </c>
      <c r="C1019" s="3" t="s">
        <v>3</v>
      </c>
      <c r="D1019" s="3" t="s">
        <v>3</v>
      </c>
      <c r="E1019" s="3" t="s">
        <v>4</v>
      </c>
    </row>
    <row r="1020" spans="1:5" hidden="1" x14ac:dyDescent="0.25">
      <c r="A1020" s="3" t="s">
        <v>2034</v>
      </c>
      <c r="B1020" s="3" t="s">
        <v>2035</v>
      </c>
      <c r="C1020" s="3" t="s">
        <v>3</v>
      </c>
      <c r="D1020" s="3" t="s">
        <v>3</v>
      </c>
      <c r="E1020" s="3" t="s">
        <v>4</v>
      </c>
    </row>
    <row r="1021" spans="1:5" hidden="1" x14ac:dyDescent="0.25">
      <c r="A1021" s="3" t="s">
        <v>2036</v>
      </c>
      <c r="B1021" s="3" t="s">
        <v>2037</v>
      </c>
      <c r="C1021" s="3" t="s">
        <v>3</v>
      </c>
      <c r="D1021" s="3" t="s">
        <v>3</v>
      </c>
      <c r="E1021" s="3" t="s">
        <v>4</v>
      </c>
    </row>
    <row r="1022" spans="1:5" hidden="1" x14ac:dyDescent="0.25">
      <c r="A1022" s="3" t="s">
        <v>2038</v>
      </c>
      <c r="B1022" s="3" t="s">
        <v>2039</v>
      </c>
      <c r="C1022" s="3" t="s">
        <v>3</v>
      </c>
      <c r="D1022" s="3" t="s">
        <v>3</v>
      </c>
      <c r="E1022" s="3" t="s">
        <v>4</v>
      </c>
    </row>
    <row r="1023" spans="1:5" hidden="1" x14ac:dyDescent="0.25">
      <c r="A1023" s="3" t="s">
        <v>2040</v>
      </c>
      <c r="B1023" s="3" t="s">
        <v>2041</v>
      </c>
      <c r="C1023" s="3" t="s">
        <v>3</v>
      </c>
      <c r="D1023" s="3" t="s">
        <v>3</v>
      </c>
      <c r="E1023" s="3" t="s">
        <v>4</v>
      </c>
    </row>
    <row r="1024" spans="1:5" hidden="1" x14ac:dyDescent="0.25">
      <c r="A1024" s="3" t="s">
        <v>2042</v>
      </c>
      <c r="B1024" s="3" t="s">
        <v>2043</v>
      </c>
      <c r="C1024" s="3" t="s">
        <v>3</v>
      </c>
      <c r="D1024" s="3" t="s">
        <v>3</v>
      </c>
      <c r="E1024" s="3" t="s">
        <v>4</v>
      </c>
    </row>
    <row r="1025" spans="1:5" hidden="1" x14ac:dyDescent="0.25">
      <c r="A1025" s="3" t="s">
        <v>2044</v>
      </c>
      <c r="B1025" s="3" t="s">
        <v>2045</v>
      </c>
      <c r="C1025" s="3" t="s">
        <v>3</v>
      </c>
      <c r="D1025" s="3" t="s">
        <v>3</v>
      </c>
      <c r="E1025" s="3" t="s">
        <v>4</v>
      </c>
    </row>
    <row r="1026" spans="1:5" hidden="1" x14ac:dyDescent="0.25">
      <c r="A1026" s="3" t="s">
        <v>2046</v>
      </c>
      <c r="B1026" s="3" t="s">
        <v>2047</v>
      </c>
      <c r="C1026" s="3" t="s">
        <v>3</v>
      </c>
      <c r="D1026" s="3" t="s">
        <v>3</v>
      </c>
      <c r="E1026" s="3" t="s">
        <v>4</v>
      </c>
    </row>
    <row r="1027" spans="1:5" hidden="1" x14ac:dyDescent="0.25">
      <c r="A1027" s="3" t="s">
        <v>2048</v>
      </c>
      <c r="B1027" s="3" t="s">
        <v>2049</v>
      </c>
      <c r="C1027" s="3" t="s">
        <v>3</v>
      </c>
      <c r="D1027" s="3" t="s">
        <v>3</v>
      </c>
      <c r="E1027" s="3" t="s">
        <v>4</v>
      </c>
    </row>
    <row r="1028" spans="1:5" hidden="1" x14ac:dyDescent="0.25">
      <c r="A1028" s="3" t="s">
        <v>2050</v>
      </c>
      <c r="B1028" s="3" t="s">
        <v>2051</v>
      </c>
      <c r="C1028" s="3" t="s">
        <v>3</v>
      </c>
      <c r="D1028" s="3" t="s">
        <v>3</v>
      </c>
      <c r="E1028" s="3" t="s">
        <v>4</v>
      </c>
    </row>
    <row r="1029" spans="1:5" hidden="1" x14ac:dyDescent="0.25">
      <c r="A1029" s="3" t="s">
        <v>2052</v>
      </c>
      <c r="B1029" s="3" t="s">
        <v>2053</v>
      </c>
      <c r="C1029" s="3" t="s">
        <v>3</v>
      </c>
      <c r="D1029" s="3" t="s">
        <v>3</v>
      </c>
      <c r="E1029" s="3" t="s">
        <v>4</v>
      </c>
    </row>
    <row r="1030" spans="1:5" hidden="1" x14ac:dyDescent="0.25">
      <c r="A1030" s="3" t="s">
        <v>2054</v>
      </c>
      <c r="B1030" s="3" t="s">
        <v>2055</v>
      </c>
      <c r="C1030" s="3" t="s">
        <v>3</v>
      </c>
      <c r="D1030" s="3" t="s">
        <v>3</v>
      </c>
      <c r="E1030" s="3" t="s">
        <v>4</v>
      </c>
    </row>
    <row r="1031" spans="1:5" hidden="1" x14ac:dyDescent="0.25">
      <c r="A1031" s="3" t="s">
        <v>2056</v>
      </c>
      <c r="B1031" s="3" t="s">
        <v>2057</v>
      </c>
      <c r="C1031" s="3" t="s">
        <v>3</v>
      </c>
      <c r="D1031" s="3" t="s">
        <v>3</v>
      </c>
      <c r="E1031" s="3" t="s">
        <v>4</v>
      </c>
    </row>
    <row r="1032" spans="1:5" hidden="1" x14ac:dyDescent="0.25">
      <c r="A1032" s="3" t="s">
        <v>2058</v>
      </c>
      <c r="B1032" s="3" t="s">
        <v>2059</v>
      </c>
      <c r="C1032" s="3" t="s">
        <v>3</v>
      </c>
      <c r="D1032" s="3" t="s">
        <v>3</v>
      </c>
      <c r="E1032" s="3" t="s">
        <v>4</v>
      </c>
    </row>
    <row r="1033" spans="1:5" hidden="1" x14ac:dyDescent="0.25">
      <c r="A1033" s="3" t="s">
        <v>2060</v>
      </c>
      <c r="B1033" s="3" t="s">
        <v>2061</v>
      </c>
      <c r="C1033" s="3" t="s">
        <v>3</v>
      </c>
      <c r="D1033" s="3" t="s">
        <v>3</v>
      </c>
      <c r="E1033" s="3" t="s">
        <v>4</v>
      </c>
    </row>
    <row r="1034" spans="1:5" hidden="1" x14ac:dyDescent="0.25">
      <c r="A1034" s="3" t="s">
        <v>2062</v>
      </c>
      <c r="B1034" s="3" t="s">
        <v>2063</v>
      </c>
      <c r="C1034" s="3" t="s">
        <v>3</v>
      </c>
      <c r="D1034" s="3" t="s">
        <v>3</v>
      </c>
      <c r="E1034" s="3" t="s">
        <v>4</v>
      </c>
    </row>
    <row r="1035" spans="1:5" hidden="1" x14ac:dyDescent="0.25">
      <c r="A1035" s="3" t="s">
        <v>2064</v>
      </c>
      <c r="B1035" s="3" t="s">
        <v>2065</v>
      </c>
      <c r="C1035" s="3" t="s">
        <v>3</v>
      </c>
      <c r="D1035" s="3" t="s">
        <v>3</v>
      </c>
      <c r="E1035" s="3" t="s">
        <v>4</v>
      </c>
    </row>
    <row r="1036" spans="1:5" hidden="1" x14ac:dyDescent="0.25">
      <c r="A1036" s="3" t="s">
        <v>2066</v>
      </c>
      <c r="B1036" s="3" t="s">
        <v>2067</v>
      </c>
      <c r="C1036" s="3" t="s">
        <v>3</v>
      </c>
      <c r="D1036" s="3" t="s">
        <v>3</v>
      </c>
      <c r="E1036" s="3" t="s">
        <v>4</v>
      </c>
    </row>
    <row r="1037" spans="1:5" hidden="1" x14ac:dyDescent="0.25">
      <c r="A1037" s="3" t="s">
        <v>2068</v>
      </c>
      <c r="B1037" s="3" t="s">
        <v>2069</v>
      </c>
      <c r="C1037" s="3" t="s">
        <v>3</v>
      </c>
      <c r="D1037" s="3" t="s">
        <v>3</v>
      </c>
      <c r="E1037" s="3" t="s">
        <v>4</v>
      </c>
    </row>
    <row r="1038" spans="1:5" hidden="1" x14ac:dyDescent="0.25">
      <c r="A1038" s="3" t="s">
        <v>2070</v>
      </c>
      <c r="B1038" s="3" t="s">
        <v>2071</v>
      </c>
      <c r="C1038" s="3" t="s">
        <v>3</v>
      </c>
      <c r="D1038" s="3" t="s">
        <v>3</v>
      </c>
      <c r="E1038" s="3" t="s">
        <v>4</v>
      </c>
    </row>
    <row r="1039" spans="1:5" hidden="1" x14ac:dyDescent="0.25">
      <c r="A1039" s="3" t="s">
        <v>2072</v>
      </c>
      <c r="B1039" s="3" t="s">
        <v>2073</v>
      </c>
      <c r="C1039" s="3" t="s">
        <v>3</v>
      </c>
      <c r="D1039" s="3" t="s">
        <v>3</v>
      </c>
      <c r="E1039" s="3" t="s">
        <v>4</v>
      </c>
    </row>
    <row r="1040" spans="1:5" hidden="1" x14ac:dyDescent="0.25">
      <c r="A1040" s="3" t="s">
        <v>2074</v>
      </c>
      <c r="B1040" s="3" t="s">
        <v>2075</v>
      </c>
      <c r="C1040" s="3" t="s">
        <v>3</v>
      </c>
      <c r="D1040" s="3" t="s">
        <v>3</v>
      </c>
      <c r="E1040" s="3" t="s">
        <v>4</v>
      </c>
    </row>
    <row r="1041" spans="1:5" hidden="1" x14ac:dyDescent="0.25">
      <c r="A1041" s="3" t="s">
        <v>2076</v>
      </c>
      <c r="B1041" s="3" t="s">
        <v>2077</v>
      </c>
      <c r="C1041" s="3" t="s">
        <v>3</v>
      </c>
      <c r="D1041" s="3" t="s">
        <v>3</v>
      </c>
      <c r="E1041" s="3" t="s">
        <v>4</v>
      </c>
    </row>
    <row r="1042" spans="1:5" hidden="1" x14ac:dyDescent="0.25">
      <c r="A1042" s="3" t="s">
        <v>2078</v>
      </c>
      <c r="B1042" s="3" t="s">
        <v>2079</v>
      </c>
      <c r="C1042" s="3" t="s">
        <v>3</v>
      </c>
      <c r="D1042" s="3" t="s">
        <v>3</v>
      </c>
      <c r="E1042" s="3" t="s">
        <v>4</v>
      </c>
    </row>
    <row r="1043" spans="1:5" hidden="1" x14ac:dyDescent="0.25">
      <c r="A1043" s="3" t="s">
        <v>2080</v>
      </c>
      <c r="B1043" s="3" t="s">
        <v>2081</v>
      </c>
      <c r="C1043" s="3" t="s">
        <v>3</v>
      </c>
      <c r="D1043" s="3" t="s">
        <v>3</v>
      </c>
      <c r="E1043" s="3" t="s">
        <v>4</v>
      </c>
    </row>
    <row r="1044" spans="1:5" hidden="1" x14ac:dyDescent="0.25">
      <c r="A1044" s="3" t="s">
        <v>2082</v>
      </c>
      <c r="B1044" s="3" t="s">
        <v>2083</v>
      </c>
      <c r="C1044" s="3" t="s">
        <v>3</v>
      </c>
      <c r="D1044" s="3" t="s">
        <v>3</v>
      </c>
      <c r="E1044" s="3" t="s">
        <v>4</v>
      </c>
    </row>
    <row r="1045" spans="1:5" hidden="1" x14ac:dyDescent="0.25">
      <c r="A1045" s="3" t="s">
        <v>2084</v>
      </c>
      <c r="B1045" s="3" t="s">
        <v>2085</v>
      </c>
      <c r="C1045" s="3" t="s">
        <v>3</v>
      </c>
      <c r="D1045" s="3" t="s">
        <v>3</v>
      </c>
      <c r="E1045" s="3" t="s">
        <v>4</v>
      </c>
    </row>
    <row r="1046" spans="1:5" hidden="1" x14ac:dyDescent="0.25">
      <c r="A1046" s="3" t="s">
        <v>2086</v>
      </c>
      <c r="B1046" s="3" t="s">
        <v>2087</v>
      </c>
      <c r="C1046" s="3" t="s">
        <v>3</v>
      </c>
      <c r="D1046" s="3" t="s">
        <v>3</v>
      </c>
      <c r="E1046" s="3" t="s">
        <v>4</v>
      </c>
    </row>
    <row r="1047" spans="1:5" hidden="1" x14ac:dyDescent="0.25">
      <c r="A1047" s="3" t="s">
        <v>2088</v>
      </c>
      <c r="B1047" s="3" t="s">
        <v>2089</v>
      </c>
      <c r="C1047" s="3" t="s">
        <v>3</v>
      </c>
      <c r="D1047" s="3" t="s">
        <v>3</v>
      </c>
      <c r="E1047" s="3" t="s">
        <v>4</v>
      </c>
    </row>
    <row r="1048" spans="1:5" hidden="1" x14ac:dyDescent="0.25">
      <c r="A1048" s="3" t="s">
        <v>2090</v>
      </c>
      <c r="B1048" s="3" t="s">
        <v>2091</v>
      </c>
      <c r="C1048" s="3" t="s">
        <v>3</v>
      </c>
      <c r="D1048" s="3" t="s">
        <v>3</v>
      </c>
      <c r="E1048" s="3" t="s">
        <v>4</v>
      </c>
    </row>
    <row r="1049" spans="1:5" hidden="1" x14ac:dyDescent="0.25">
      <c r="A1049" s="3" t="s">
        <v>2092</v>
      </c>
      <c r="B1049" s="3" t="s">
        <v>2093</v>
      </c>
      <c r="C1049" s="3" t="s">
        <v>3</v>
      </c>
      <c r="D1049" s="3" t="s">
        <v>3</v>
      </c>
      <c r="E1049" s="3" t="s">
        <v>4</v>
      </c>
    </row>
    <row r="1050" spans="1:5" hidden="1" x14ac:dyDescent="0.25">
      <c r="A1050" s="3" t="s">
        <v>2094</v>
      </c>
      <c r="B1050" s="3" t="s">
        <v>2095</v>
      </c>
      <c r="C1050" s="3" t="s">
        <v>3</v>
      </c>
      <c r="D1050" s="3" t="s">
        <v>3</v>
      </c>
      <c r="E1050" s="3" t="s">
        <v>4</v>
      </c>
    </row>
    <row r="1051" spans="1:5" hidden="1" x14ac:dyDescent="0.25">
      <c r="A1051" s="3" t="s">
        <v>2096</v>
      </c>
      <c r="B1051" s="3" t="s">
        <v>2097</v>
      </c>
      <c r="C1051" s="3" t="s">
        <v>3</v>
      </c>
      <c r="D1051" s="3" t="s">
        <v>3</v>
      </c>
      <c r="E1051" s="3" t="s">
        <v>4</v>
      </c>
    </row>
    <row r="1052" spans="1:5" hidden="1" x14ac:dyDescent="0.25">
      <c r="A1052" s="3" t="s">
        <v>2098</v>
      </c>
      <c r="B1052" s="3" t="s">
        <v>2099</v>
      </c>
      <c r="C1052" s="3" t="s">
        <v>3</v>
      </c>
      <c r="D1052" s="3" t="s">
        <v>3</v>
      </c>
      <c r="E1052" s="3" t="s">
        <v>4</v>
      </c>
    </row>
    <row r="1053" spans="1:5" hidden="1" x14ac:dyDescent="0.25">
      <c r="A1053" s="3" t="s">
        <v>2100</v>
      </c>
      <c r="B1053" s="3" t="s">
        <v>2101</v>
      </c>
      <c r="C1053" s="3" t="s">
        <v>3</v>
      </c>
      <c r="D1053" s="3" t="s">
        <v>3</v>
      </c>
      <c r="E1053" s="3" t="s">
        <v>4</v>
      </c>
    </row>
    <row r="1054" spans="1:5" hidden="1" x14ac:dyDescent="0.25">
      <c r="A1054" s="3" t="s">
        <v>2102</v>
      </c>
      <c r="B1054" s="3" t="s">
        <v>2103</v>
      </c>
      <c r="C1054" s="3" t="s">
        <v>3</v>
      </c>
      <c r="D1054" s="3" t="s">
        <v>3</v>
      </c>
      <c r="E1054" s="3" t="s">
        <v>4</v>
      </c>
    </row>
    <row r="1055" spans="1:5" hidden="1" x14ac:dyDescent="0.25">
      <c r="A1055" s="3" t="s">
        <v>2104</v>
      </c>
      <c r="B1055" s="3" t="s">
        <v>2105</v>
      </c>
      <c r="C1055" s="3" t="s">
        <v>3</v>
      </c>
      <c r="D1055" s="3" t="s">
        <v>3</v>
      </c>
      <c r="E1055" s="3" t="s">
        <v>4</v>
      </c>
    </row>
    <row r="1056" spans="1:5" hidden="1" x14ac:dyDescent="0.25">
      <c r="A1056" s="3" t="s">
        <v>2106</v>
      </c>
      <c r="B1056" s="3" t="s">
        <v>2107</v>
      </c>
      <c r="C1056" s="3" t="s">
        <v>3</v>
      </c>
      <c r="D1056" s="3" t="s">
        <v>3</v>
      </c>
      <c r="E1056" s="3" t="s">
        <v>4</v>
      </c>
    </row>
    <row r="1057" spans="1:5" hidden="1" x14ac:dyDescent="0.25">
      <c r="A1057" s="3" t="s">
        <v>2108</v>
      </c>
      <c r="B1057" s="3" t="s">
        <v>2109</v>
      </c>
      <c r="C1057" s="3" t="s">
        <v>3</v>
      </c>
      <c r="D1057" s="3" t="s">
        <v>3</v>
      </c>
      <c r="E1057" s="3" t="s">
        <v>4</v>
      </c>
    </row>
    <row r="1058" spans="1:5" hidden="1" x14ac:dyDescent="0.25">
      <c r="A1058" s="3" t="s">
        <v>2110</v>
      </c>
      <c r="B1058" s="3" t="s">
        <v>2111</v>
      </c>
      <c r="C1058" s="3" t="s">
        <v>3</v>
      </c>
      <c r="D1058" s="3" t="s">
        <v>3</v>
      </c>
      <c r="E1058" s="3" t="s">
        <v>4</v>
      </c>
    </row>
    <row r="1059" spans="1:5" hidden="1" x14ac:dyDescent="0.25">
      <c r="A1059" s="3" t="s">
        <v>2112</v>
      </c>
      <c r="B1059" s="3" t="s">
        <v>2113</v>
      </c>
      <c r="C1059" s="3" t="s">
        <v>3</v>
      </c>
      <c r="D1059" s="3" t="s">
        <v>3</v>
      </c>
      <c r="E1059" s="3" t="s">
        <v>4</v>
      </c>
    </row>
    <row r="1060" spans="1:5" hidden="1" x14ac:dyDescent="0.25">
      <c r="A1060" s="3" t="s">
        <v>2114</v>
      </c>
      <c r="B1060" s="3" t="s">
        <v>2115</v>
      </c>
      <c r="C1060" s="3" t="s">
        <v>3</v>
      </c>
      <c r="D1060" s="3" t="s">
        <v>3</v>
      </c>
      <c r="E1060" s="3" t="s">
        <v>4</v>
      </c>
    </row>
    <row r="1061" spans="1:5" hidden="1" x14ac:dyDescent="0.25">
      <c r="A1061" s="3" t="s">
        <v>2116</v>
      </c>
      <c r="B1061" s="3" t="s">
        <v>2117</v>
      </c>
      <c r="C1061" s="3" t="s">
        <v>3</v>
      </c>
      <c r="D1061" s="3" t="s">
        <v>3</v>
      </c>
      <c r="E1061" s="3" t="s">
        <v>4</v>
      </c>
    </row>
    <row r="1062" spans="1:5" hidden="1" x14ac:dyDescent="0.25">
      <c r="A1062" s="3" t="s">
        <v>2118</v>
      </c>
      <c r="B1062" s="3" t="s">
        <v>2119</v>
      </c>
      <c r="C1062" s="3" t="s">
        <v>3</v>
      </c>
      <c r="D1062" s="3" t="s">
        <v>3</v>
      </c>
      <c r="E1062" s="3" t="s">
        <v>4</v>
      </c>
    </row>
    <row r="1063" spans="1:5" hidden="1" x14ac:dyDescent="0.25">
      <c r="A1063" s="3" t="s">
        <v>2120</v>
      </c>
      <c r="B1063" s="3" t="s">
        <v>2121</v>
      </c>
      <c r="C1063" s="3" t="s">
        <v>3</v>
      </c>
      <c r="D1063" s="3" t="s">
        <v>3</v>
      </c>
      <c r="E1063" s="3" t="s">
        <v>4</v>
      </c>
    </row>
    <row r="1064" spans="1:5" hidden="1" x14ac:dyDescent="0.25">
      <c r="A1064" s="3" t="s">
        <v>2122</v>
      </c>
      <c r="B1064" s="3" t="s">
        <v>2123</v>
      </c>
      <c r="C1064" s="3" t="s">
        <v>3</v>
      </c>
      <c r="D1064" s="3" t="s">
        <v>3</v>
      </c>
      <c r="E1064" s="3" t="s">
        <v>4</v>
      </c>
    </row>
    <row r="1065" spans="1:5" hidden="1" x14ac:dyDescent="0.25">
      <c r="A1065" s="3" t="s">
        <v>2124</v>
      </c>
      <c r="B1065" s="3" t="s">
        <v>2125</v>
      </c>
      <c r="C1065" s="3" t="s">
        <v>3</v>
      </c>
      <c r="D1065" s="3" t="s">
        <v>3</v>
      </c>
      <c r="E1065" s="3" t="s">
        <v>4</v>
      </c>
    </row>
    <row r="1066" spans="1:5" hidden="1" x14ac:dyDescent="0.25">
      <c r="A1066" s="3" t="s">
        <v>2126</v>
      </c>
      <c r="B1066" s="3" t="s">
        <v>2127</v>
      </c>
      <c r="C1066" s="3" t="s">
        <v>3</v>
      </c>
      <c r="D1066" s="3" t="s">
        <v>3</v>
      </c>
      <c r="E1066" s="3" t="s">
        <v>4</v>
      </c>
    </row>
    <row r="1067" spans="1:5" hidden="1" x14ac:dyDescent="0.25">
      <c r="A1067" s="3" t="s">
        <v>2128</v>
      </c>
      <c r="B1067" s="3" t="s">
        <v>2129</v>
      </c>
      <c r="C1067" s="3" t="s">
        <v>3</v>
      </c>
      <c r="D1067" s="3" t="s">
        <v>3</v>
      </c>
      <c r="E1067" s="3" t="s">
        <v>4</v>
      </c>
    </row>
    <row r="1068" spans="1:5" hidden="1" x14ac:dyDescent="0.25">
      <c r="A1068" s="3" t="s">
        <v>2130</v>
      </c>
      <c r="B1068" s="3" t="s">
        <v>2131</v>
      </c>
      <c r="C1068" s="3" t="s">
        <v>3</v>
      </c>
      <c r="D1068" s="3" t="s">
        <v>3</v>
      </c>
      <c r="E1068" s="3" t="s">
        <v>4</v>
      </c>
    </row>
    <row r="1069" spans="1:5" hidden="1" x14ac:dyDescent="0.25">
      <c r="A1069" s="3" t="s">
        <v>2132</v>
      </c>
      <c r="B1069" s="3" t="s">
        <v>2133</v>
      </c>
      <c r="C1069" s="3" t="s">
        <v>3</v>
      </c>
      <c r="D1069" s="3" t="s">
        <v>3</v>
      </c>
      <c r="E1069" s="3" t="s">
        <v>4</v>
      </c>
    </row>
    <row r="1070" spans="1:5" hidden="1" x14ac:dyDescent="0.25">
      <c r="A1070" s="3" t="s">
        <v>2134</v>
      </c>
      <c r="B1070" s="3" t="s">
        <v>2135</v>
      </c>
      <c r="C1070" s="3" t="s">
        <v>3</v>
      </c>
      <c r="D1070" s="3" t="s">
        <v>3</v>
      </c>
      <c r="E1070" s="3" t="s">
        <v>4</v>
      </c>
    </row>
    <row r="1071" spans="1:5" hidden="1" x14ac:dyDescent="0.25">
      <c r="A1071" s="3" t="s">
        <v>2136</v>
      </c>
      <c r="B1071" s="3" t="s">
        <v>2137</v>
      </c>
      <c r="C1071" s="3" t="s">
        <v>3</v>
      </c>
      <c r="D1071" s="3" t="s">
        <v>3</v>
      </c>
      <c r="E1071" s="3" t="s">
        <v>4</v>
      </c>
    </row>
    <row r="1072" spans="1:5" hidden="1" x14ac:dyDescent="0.25">
      <c r="A1072" s="3" t="s">
        <v>2138</v>
      </c>
      <c r="B1072" s="3" t="s">
        <v>2139</v>
      </c>
      <c r="C1072" s="3" t="s">
        <v>3</v>
      </c>
      <c r="D1072" s="3" t="s">
        <v>3</v>
      </c>
      <c r="E1072" s="3" t="s">
        <v>4</v>
      </c>
    </row>
    <row r="1073" spans="1:9" hidden="1" x14ac:dyDescent="0.25">
      <c r="A1073" s="3" t="s">
        <v>2140</v>
      </c>
      <c r="B1073" s="3" t="s">
        <v>2141</v>
      </c>
      <c r="C1073" s="3" t="s">
        <v>3</v>
      </c>
      <c r="D1073" s="3" t="s">
        <v>3</v>
      </c>
      <c r="E1073" s="3" t="s">
        <v>4</v>
      </c>
    </row>
    <row r="1074" spans="1:9" hidden="1" x14ac:dyDescent="0.25">
      <c r="A1074" s="3" t="s">
        <v>2142</v>
      </c>
      <c r="B1074" s="3" t="s">
        <v>2143</v>
      </c>
      <c r="C1074" s="3" t="s">
        <v>3</v>
      </c>
      <c r="D1074" s="3" t="s">
        <v>3</v>
      </c>
      <c r="E1074" s="3" t="s">
        <v>4</v>
      </c>
    </row>
    <row r="1075" spans="1:9" hidden="1" x14ac:dyDescent="0.25">
      <c r="A1075" s="3" t="s">
        <v>2144</v>
      </c>
      <c r="B1075" s="3" t="s">
        <v>2145</v>
      </c>
      <c r="C1075" s="3" t="s">
        <v>3</v>
      </c>
      <c r="D1075" s="3" t="s">
        <v>3</v>
      </c>
      <c r="E1075" s="3" t="s">
        <v>4</v>
      </c>
    </row>
    <row r="1076" spans="1:9" hidden="1" x14ac:dyDescent="0.25">
      <c r="A1076" s="3" t="s">
        <v>2146</v>
      </c>
      <c r="B1076" s="3" t="s">
        <v>2147</v>
      </c>
      <c r="C1076" s="3" t="s">
        <v>3</v>
      </c>
      <c r="D1076" s="3" t="s">
        <v>3</v>
      </c>
      <c r="E1076" s="3" t="s">
        <v>4</v>
      </c>
    </row>
    <row r="1077" spans="1:9" hidden="1" x14ac:dyDescent="0.25">
      <c r="A1077" s="3" t="s">
        <v>2148</v>
      </c>
      <c r="B1077" s="3" t="s">
        <v>2149</v>
      </c>
      <c r="C1077" s="3" t="s">
        <v>3</v>
      </c>
      <c r="D1077" s="3" t="s">
        <v>3</v>
      </c>
      <c r="E1077" s="3" t="s">
        <v>4</v>
      </c>
    </row>
    <row r="1078" spans="1:9" hidden="1" x14ac:dyDescent="0.25">
      <c r="A1078" s="3" t="s">
        <v>2150</v>
      </c>
      <c r="B1078" s="3" t="s">
        <v>2151</v>
      </c>
      <c r="C1078" s="3" t="s">
        <v>3</v>
      </c>
      <c r="D1078" s="3" t="s">
        <v>3</v>
      </c>
      <c r="E1078" s="3" t="s">
        <v>4</v>
      </c>
    </row>
    <row r="1079" spans="1:9" hidden="1" x14ac:dyDescent="0.25">
      <c r="A1079" s="3" t="s">
        <v>2152</v>
      </c>
      <c r="B1079" s="3" t="s">
        <v>2153</v>
      </c>
      <c r="C1079" s="3" t="s">
        <v>3</v>
      </c>
      <c r="D1079" s="3" t="s">
        <v>3</v>
      </c>
      <c r="E1079" s="3" t="s">
        <v>4</v>
      </c>
    </row>
    <row r="1080" spans="1:9" hidden="1" x14ac:dyDescent="0.25">
      <c r="A1080" s="3" t="s">
        <v>2154</v>
      </c>
      <c r="B1080" s="3" t="s">
        <v>2155</v>
      </c>
      <c r="C1080" s="3" t="s">
        <v>3</v>
      </c>
      <c r="D1080" s="3" t="s">
        <v>3</v>
      </c>
      <c r="E1080" s="3" t="s">
        <v>4</v>
      </c>
    </row>
    <row r="1081" spans="1:9" hidden="1" x14ac:dyDescent="0.25">
      <c r="A1081" s="3" t="s">
        <v>2156</v>
      </c>
      <c r="B1081" s="3" t="s">
        <v>2157</v>
      </c>
      <c r="C1081" s="3" t="s">
        <v>3</v>
      </c>
      <c r="D1081" s="3" t="s">
        <v>3</v>
      </c>
      <c r="E1081" s="3" t="s">
        <v>4</v>
      </c>
    </row>
    <row r="1082" spans="1:9" hidden="1" x14ac:dyDescent="0.25">
      <c r="A1082" s="3" t="s">
        <v>2158</v>
      </c>
      <c r="B1082" s="3" t="s">
        <v>2159</v>
      </c>
      <c r="C1082" s="3" t="s">
        <v>3</v>
      </c>
      <c r="D1082" s="3" t="s">
        <v>3</v>
      </c>
      <c r="E1082" s="3" t="s">
        <v>4</v>
      </c>
    </row>
    <row r="1083" spans="1:9" hidden="1" x14ac:dyDescent="0.25">
      <c r="A1083" s="3" t="s">
        <v>2160</v>
      </c>
      <c r="B1083" s="3" t="s">
        <v>2161</v>
      </c>
      <c r="C1083" s="3" t="s">
        <v>3</v>
      </c>
      <c r="D1083" s="3" t="s">
        <v>3</v>
      </c>
      <c r="E1083" s="3" t="s">
        <v>4</v>
      </c>
    </row>
    <row r="1084" spans="1:9" hidden="1" x14ac:dyDescent="0.25">
      <c r="A1084" s="3" t="s">
        <v>2162</v>
      </c>
      <c r="B1084" s="3" t="s">
        <v>2163</v>
      </c>
      <c r="C1084" s="3" t="s">
        <v>3</v>
      </c>
      <c r="D1084" s="3" t="s">
        <v>3</v>
      </c>
      <c r="E1084" s="3" t="s">
        <v>4</v>
      </c>
    </row>
    <row r="1085" spans="1:9" hidden="1" x14ac:dyDescent="0.25">
      <c r="A1085" s="3" t="s">
        <v>2164</v>
      </c>
      <c r="B1085" s="3" t="s">
        <v>2165</v>
      </c>
      <c r="C1085" s="3" t="s">
        <v>3</v>
      </c>
      <c r="D1085" s="3" t="s">
        <v>3</v>
      </c>
      <c r="E1085" s="3" t="s">
        <v>4</v>
      </c>
      <c r="H1085"/>
      <c r="I1085" s="3"/>
    </row>
    <row r="1086" spans="1:9" hidden="1" x14ac:dyDescent="0.25">
      <c r="A1086" s="3" t="s">
        <v>2166</v>
      </c>
      <c r="B1086" s="3" t="s">
        <v>2167</v>
      </c>
      <c r="C1086" s="3" t="s">
        <v>3</v>
      </c>
      <c r="D1086" s="3" t="s">
        <v>3</v>
      </c>
      <c r="E1086" s="3" t="s">
        <v>4</v>
      </c>
      <c r="H1086"/>
      <c r="I1086" s="3"/>
    </row>
    <row r="1087" spans="1:9" hidden="1" x14ac:dyDescent="0.25">
      <c r="A1087" s="3" t="s">
        <v>2168</v>
      </c>
      <c r="B1087" s="3" t="s">
        <v>2169</v>
      </c>
      <c r="C1087" s="3" t="s">
        <v>3</v>
      </c>
      <c r="D1087" s="3" t="s">
        <v>3</v>
      </c>
      <c r="E1087" s="3" t="s">
        <v>4</v>
      </c>
      <c r="H1087"/>
      <c r="I1087" s="3"/>
    </row>
    <row r="1088" spans="1:9" hidden="1" x14ac:dyDescent="0.25">
      <c r="A1088" s="3" t="s">
        <v>2170</v>
      </c>
      <c r="B1088" s="3" t="s">
        <v>2171</v>
      </c>
      <c r="C1088" s="3" t="s">
        <v>3</v>
      </c>
      <c r="D1088" s="3" t="s">
        <v>3</v>
      </c>
      <c r="E1088" s="3" t="s">
        <v>4</v>
      </c>
      <c r="H1088"/>
      <c r="I1088" s="3"/>
    </row>
    <row r="1089" spans="1:9" hidden="1" x14ac:dyDescent="0.25">
      <c r="A1089" s="3" t="s">
        <v>2172</v>
      </c>
      <c r="B1089" s="3" t="s">
        <v>2173</v>
      </c>
      <c r="C1089" s="3" t="s">
        <v>3</v>
      </c>
      <c r="D1089" s="3" t="s">
        <v>3</v>
      </c>
      <c r="E1089" s="3" t="s">
        <v>4</v>
      </c>
      <c r="H1089"/>
      <c r="I1089" s="3"/>
    </row>
    <row r="1090" spans="1:9" hidden="1" x14ac:dyDescent="0.25">
      <c r="A1090" s="3" t="s">
        <v>2174</v>
      </c>
      <c r="B1090" s="3" t="s">
        <v>2175</v>
      </c>
      <c r="C1090" s="3" t="s">
        <v>3</v>
      </c>
      <c r="D1090" s="3" t="s">
        <v>3</v>
      </c>
      <c r="E1090" s="3" t="s">
        <v>4</v>
      </c>
      <c r="H1090"/>
      <c r="I1090" s="3"/>
    </row>
    <row r="1091" spans="1:9" hidden="1" x14ac:dyDescent="0.25">
      <c r="A1091" s="3" t="s">
        <v>2176</v>
      </c>
      <c r="B1091" s="3" t="s">
        <v>2177</v>
      </c>
      <c r="C1091" s="3" t="s">
        <v>3</v>
      </c>
      <c r="D1091" s="3" t="s">
        <v>3</v>
      </c>
      <c r="E1091" s="3" t="s">
        <v>4</v>
      </c>
      <c r="H1091"/>
      <c r="I1091" s="3"/>
    </row>
    <row r="1092" spans="1:9" hidden="1" x14ac:dyDescent="0.25">
      <c r="A1092" s="3" t="s">
        <v>2178</v>
      </c>
      <c r="B1092" s="3" t="s">
        <v>2179</v>
      </c>
      <c r="C1092" s="3" t="s">
        <v>3</v>
      </c>
      <c r="D1092" s="3" t="s">
        <v>3</v>
      </c>
      <c r="E1092" s="3" t="s">
        <v>4</v>
      </c>
      <c r="H1092"/>
      <c r="I1092" s="3"/>
    </row>
    <row r="1093" spans="1:9" hidden="1" x14ac:dyDescent="0.25">
      <c r="A1093" s="3" t="s">
        <v>2180</v>
      </c>
      <c r="B1093" s="3" t="s">
        <v>2181</v>
      </c>
      <c r="C1093" s="3" t="s">
        <v>3</v>
      </c>
      <c r="D1093" s="3" t="s">
        <v>3</v>
      </c>
      <c r="E1093" s="3" t="s">
        <v>4</v>
      </c>
      <c r="H1093"/>
      <c r="I1093" s="3"/>
    </row>
    <row r="1094" spans="1:9" hidden="1" x14ac:dyDescent="0.25">
      <c r="A1094" s="3" t="s">
        <v>2182</v>
      </c>
      <c r="B1094" s="3" t="s">
        <v>2183</v>
      </c>
      <c r="C1094" s="3" t="s">
        <v>3</v>
      </c>
      <c r="D1094" s="3" t="s">
        <v>3</v>
      </c>
      <c r="E1094" s="3" t="s">
        <v>4</v>
      </c>
      <c r="H1094"/>
      <c r="I1094" s="3"/>
    </row>
    <row r="1095" spans="1:9" hidden="1" x14ac:dyDescent="0.25">
      <c r="A1095" s="3" t="s">
        <v>2184</v>
      </c>
      <c r="B1095" s="3" t="s">
        <v>2185</v>
      </c>
      <c r="C1095" s="3" t="s">
        <v>3</v>
      </c>
      <c r="D1095" s="3" t="s">
        <v>3</v>
      </c>
      <c r="E1095" s="3" t="s">
        <v>4</v>
      </c>
      <c r="H1095"/>
      <c r="I1095" s="3"/>
    </row>
    <row r="1096" spans="1:9" hidden="1" x14ac:dyDescent="0.25">
      <c r="A1096" s="3" t="s">
        <v>2186</v>
      </c>
      <c r="B1096" s="3" t="s">
        <v>2187</v>
      </c>
      <c r="C1096" s="3" t="s">
        <v>3</v>
      </c>
      <c r="D1096" s="3" t="s">
        <v>3</v>
      </c>
      <c r="E1096" s="3" t="s">
        <v>4</v>
      </c>
      <c r="H1096"/>
      <c r="I1096" s="3"/>
    </row>
    <row r="1097" spans="1:9" hidden="1" x14ac:dyDescent="0.25">
      <c r="A1097" s="3" t="s">
        <v>2188</v>
      </c>
      <c r="B1097" s="3" t="s">
        <v>2189</v>
      </c>
      <c r="C1097" s="3" t="s">
        <v>3</v>
      </c>
      <c r="D1097" s="3" t="s">
        <v>3</v>
      </c>
      <c r="E1097" s="3" t="s">
        <v>4</v>
      </c>
      <c r="H1097"/>
    </row>
    <row r="1098" spans="1:9" hidden="1" x14ac:dyDescent="0.25">
      <c r="A1098" s="3" t="s">
        <v>2190</v>
      </c>
      <c r="B1098" s="3" t="s">
        <v>2191</v>
      </c>
      <c r="C1098" s="3" t="s">
        <v>3</v>
      </c>
      <c r="D1098" s="3" t="s">
        <v>3</v>
      </c>
      <c r="E1098" s="3" t="s">
        <v>4</v>
      </c>
    </row>
    <row r="1099" spans="1:9" hidden="1" x14ac:dyDescent="0.25">
      <c r="A1099" s="3" t="s">
        <v>2192</v>
      </c>
      <c r="B1099" s="3" t="s">
        <v>2193</v>
      </c>
      <c r="C1099" s="3" t="s">
        <v>3</v>
      </c>
      <c r="D1099" s="3" t="s">
        <v>3</v>
      </c>
      <c r="E1099" s="3" t="s">
        <v>4</v>
      </c>
    </row>
    <row r="1100" spans="1:9" hidden="1" x14ac:dyDescent="0.25">
      <c r="A1100" s="3" t="s">
        <v>2194</v>
      </c>
      <c r="B1100" s="3" t="s">
        <v>2195</v>
      </c>
      <c r="C1100" s="3" t="s">
        <v>3</v>
      </c>
      <c r="D1100" s="3" t="s">
        <v>3</v>
      </c>
      <c r="E1100" s="3" t="s">
        <v>4</v>
      </c>
    </row>
    <row r="1101" spans="1:9" hidden="1" x14ac:dyDescent="0.25">
      <c r="A1101" s="3" t="s">
        <v>2196</v>
      </c>
      <c r="B1101" s="3" t="s">
        <v>2197</v>
      </c>
      <c r="C1101" s="3" t="s">
        <v>3</v>
      </c>
      <c r="D1101" s="3" t="s">
        <v>3</v>
      </c>
      <c r="E1101" s="3" t="s">
        <v>4</v>
      </c>
    </row>
    <row r="1102" spans="1:9" hidden="1" x14ac:dyDescent="0.25">
      <c r="A1102" s="3" t="s">
        <v>2198</v>
      </c>
      <c r="B1102" s="3" t="s">
        <v>2199</v>
      </c>
      <c r="C1102" s="3" t="s">
        <v>3</v>
      </c>
      <c r="D1102" s="3" t="s">
        <v>3</v>
      </c>
      <c r="E1102" s="3" t="s">
        <v>4</v>
      </c>
    </row>
    <row r="1103" spans="1:9" hidden="1" x14ac:dyDescent="0.25">
      <c r="A1103" s="3" t="s">
        <v>2200</v>
      </c>
      <c r="B1103" s="3" t="s">
        <v>2201</v>
      </c>
      <c r="C1103" s="3" t="s">
        <v>3</v>
      </c>
      <c r="D1103" s="3" t="s">
        <v>3</v>
      </c>
      <c r="E1103" s="3" t="s">
        <v>4</v>
      </c>
    </row>
    <row r="1104" spans="1:9" hidden="1" x14ac:dyDescent="0.25">
      <c r="A1104" s="3" t="s">
        <v>2202</v>
      </c>
      <c r="B1104" s="3" t="s">
        <v>2203</v>
      </c>
      <c r="C1104" s="3" t="s">
        <v>3</v>
      </c>
      <c r="D1104" s="3" t="s">
        <v>3</v>
      </c>
      <c r="E1104" s="3" t="s">
        <v>4</v>
      </c>
    </row>
    <row r="1105" spans="1:5" hidden="1" x14ac:dyDescent="0.25">
      <c r="A1105" s="3" t="s">
        <v>2204</v>
      </c>
      <c r="B1105" s="3" t="s">
        <v>2205</v>
      </c>
      <c r="C1105" s="3" t="s">
        <v>3</v>
      </c>
      <c r="D1105" s="3" t="s">
        <v>3</v>
      </c>
      <c r="E1105" s="3" t="s">
        <v>4</v>
      </c>
    </row>
    <row r="1106" spans="1:5" hidden="1" x14ac:dyDescent="0.25">
      <c r="A1106" s="3" t="s">
        <v>2206</v>
      </c>
      <c r="B1106" s="3" t="s">
        <v>2207</v>
      </c>
      <c r="C1106" s="3" t="s">
        <v>3</v>
      </c>
      <c r="D1106" s="3" t="s">
        <v>3</v>
      </c>
      <c r="E1106" s="3" t="s">
        <v>4</v>
      </c>
    </row>
    <row r="1107" spans="1:5" hidden="1" x14ac:dyDescent="0.25">
      <c r="A1107" s="3" t="s">
        <v>2208</v>
      </c>
      <c r="B1107" s="3" t="s">
        <v>2209</v>
      </c>
      <c r="C1107" s="3" t="s">
        <v>3</v>
      </c>
      <c r="D1107" s="3" t="s">
        <v>3</v>
      </c>
      <c r="E1107" s="3" t="s">
        <v>4</v>
      </c>
    </row>
    <row r="1108" spans="1:5" hidden="1" x14ac:dyDescent="0.25">
      <c r="A1108" s="3" t="s">
        <v>2210</v>
      </c>
      <c r="B1108" s="3" t="s">
        <v>2211</v>
      </c>
      <c r="C1108" s="3" t="s">
        <v>3</v>
      </c>
      <c r="D1108" s="3" t="s">
        <v>3</v>
      </c>
      <c r="E1108" s="3" t="s">
        <v>4</v>
      </c>
    </row>
    <row r="1109" spans="1:5" hidden="1" x14ac:dyDescent="0.25">
      <c r="A1109" s="3" t="s">
        <v>2212</v>
      </c>
      <c r="B1109" s="3" t="s">
        <v>2213</v>
      </c>
      <c r="C1109" s="3" t="s">
        <v>3</v>
      </c>
      <c r="D1109" s="3" t="s">
        <v>3</v>
      </c>
      <c r="E1109" s="3" t="s">
        <v>4</v>
      </c>
    </row>
    <row r="1110" spans="1:5" hidden="1" x14ac:dyDescent="0.25">
      <c r="A1110" s="3" t="s">
        <v>2214</v>
      </c>
      <c r="B1110" s="3" t="s">
        <v>2215</v>
      </c>
      <c r="C1110" s="3" t="s">
        <v>3</v>
      </c>
      <c r="D1110" s="3" t="s">
        <v>3</v>
      </c>
      <c r="E1110" s="3" t="s">
        <v>4</v>
      </c>
    </row>
    <row r="1111" spans="1:5" hidden="1" x14ac:dyDescent="0.25">
      <c r="A1111" s="3" t="s">
        <v>2216</v>
      </c>
      <c r="B1111" s="3" t="s">
        <v>2217</v>
      </c>
      <c r="C1111" s="3" t="s">
        <v>3</v>
      </c>
      <c r="D1111" s="3" t="s">
        <v>3</v>
      </c>
      <c r="E1111" s="3" t="s">
        <v>4</v>
      </c>
    </row>
    <row r="1112" spans="1:5" hidden="1" x14ac:dyDescent="0.25">
      <c r="A1112" s="3" t="s">
        <v>2218</v>
      </c>
      <c r="B1112" s="3" t="s">
        <v>2219</v>
      </c>
      <c r="C1112" s="3" t="s">
        <v>3</v>
      </c>
      <c r="D1112" s="3" t="s">
        <v>3</v>
      </c>
      <c r="E1112" s="3" t="s">
        <v>4</v>
      </c>
    </row>
    <row r="1113" spans="1:5" hidden="1" x14ac:dyDescent="0.25">
      <c r="A1113" s="3" t="s">
        <v>2220</v>
      </c>
      <c r="B1113" s="3" t="s">
        <v>2221</v>
      </c>
      <c r="C1113" s="3" t="s">
        <v>3</v>
      </c>
      <c r="D1113" s="3" t="s">
        <v>3</v>
      </c>
      <c r="E1113" s="3" t="s">
        <v>4</v>
      </c>
    </row>
    <row r="1114" spans="1:5" hidden="1" x14ac:dyDescent="0.25">
      <c r="A1114" s="3" t="s">
        <v>2222</v>
      </c>
      <c r="B1114" s="3" t="s">
        <v>2223</v>
      </c>
      <c r="C1114" s="3" t="s">
        <v>3</v>
      </c>
      <c r="D1114" s="3" t="s">
        <v>3</v>
      </c>
      <c r="E1114" s="3" t="s">
        <v>4</v>
      </c>
    </row>
    <row r="1115" spans="1:5" hidden="1" x14ac:dyDescent="0.25">
      <c r="A1115" s="3" t="s">
        <v>2224</v>
      </c>
      <c r="B1115" s="3" t="s">
        <v>2225</v>
      </c>
      <c r="C1115" s="3" t="s">
        <v>3</v>
      </c>
      <c r="D1115" s="3" t="s">
        <v>3</v>
      </c>
      <c r="E1115" s="3" t="s">
        <v>4</v>
      </c>
    </row>
    <row r="1116" spans="1:5" hidden="1" x14ac:dyDescent="0.25">
      <c r="A1116" s="3" t="s">
        <v>2226</v>
      </c>
      <c r="B1116" s="3" t="s">
        <v>2227</v>
      </c>
      <c r="C1116" s="3" t="s">
        <v>3</v>
      </c>
      <c r="D1116" s="3" t="s">
        <v>3</v>
      </c>
      <c r="E1116" s="3" t="s">
        <v>4</v>
      </c>
    </row>
    <row r="1117" spans="1:5" hidden="1" x14ac:dyDescent="0.25">
      <c r="A1117" s="3" t="s">
        <v>2228</v>
      </c>
      <c r="B1117" s="3" t="s">
        <v>2229</v>
      </c>
      <c r="C1117" s="3" t="s">
        <v>3</v>
      </c>
      <c r="D1117" s="3" t="s">
        <v>3</v>
      </c>
      <c r="E1117" s="3" t="s">
        <v>4</v>
      </c>
    </row>
    <row r="1118" spans="1:5" hidden="1" x14ac:dyDescent="0.25">
      <c r="A1118" s="3" t="s">
        <v>2230</v>
      </c>
      <c r="B1118" s="3" t="s">
        <v>2231</v>
      </c>
      <c r="C1118" s="3" t="s">
        <v>3</v>
      </c>
      <c r="D1118" s="3" t="s">
        <v>3</v>
      </c>
      <c r="E1118" s="3" t="s">
        <v>4</v>
      </c>
    </row>
    <row r="1119" spans="1:5" hidden="1" x14ac:dyDescent="0.25">
      <c r="A1119" s="3" t="s">
        <v>2232</v>
      </c>
      <c r="B1119" s="3" t="s">
        <v>2233</v>
      </c>
      <c r="C1119" s="3" t="s">
        <v>3</v>
      </c>
      <c r="D1119" s="3" t="s">
        <v>3</v>
      </c>
      <c r="E1119" s="3" t="s">
        <v>4</v>
      </c>
    </row>
    <row r="1120" spans="1:5" hidden="1" x14ac:dyDescent="0.25">
      <c r="A1120" s="3" t="s">
        <v>2234</v>
      </c>
      <c r="B1120" s="3" t="s">
        <v>2235</v>
      </c>
      <c r="C1120" s="3" t="s">
        <v>3</v>
      </c>
      <c r="D1120" s="3" t="s">
        <v>3</v>
      </c>
      <c r="E1120" s="3" t="s">
        <v>4</v>
      </c>
    </row>
    <row r="1121" spans="1:5" hidden="1" x14ac:dyDescent="0.25">
      <c r="A1121" s="3" t="s">
        <v>2236</v>
      </c>
      <c r="B1121" s="3" t="s">
        <v>2237</v>
      </c>
      <c r="C1121" s="3" t="s">
        <v>3</v>
      </c>
      <c r="D1121" s="3" t="s">
        <v>3</v>
      </c>
      <c r="E1121" s="3" t="s">
        <v>4</v>
      </c>
    </row>
    <row r="1122" spans="1:5" hidden="1" x14ac:dyDescent="0.25">
      <c r="A1122" s="3" t="s">
        <v>2238</v>
      </c>
      <c r="B1122" s="3" t="s">
        <v>2239</v>
      </c>
      <c r="C1122" s="3" t="s">
        <v>3</v>
      </c>
      <c r="D1122" s="3" t="s">
        <v>3</v>
      </c>
      <c r="E1122" s="3" t="s">
        <v>4</v>
      </c>
    </row>
    <row r="1123" spans="1:5" hidden="1" x14ac:dyDescent="0.25">
      <c r="A1123" s="3" t="s">
        <v>2240</v>
      </c>
      <c r="B1123" s="3" t="s">
        <v>2241</v>
      </c>
      <c r="C1123" s="3" t="s">
        <v>3</v>
      </c>
      <c r="D1123" s="3" t="s">
        <v>3</v>
      </c>
      <c r="E1123" s="3" t="s">
        <v>4</v>
      </c>
    </row>
    <row r="1124" spans="1:5" hidden="1" x14ac:dyDescent="0.25">
      <c r="A1124" s="3" t="s">
        <v>2242</v>
      </c>
      <c r="B1124" s="3" t="s">
        <v>2243</v>
      </c>
      <c r="C1124" s="3" t="s">
        <v>3</v>
      </c>
      <c r="D1124" s="3" t="s">
        <v>3</v>
      </c>
      <c r="E1124" s="3" t="s">
        <v>4</v>
      </c>
    </row>
    <row r="1125" spans="1:5" hidden="1" x14ac:dyDescent="0.25">
      <c r="A1125" s="3" t="s">
        <v>2244</v>
      </c>
      <c r="B1125" s="3" t="s">
        <v>2245</v>
      </c>
      <c r="C1125" s="3" t="s">
        <v>3</v>
      </c>
      <c r="D1125" s="3" t="s">
        <v>3</v>
      </c>
      <c r="E1125" s="3" t="s">
        <v>4</v>
      </c>
    </row>
    <row r="1126" spans="1:5" hidden="1" x14ac:dyDescent="0.25">
      <c r="A1126" s="3" t="s">
        <v>2246</v>
      </c>
      <c r="B1126" s="3" t="s">
        <v>2247</v>
      </c>
      <c r="C1126" s="3" t="s">
        <v>3</v>
      </c>
      <c r="D1126" s="3" t="s">
        <v>3</v>
      </c>
      <c r="E1126" s="3" t="s">
        <v>4</v>
      </c>
    </row>
    <row r="1127" spans="1:5" hidden="1" x14ac:dyDescent="0.25">
      <c r="A1127" s="3" t="s">
        <v>2248</v>
      </c>
      <c r="B1127" s="3" t="s">
        <v>2249</v>
      </c>
      <c r="C1127" s="3" t="s">
        <v>3</v>
      </c>
      <c r="D1127" s="3" t="s">
        <v>3</v>
      </c>
      <c r="E1127" s="3" t="s">
        <v>4</v>
      </c>
    </row>
    <row r="1128" spans="1:5" hidden="1" x14ac:dyDescent="0.25">
      <c r="A1128" s="3" t="s">
        <v>2250</v>
      </c>
      <c r="B1128" s="3" t="s">
        <v>2251</v>
      </c>
      <c r="C1128" s="3" t="s">
        <v>3</v>
      </c>
      <c r="D1128" s="3" t="s">
        <v>3</v>
      </c>
      <c r="E1128" s="3" t="s">
        <v>4</v>
      </c>
    </row>
    <row r="1129" spans="1:5" hidden="1" x14ac:dyDescent="0.25">
      <c r="A1129" s="3" t="s">
        <v>2252</v>
      </c>
      <c r="B1129" s="3" t="s">
        <v>2253</v>
      </c>
      <c r="C1129" s="3" t="s">
        <v>3</v>
      </c>
      <c r="D1129" s="3" t="s">
        <v>3</v>
      </c>
      <c r="E1129" s="3" t="s">
        <v>4</v>
      </c>
    </row>
    <row r="1130" spans="1:5" hidden="1" x14ac:dyDescent="0.25">
      <c r="A1130" s="3" t="s">
        <v>2254</v>
      </c>
      <c r="B1130" s="3" t="s">
        <v>2255</v>
      </c>
      <c r="C1130" s="3" t="s">
        <v>3</v>
      </c>
      <c r="D1130" s="3" t="s">
        <v>3</v>
      </c>
      <c r="E1130" s="3" t="s">
        <v>4</v>
      </c>
    </row>
    <row r="1131" spans="1:5" hidden="1" x14ac:dyDescent="0.25">
      <c r="A1131" s="3" t="s">
        <v>2256</v>
      </c>
      <c r="B1131" s="3" t="s">
        <v>2257</v>
      </c>
      <c r="C1131" s="3" t="s">
        <v>3</v>
      </c>
      <c r="D1131" s="3" t="s">
        <v>3</v>
      </c>
      <c r="E1131" s="3" t="s">
        <v>4</v>
      </c>
    </row>
    <row r="1132" spans="1:5" hidden="1" x14ac:dyDescent="0.25">
      <c r="A1132" s="3" t="s">
        <v>2258</v>
      </c>
      <c r="B1132" s="3" t="s">
        <v>2259</v>
      </c>
      <c r="C1132" s="3" t="s">
        <v>3</v>
      </c>
      <c r="D1132" s="3" t="s">
        <v>3</v>
      </c>
      <c r="E1132" s="3" t="s">
        <v>4</v>
      </c>
    </row>
    <row r="1133" spans="1:5" hidden="1" x14ac:dyDescent="0.25">
      <c r="A1133" s="3" t="s">
        <v>2260</v>
      </c>
      <c r="B1133" s="3" t="s">
        <v>2261</v>
      </c>
      <c r="C1133" s="3" t="s">
        <v>3</v>
      </c>
      <c r="D1133" s="3" t="s">
        <v>3</v>
      </c>
      <c r="E1133" s="3" t="s">
        <v>4</v>
      </c>
    </row>
    <row r="1134" spans="1:5" hidden="1" x14ac:dyDescent="0.25">
      <c r="A1134" s="3" t="s">
        <v>2262</v>
      </c>
      <c r="B1134" s="3" t="s">
        <v>2263</v>
      </c>
      <c r="C1134" s="3" t="s">
        <v>3</v>
      </c>
      <c r="D1134" s="3" t="s">
        <v>3</v>
      </c>
      <c r="E1134" s="3" t="s">
        <v>4</v>
      </c>
    </row>
    <row r="1135" spans="1:5" hidden="1" x14ac:dyDescent="0.25">
      <c r="A1135" s="3" t="s">
        <v>2264</v>
      </c>
      <c r="B1135" s="3" t="s">
        <v>2265</v>
      </c>
      <c r="C1135" s="3" t="s">
        <v>3</v>
      </c>
      <c r="D1135" s="3" t="s">
        <v>3</v>
      </c>
      <c r="E1135" s="3" t="s">
        <v>4</v>
      </c>
    </row>
    <row r="1136" spans="1:5" hidden="1" x14ac:dyDescent="0.25">
      <c r="A1136" s="3" t="s">
        <v>2266</v>
      </c>
      <c r="B1136" s="3" t="s">
        <v>2267</v>
      </c>
      <c r="C1136" s="3" t="s">
        <v>3</v>
      </c>
      <c r="D1136" s="3" t="s">
        <v>3</v>
      </c>
      <c r="E1136" s="3" t="s">
        <v>4</v>
      </c>
    </row>
    <row r="1137" spans="1:5" hidden="1" x14ac:dyDescent="0.25">
      <c r="A1137" s="3" t="s">
        <v>2268</v>
      </c>
      <c r="B1137" s="3" t="s">
        <v>2269</v>
      </c>
      <c r="C1137" s="3" t="s">
        <v>3</v>
      </c>
      <c r="D1137" s="3" t="s">
        <v>3</v>
      </c>
      <c r="E1137" s="3" t="s">
        <v>4</v>
      </c>
    </row>
    <row r="1138" spans="1:5" hidden="1" x14ac:dyDescent="0.25">
      <c r="A1138" s="3" t="s">
        <v>2270</v>
      </c>
      <c r="B1138" s="3" t="s">
        <v>2271</v>
      </c>
      <c r="C1138" s="3" t="s">
        <v>3</v>
      </c>
      <c r="D1138" s="3" t="s">
        <v>3</v>
      </c>
      <c r="E1138" s="3" t="s">
        <v>4</v>
      </c>
    </row>
    <row r="1139" spans="1:5" hidden="1" x14ac:dyDescent="0.25">
      <c r="A1139" s="3" t="s">
        <v>2272</v>
      </c>
      <c r="B1139" s="3" t="s">
        <v>2273</v>
      </c>
      <c r="C1139" s="3" t="s">
        <v>3</v>
      </c>
      <c r="D1139" s="3" t="s">
        <v>3</v>
      </c>
      <c r="E1139" s="3" t="s">
        <v>4</v>
      </c>
    </row>
    <row r="1140" spans="1:5" hidden="1" x14ac:dyDescent="0.25">
      <c r="A1140" s="3" t="s">
        <v>2274</v>
      </c>
      <c r="B1140" s="3" t="s">
        <v>2275</v>
      </c>
      <c r="C1140" s="3" t="s">
        <v>3</v>
      </c>
      <c r="D1140" s="3" t="s">
        <v>3</v>
      </c>
      <c r="E1140" s="3" t="s">
        <v>4</v>
      </c>
    </row>
    <row r="1141" spans="1:5" hidden="1" x14ac:dyDescent="0.25">
      <c r="A1141" s="3" t="s">
        <v>2276</v>
      </c>
      <c r="B1141" s="3" t="s">
        <v>2277</v>
      </c>
      <c r="C1141" s="3" t="s">
        <v>3</v>
      </c>
      <c r="D1141" s="3" t="s">
        <v>3</v>
      </c>
      <c r="E1141" s="3" t="s">
        <v>4</v>
      </c>
    </row>
    <row r="1142" spans="1:5" hidden="1" x14ac:dyDescent="0.25">
      <c r="A1142" s="3" t="s">
        <v>2278</v>
      </c>
      <c r="B1142" s="3" t="s">
        <v>2279</v>
      </c>
      <c r="C1142" s="3" t="s">
        <v>3</v>
      </c>
      <c r="D1142" s="3" t="s">
        <v>3</v>
      </c>
      <c r="E1142" s="3" t="s">
        <v>4</v>
      </c>
    </row>
    <row r="1143" spans="1:5" hidden="1" x14ac:dyDescent="0.25">
      <c r="A1143" s="3" t="s">
        <v>2280</v>
      </c>
      <c r="B1143" s="3" t="s">
        <v>2281</v>
      </c>
      <c r="C1143" s="3" t="s">
        <v>3</v>
      </c>
      <c r="D1143" s="3" t="s">
        <v>3</v>
      </c>
      <c r="E1143" s="3" t="s">
        <v>4</v>
      </c>
    </row>
    <row r="1144" spans="1:5" hidden="1" x14ac:dyDescent="0.25">
      <c r="A1144" s="3" t="s">
        <v>2282</v>
      </c>
      <c r="B1144" s="3" t="s">
        <v>2283</v>
      </c>
      <c r="C1144" s="3" t="s">
        <v>3</v>
      </c>
      <c r="D1144" s="3" t="s">
        <v>3</v>
      </c>
      <c r="E1144" s="3" t="s">
        <v>4</v>
      </c>
    </row>
    <row r="1145" spans="1:5" hidden="1" x14ac:dyDescent="0.25">
      <c r="A1145" s="3" t="s">
        <v>2284</v>
      </c>
      <c r="B1145" s="3" t="s">
        <v>2285</v>
      </c>
      <c r="C1145" s="3" t="s">
        <v>3</v>
      </c>
      <c r="D1145" s="3" t="s">
        <v>3</v>
      </c>
      <c r="E1145" s="3" t="s">
        <v>4</v>
      </c>
    </row>
    <row r="1146" spans="1:5" hidden="1" x14ac:dyDescent="0.25">
      <c r="A1146" s="3" t="s">
        <v>2286</v>
      </c>
      <c r="B1146" s="3" t="s">
        <v>2287</v>
      </c>
      <c r="C1146" s="3" t="s">
        <v>3</v>
      </c>
      <c r="D1146" s="3" t="s">
        <v>3</v>
      </c>
      <c r="E1146" s="3" t="s">
        <v>4</v>
      </c>
    </row>
    <row r="1147" spans="1:5" hidden="1" x14ac:dyDescent="0.25">
      <c r="A1147" s="3" t="s">
        <v>2288</v>
      </c>
      <c r="B1147" s="3" t="s">
        <v>2289</v>
      </c>
      <c r="C1147" s="3" t="s">
        <v>3</v>
      </c>
      <c r="D1147" s="3" t="s">
        <v>3</v>
      </c>
      <c r="E1147" s="3" t="s">
        <v>4</v>
      </c>
    </row>
    <row r="1148" spans="1:5" hidden="1" x14ac:dyDescent="0.25">
      <c r="A1148" s="3" t="s">
        <v>2290</v>
      </c>
      <c r="B1148" s="3" t="s">
        <v>2291</v>
      </c>
      <c r="C1148" s="3" t="s">
        <v>3</v>
      </c>
      <c r="D1148" s="3" t="s">
        <v>3</v>
      </c>
      <c r="E1148" s="3" t="s">
        <v>4</v>
      </c>
    </row>
    <row r="1149" spans="1:5" hidden="1" x14ac:dyDescent="0.25">
      <c r="A1149" s="3" t="s">
        <v>2292</v>
      </c>
      <c r="B1149" s="3" t="s">
        <v>2293</v>
      </c>
      <c r="C1149" s="3" t="s">
        <v>3</v>
      </c>
      <c r="D1149" s="3" t="s">
        <v>3</v>
      </c>
      <c r="E1149" s="3" t="s">
        <v>4</v>
      </c>
    </row>
    <row r="1150" spans="1:5" hidden="1" x14ac:dyDescent="0.25">
      <c r="A1150" s="3" t="s">
        <v>2294</v>
      </c>
      <c r="B1150" s="3" t="s">
        <v>2295</v>
      </c>
      <c r="C1150" s="3" t="s">
        <v>3</v>
      </c>
      <c r="D1150" s="3" t="s">
        <v>3</v>
      </c>
      <c r="E1150" s="3" t="s">
        <v>4</v>
      </c>
    </row>
    <row r="1151" spans="1:5" hidden="1" x14ac:dyDescent="0.25">
      <c r="A1151" s="3" t="s">
        <v>2296</v>
      </c>
      <c r="B1151" s="3" t="s">
        <v>2297</v>
      </c>
      <c r="C1151" s="3" t="s">
        <v>3</v>
      </c>
      <c r="D1151" s="3" t="s">
        <v>3</v>
      </c>
      <c r="E1151" s="3" t="s">
        <v>4</v>
      </c>
    </row>
    <row r="1152" spans="1:5" hidden="1" x14ac:dyDescent="0.25">
      <c r="A1152" s="3" t="s">
        <v>2298</v>
      </c>
      <c r="B1152" s="3" t="s">
        <v>2299</v>
      </c>
      <c r="C1152" s="3" t="s">
        <v>3</v>
      </c>
      <c r="D1152" s="3" t="s">
        <v>3</v>
      </c>
      <c r="E1152" s="3" t="s">
        <v>4</v>
      </c>
    </row>
    <row r="1153" spans="1:5" hidden="1" x14ac:dyDescent="0.25">
      <c r="A1153" s="3" t="s">
        <v>2300</v>
      </c>
      <c r="B1153" s="3" t="s">
        <v>2301</v>
      </c>
      <c r="C1153" s="3" t="s">
        <v>3</v>
      </c>
      <c r="D1153" s="3" t="s">
        <v>3</v>
      </c>
      <c r="E1153" s="3" t="s">
        <v>4</v>
      </c>
    </row>
    <row r="1154" spans="1:5" hidden="1" x14ac:dyDescent="0.25">
      <c r="A1154" s="3" t="s">
        <v>2302</v>
      </c>
      <c r="B1154" s="3" t="s">
        <v>2303</v>
      </c>
      <c r="C1154" s="3" t="s">
        <v>3</v>
      </c>
      <c r="D1154" s="3" t="s">
        <v>3</v>
      </c>
      <c r="E1154" s="3" t="s">
        <v>4</v>
      </c>
    </row>
    <row r="1155" spans="1:5" hidden="1" x14ac:dyDescent="0.25">
      <c r="A1155" s="3" t="s">
        <v>2304</v>
      </c>
      <c r="B1155" s="3" t="s">
        <v>2305</v>
      </c>
      <c r="C1155" s="3" t="s">
        <v>3</v>
      </c>
      <c r="D1155" s="3" t="s">
        <v>3</v>
      </c>
      <c r="E1155" s="3" t="s">
        <v>4</v>
      </c>
    </row>
    <row r="1156" spans="1:5" hidden="1" x14ac:dyDescent="0.25">
      <c r="A1156" s="3" t="s">
        <v>2306</v>
      </c>
      <c r="B1156" s="3" t="s">
        <v>2307</v>
      </c>
      <c r="C1156" s="3" t="s">
        <v>3</v>
      </c>
      <c r="D1156" s="3" t="s">
        <v>3</v>
      </c>
      <c r="E1156" s="3" t="s">
        <v>4</v>
      </c>
    </row>
    <row r="1157" spans="1:5" hidden="1" x14ac:dyDescent="0.25">
      <c r="A1157" s="3" t="s">
        <v>2308</v>
      </c>
      <c r="B1157" s="3" t="s">
        <v>2309</v>
      </c>
      <c r="C1157" s="3" t="s">
        <v>3</v>
      </c>
      <c r="D1157" s="3" t="s">
        <v>3</v>
      </c>
      <c r="E1157" s="3" t="s">
        <v>4</v>
      </c>
    </row>
    <row r="1158" spans="1:5" hidden="1" x14ac:dyDescent="0.25">
      <c r="A1158" s="3" t="s">
        <v>2310</v>
      </c>
      <c r="B1158" s="3" t="s">
        <v>2311</v>
      </c>
      <c r="C1158" s="3" t="s">
        <v>3</v>
      </c>
      <c r="D1158" s="3" t="s">
        <v>3</v>
      </c>
      <c r="E1158" s="3" t="s">
        <v>4</v>
      </c>
    </row>
    <row r="1159" spans="1:5" hidden="1" x14ac:dyDescent="0.25">
      <c r="A1159" s="3" t="s">
        <v>2312</v>
      </c>
      <c r="B1159" s="3" t="s">
        <v>2313</v>
      </c>
      <c r="C1159" s="3" t="s">
        <v>3</v>
      </c>
      <c r="D1159" s="3" t="s">
        <v>3</v>
      </c>
      <c r="E1159" s="3" t="s">
        <v>4</v>
      </c>
    </row>
    <row r="1160" spans="1:5" hidden="1" x14ac:dyDescent="0.25">
      <c r="A1160" s="3" t="s">
        <v>2314</v>
      </c>
      <c r="B1160" s="3" t="s">
        <v>2315</v>
      </c>
      <c r="C1160" s="3" t="s">
        <v>3</v>
      </c>
      <c r="D1160" s="3" t="s">
        <v>3</v>
      </c>
      <c r="E1160" s="3" t="s">
        <v>4</v>
      </c>
    </row>
    <row r="1161" spans="1:5" hidden="1" x14ac:dyDescent="0.25">
      <c r="A1161" s="3" t="s">
        <v>2316</v>
      </c>
      <c r="B1161" s="3" t="s">
        <v>2317</v>
      </c>
      <c r="C1161" s="3" t="s">
        <v>3</v>
      </c>
      <c r="D1161" s="3" t="s">
        <v>3</v>
      </c>
      <c r="E1161" s="3" t="s">
        <v>4</v>
      </c>
    </row>
    <row r="1162" spans="1:5" hidden="1" x14ac:dyDescent="0.25">
      <c r="A1162" s="3" t="s">
        <v>2318</v>
      </c>
      <c r="B1162" s="3" t="s">
        <v>2319</v>
      </c>
      <c r="C1162" s="3" t="s">
        <v>3</v>
      </c>
      <c r="D1162" s="3" t="s">
        <v>3</v>
      </c>
      <c r="E1162" s="3" t="s">
        <v>4</v>
      </c>
    </row>
    <row r="1163" spans="1:5" hidden="1" x14ac:dyDescent="0.25">
      <c r="A1163" s="3" t="s">
        <v>2320</v>
      </c>
      <c r="B1163" s="3" t="s">
        <v>2321</v>
      </c>
      <c r="C1163" s="3" t="s">
        <v>3</v>
      </c>
      <c r="D1163" s="3" t="s">
        <v>3</v>
      </c>
      <c r="E1163" s="3" t="s">
        <v>4</v>
      </c>
    </row>
    <row r="1164" spans="1:5" hidden="1" x14ac:dyDescent="0.25">
      <c r="A1164" s="3" t="s">
        <v>2322</v>
      </c>
      <c r="B1164" s="3" t="s">
        <v>2323</v>
      </c>
      <c r="C1164" s="3" t="s">
        <v>3</v>
      </c>
      <c r="D1164" s="3" t="s">
        <v>3</v>
      </c>
      <c r="E1164" s="3" t="s">
        <v>4</v>
      </c>
    </row>
    <row r="1165" spans="1:5" hidden="1" x14ac:dyDescent="0.25">
      <c r="A1165" s="3" t="s">
        <v>2324</v>
      </c>
      <c r="B1165" s="3" t="s">
        <v>2325</v>
      </c>
      <c r="C1165" s="3" t="s">
        <v>3</v>
      </c>
      <c r="D1165" s="3" t="s">
        <v>3</v>
      </c>
      <c r="E1165" s="3" t="s">
        <v>4</v>
      </c>
    </row>
    <row r="1166" spans="1:5" hidden="1" x14ac:dyDescent="0.25">
      <c r="A1166" s="3" t="s">
        <v>2326</v>
      </c>
      <c r="B1166" s="3" t="s">
        <v>2327</v>
      </c>
      <c r="C1166" s="3" t="s">
        <v>3</v>
      </c>
      <c r="D1166" s="3" t="s">
        <v>3</v>
      </c>
      <c r="E1166" s="3" t="s">
        <v>4</v>
      </c>
    </row>
    <row r="1167" spans="1:5" hidden="1" x14ac:dyDescent="0.25">
      <c r="A1167" s="3" t="s">
        <v>2328</v>
      </c>
      <c r="B1167" s="3" t="s">
        <v>2329</v>
      </c>
      <c r="C1167" s="3" t="s">
        <v>3</v>
      </c>
      <c r="D1167" s="3" t="s">
        <v>3</v>
      </c>
      <c r="E1167" s="3" t="s">
        <v>4</v>
      </c>
    </row>
    <row r="1168" spans="1:5" hidden="1" x14ac:dyDescent="0.25">
      <c r="A1168" s="3" t="s">
        <v>2330</v>
      </c>
      <c r="B1168" s="3" t="s">
        <v>2331</v>
      </c>
      <c r="C1168" s="3" t="s">
        <v>3</v>
      </c>
      <c r="D1168" s="3" t="s">
        <v>3</v>
      </c>
      <c r="E1168" s="3" t="s">
        <v>4</v>
      </c>
    </row>
    <row r="1169" spans="1:5" hidden="1" x14ac:dyDescent="0.25">
      <c r="A1169" s="3" t="s">
        <v>2332</v>
      </c>
      <c r="B1169" s="3" t="s">
        <v>2333</v>
      </c>
      <c r="C1169" s="3" t="s">
        <v>3</v>
      </c>
      <c r="D1169" s="3" t="s">
        <v>3</v>
      </c>
      <c r="E1169" s="3" t="s">
        <v>4</v>
      </c>
    </row>
    <row r="1170" spans="1:5" hidden="1" x14ac:dyDescent="0.25">
      <c r="A1170" s="3" t="s">
        <v>2334</v>
      </c>
      <c r="B1170" s="3" t="s">
        <v>2335</v>
      </c>
      <c r="C1170" s="3" t="s">
        <v>3</v>
      </c>
      <c r="D1170" s="3" t="s">
        <v>3</v>
      </c>
      <c r="E1170" s="3" t="s">
        <v>4</v>
      </c>
    </row>
    <row r="1171" spans="1:5" hidden="1" x14ac:dyDescent="0.25">
      <c r="A1171" s="3" t="s">
        <v>2336</v>
      </c>
      <c r="B1171" s="3" t="s">
        <v>2337</v>
      </c>
      <c r="C1171" s="3" t="s">
        <v>3</v>
      </c>
      <c r="D1171" s="3" t="s">
        <v>3</v>
      </c>
      <c r="E1171" s="3" t="s">
        <v>4</v>
      </c>
    </row>
    <row r="1172" spans="1:5" hidden="1" x14ac:dyDescent="0.25">
      <c r="A1172" s="3" t="s">
        <v>2338</v>
      </c>
      <c r="B1172" s="3" t="s">
        <v>2339</v>
      </c>
      <c r="C1172" s="3" t="s">
        <v>3</v>
      </c>
      <c r="D1172" s="3" t="s">
        <v>3</v>
      </c>
      <c r="E1172" s="3" t="s">
        <v>4</v>
      </c>
    </row>
    <row r="1173" spans="1:5" hidden="1" x14ac:dyDescent="0.25">
      <c r="A1173" s="3" t="s">
        <v>2340</v>
      </c>
      <c r="B1173" s="3" t="s">
        <v>2341</v>
      </c>
      <c r="C1173" s="3" t="s">
        <v>3</v>
      </c>
      <c r="D1173" s="3" t="s">
        <v>3</v>
      </c>
      <c r="E1173" s="3" t="s">
        <v>4</v>
      </c>
    </row>
    <row r="1174" spans="1:5" hidden="1" x14ac:dyDescent="0.25">
      <c r="A1174" s="3" t="s">
        <v>2342</v>
      </c>
      <c r="B1174" s="3" t="s">
        <v>2343</v>
      </c>
      <c r="C1174" s="3" t="s">
        <v>3</v>
      </c>
      <c r="D1174" s="3" t="s">
        <v>3</v>
      </c>
      <c r="E1174" s="3" t="s">
        <v>4</v>
      </c>
    </row>
    <row r="1175" spans="1:5" hidden="1" x14ac:dyDescent="0.25">
      <c r="A1175" s="3" t="s">
        <v>2344</v>
      </c>
      <c r="B1175" s="3" t="s">
        <v>2345</v>
      </c>
      <c r="C1175" s="3" t="s">
        <v>3</v>
      </c>
      <c r="D1175" s="3" t="s">
        <v>3</v>
      </c>
      <c r="E1175" s="3" t="s">
        <v>4</v>
      </c>
    </row>
    <row r="1176" spans="1:5" hidden="1" x14ac:dyDescent="0.25">
      <c r="A1176" s="3" t="s">
        <v>2346</v>
      </c>
      <c r="B1176" s="3" t="s">
        <v>2347</v>
      </c>
      <c r="C1176" s="3" t="s">
        <v>3</v>
      </c>
      <c r="D1176" s="3" t="s">
        <v>3</v>
      </c>
      <c r="E1176" s="3" t="s">
        <v>4</v>
      </c>
    </row>
    <row r="1177" spans="1:5" hidden="1" x14ac:dyDescent="0.25">
      <c r="A1177" s="3" t="s">
        <v>2348</v>
      </c>
      <c r="B1177" s="3" t="s">
        <v>2349</v>
      </c>
      <c r="C1177" s="3" t="s">
        <v>3</v>
      </c>
      <c r="D1177" s="3" t="s">
        <v>3</v>
      </c>
      <c r="E1177" s="3" t="s">
        <v>4</v>
      </c>
    </row>
    <row r="1178" spans="1:5" hidden="1" x14ac:dyDescent="0.25">
      <c r="A1178" s="3" t="s">
        <v>2350</v>
      </c>
      <c r="B1178" s="3" t="s">
        <v>2351</v>
      </c>
      <c r="C1178" s="3" t="s">
        <v>3</v>
      </c>
      <c r="D1178" s="3" t="s">
        <v>3</v>
      </c>
      <c r="E1178" s="3" t="s">
        <v>4</v>
      </c>
    </row>
    <row r="1179" spans="1:5" hidden="1" x14ac:dyDescent="0.25">
      <c r="A1179" s="3" t="s">
        <v>2352</v>
      </c>
      <c r="B1179" s="3" t="s">
        <v>2353</v>
      </c>
      <c r="C1179" s="3" t="s">
        <v>3</v>
      </c>
      <c r="D1179" s="3" t="s">
        <v>3</v>
      </c>
      <c r="E1179" s="3" t="s">
        <v>4</v>
      </c>
    </row>
    <row r="1180" spans="1:5" hidden="1" x14ac:dyDescent="0.25">
      <c r="A1180" s="3" t="s">
        <v>2354</v>
      </c>
      <c r="B1180" s="3" t="s">
        <v>2355</v>
      </c>
      <c r="C1180" s="3" t="s">
        <v>3</v>
      </c>
      <c r="D1180" s="3" t="s">
        <v>3</v>
      </c>
      <c r="E1180" s="3" t="s">
        <v>4</v>
      </c>
    </row>
    <row r="1181" spans="1:5" hidden="1" x14ac:dyDescent="0.25">
      <c r="A1181" s="3" t="s">
        <v>2356</v>
      </c>
      <c r="B1181" s="3" t="s">
        <v>2357</v>
      </c>
      <c r="C1181" s="3" t="s">
        <v>3</v>
      </c>
      <c r="D1181" s="3" t="s">
        <v>3</v>
      </c>
      <c r="E1181" s="3" t="s">
        <v>4</v>
      </c>
    </row>
    <row r="1182" spans="1:5" hidden="1" x14ac:dyDescent="0.25">
      <c r="A1182" s="3" t="s">
        <v>2358</v>
      </c>
      <c r="B1182" s="3" t="s">
        <v>2359</v>
      </c>
      <c r="C1182" s="3" t="s">
        <v>3</v>
      </c>
      <c r="D1182" s="3" t="s">
        <v>3</v>
      </c>
      <c r="E1182" s="3" t="s">
        <v>4</v>
      </c>
    </row>
    <row r="1183" spans="1:5" hidden="1" x14ac:dyDescent="0.25">
      <c r="A1183" s="3" t="s">
        <v>2360</v>
      </c>
      <c r="B1183" s="3" t="s">
        <v>2361</v>
      </c>
      <c r="C1183" s="3" t="s">
        <v>3</v>
      </c>
      <c r="D1183" s="3" t="s">
        <v>3</v>
      </c>
      <c r="E1183" s="3" t="s">
        <v>4</v>
      </c>
    </row>
    <row r="1184" spans="1:5" hidden="1" x14ac:dyDescent="0.25">
      <c r="A1184" s="3" t="s">
        <v>2362</v>
      </c>
      <c r="B1184" s="3" t="s">
        <v>2363</v>
      </c>
      <c r="C1184" s="3" t="s">
        <v>3</v>
      </c>
      <c r="D1184" s="3" t="s">
        <v>3</v>
      </c>
      <c r="E1184" s="3" t="s">
        <v>4</v>
      </c>
    </row>
    <row r="1185" spans="1:5" hidden="1" x14ac:dyDescent="0.25">
      <c r="A1185" s="3" t="s">
        <v>2364</v>
      </c>
      <c r="B1185" s="3" t="s">
        <v>2365</v>
      </c>
      <c r="C1185" s="3" t="s">
        <v>3</v>
      </c>
      <c r="D1185" s="3" t="s">
        <v>3</v>
      </c>
      <c r="E1185" s="3" t="s">
        <v>4</v>
      </c>
    </row>
    <row r="1186" spans="1:5" hidden="1" x14ac:dyDescent="0.25">
      <c r="A1186" s="3" t="s">
        <v>2366</v>
      </c>
      <c r="B1186" s="3" t="s">
        <v>2367</v>
      </c>
      <c r="C1186" s="3" t="s">
        <v>3</v>
      </c>
      <c r="D1186" s="3" t="s">
        <v>3</v>
      </c>
      <c r="E1186" s="3" t="s">
        <v>4</v>
      </c>
    </row>
    <row r="1187" spans="1:5" hidden="1" x14ac:dyDescent="0.25">
      <c r="A1187" s="3" t="s">
        <v>2368</v>
      </c>
      <c r="B1187" s="3" t="s">
        <v>2369</v>
      </c>
      <c r="C1187" s="3" t="s">
        <v>3</v>
      </c>
      <c r="D1187" s="3" t="s">
        <v>3</v>
      </c>
      <c r="E1187" s="3" t="s">
        <v>4</v>
      </c>
    </row>
    <row r="1188" spans="1:5" hidden="1" x14ac:dyDescent="0.25">
      <c r="A1188" s="3" t="s">
        <v>2370</v>
      </c>
      <c r="B1188" s="3" t="s">
        <v>2371</v>
      </c>
      <c r="C1188" s="3" t="s">
        <v>3</v>
      </c>
      <c r="D1188" s="3" t="s">
        <v>3</v>
      </c>
      <c r="E1188" s="3" t="s">
        <v>4</v>
      </c>
    </row>
    <row r="1189" spans="1:5" hidden="1" x14ac:dyDescent="0.25">
      <c r="A1189" s="3" t="s">
        <v>2372</v>
      </c>
      <c r="B1189" s="3" t="s">
        <v>2373</v>
      </c>
      <c r="C1189" s="3" t="s">
        <v>3</v>
      </c>
      <c r="D1189" s="3" t="s">
        <v>3</v>
      </c>
      <c r="E1189" s="3" t="s">
        <v>4</v>
      </c>
    </row>
    <row r="1190" spans="1:5" hidden="1" x14ac:dyDescent="0.25">
      <c r="A1190" s="3" t="s">
        <v>2374</v>
      </c>
      <c r="B1190" s="3" t="s">
        <v>2375</v>
      </c>
      <c r="C1190" s="3" t="s">
        <v>3</v>
      </c>
      <c r="D1190" s="3" t="s">
        <v>3</v>
      </c>
      <c r="E1190" s="3" t="s">
        <v>4</v>
      </c>
    </row>
    <row r="1191" spans="1:5" hidden="1" x14ac:dyDescent="0.25">
      <c r="A1191" s="3" t="s">
        <v>2376</v>
      </c>
      <c r="B1191" s="3" t="s">
        <v>2377</v>
      </c>
      <c r="C1191" s="3" t="s">
        <v>3</v>
      </c>
      <c r="D1191" s="3" t="s">
        <v>3</v>
      </c>
      <c r="E1191" s="3" t="s">
        <v>4</v>
      </c>
    </row>
    <row r="1192" spans="1:5" hidden="1" x14ac:dyDescent="0.25">
      <c r="A1192" s="3" t="s">
        <v>2378</v>
      </c>
      <c r="B1192" s="3" t="s">
        <v>2379</v>
      </c>
      <c r="C1192" s="3" t="s">
        <v>3</v>
      </c>
      <c r="D1192" s="3" t="s">
        <v>3</v>
      </c>
      <c r="E1192" s="3" t="s">
        <v>4</v>
      </c>
    </row>
    <row r="1193" spans="1:5" hidden="1" x14ac:dyDescent="0.25">
      <c r="A1193" s="3" t="s">
        <v>2380</v>
      </c>
      <c r="B1193" s="3" t="s">
        <v>2381</v>
      </c>
      <c r="C1193" s="3" t="s">
        <v>3</v>
      </c>
      <c r="D1193" s="3" t="s">
        <v>3</v>
      </c>
      <c r="E1193" s="3" t="s">
        <v>4</v>
      </c>
    </row>
    <row r="1194" spans="1:5" hidden="1" x14ac:dyDescent="0.25">
      <c r="A1194" s="3" t="s">
        <v>2382</v>
      </c>
      <c r="B1194" s="3" t="s">
        <v>2383</v>
      </c>
      <c r="C1194" s="3" t="s">
        <v>3</v>
      </c>
      <c r="D1194" s="3" t="s">
        <v>3</v>
      </c>
      <c r="E1194" s="3" t="s">
        <v>4</v>
      </c>
    </row>
    <row r="1195" spans="1:5" hidden="1" x14ac:dyDescent="0.25">
      <c r="A1195" s="3" t="s">
        <v>2384</v>
      </c>
      <c r="B1195" s="3" t="s">
        <v>2385</v>
      </c>
      <c r="C1195" s="3" t="s">
        <v>3</v>
      </c>
      <c r="D1195" s="3" t="s">
        <v>3</v>
      </c>
      <c r="E1195" s="3" t="s">
        <v>4</v>
      </c>
    </row>
    <row r="1196" spans="1:5" hidden="1" x14ac:dyDescent="0.25">
      <c r="A1196" s="3" t="s">
        <v>2386</v>
      </c>
      <c r="B1196" s="3" t="s">
        <v>2387</v>
      </c>
      <c r="C1196" s="3" t="s">
        <v>3</v>
      </c>
      <c r="D1196" s="3" t="s">
        <v>3</v>
      </c>
      <c r="E1196" s="3" t="s">
        <v>4</v>
      </c>
    </row>
    <row r="1197" spans="1:5" hidden="1" x14ac:dyDescent="0.25">
      <c r="A1197" s="3" t="s">
        <v>2388</v>
      </c>
      <c r="B1197" s="3" t="s">
        <v>2389</v>
      </c>
      <c r="C1197" s="3" t="s">
        <v>3</v>
      </c>
      <c r="D1197" s="3" t="s">
        <v>3</v>
      </c>
      <c r="E1197" s="3" t="s">
        <v>4</v>
      </c>
    </row>
    <row r="1198" spans="1:5" hidden="1" x14ac:dyDescent="0.25">
      <c r="A1198" s="3" t="s">
        <v>2390</v>
      </c>
      <c r="B1198" s="3" t="s">
        <v>2391</v>
      </c>
      <c r="C1198" s="3" t="s">
        <v>3</v>
      </c>
      <c r="D1198" s="3" t="s">
        <v>3</v>
      </c>
      <c r="E1198" s="3" t="s">
        <v>4</v>
      </c>
    </row>
    <row r="1199" spans="1:5" hidden="1" x14ac:dyDescent="0.25">
      <c r="A1199" s="3" t="s">
        <v>2392</v>
      </c>
      <c r="B1199" s="3" t="s">
        <v>2393</v>
      </c>
      <c r="C1199" s="3" t="s">
        <v>3</v>
      </c>
      <c r="D1199" s="3" t="s">
        <v>3</v>
      </c>
      <c r="E1199" s="3" t="s">
        <v>4</v>
      </c>
    </row>
    <row r="1200" spans="1:5" hidden="1" x14ac:dyDescent="0.25">
      <c r="A1200" s="3" t="s">
        <v>2394</v>
      </c>
      <c r="B1200" s="3" t="s">
        <v>2395</v>
      </c>
      <c r="C1200" s="3" t="s">
        <v>3</v>
      </c>
      <c r="D1200" s="3" t="s">
        <v>3</v>
      </c>
      <c r="E1200" s="3" t="s">
        <v>4</v>
      </c>
    </row>
    <row r="1201" spans="1:5" hidden="1" x14ac:dyDescent="0.25">
      <c r="A1201" s="3" t="s">
        <v>2396</v>
      </c>
      <c r="B1201" s="3" t="s">
        <v>2397</v>
      </c>
      <c r="C1201" s="3" t="s">
        <v>3</v>
      </c>
      <c r="D1201" s="3" t="s">
        <v>3</v>
      </c>
      <c r="E1201" s="3" t="s">
        <v>4</v>
      </c>
    </row>
    <row r="1202" spans="1:5" hidden="1" x14ac:dyDescent="0.25">
      <c r="A1202" s="3" t="s">
        <v>2398</v>
      </c>
      <c r="B1202" s="3" t="s">
        <v>2399</v>
      </c>
      <c r="C1202" s="3" t="s">
        <v>3</v>
      </c>
      <c r="D1202" s="3" t="s">
        <v>3</v>
      </c>
      <c r="E1202" s="3" t="s">
        <v>4</v>
      </c>
    </row>
    <row r="1203" spans="1:5" hidden="1" x14ac:dyDescent="0.25">
      <c r="A1203" s="3" t="s">
        <v>2400</v>
      </c>
      <c r="B1203" s="3" t="s">
        <v>2401</v>
      </c>
      <c r="C1203" s="3" t="s">
        <v>3</v>
      </c>
      <c r="D1203" s="3" t="s">
        <v>3</v>
      </c>
      <c r="E1203" s="3" t="s">
        <v>4</v>
      </c>
    </row>
    <row r="1204" spans="1:5" hidden="1" x14ac:dyDescent="0.25">
      <c r="A1204" s="3" t="s">
        <v>2402</v>
      </c>
      <c r="B1204" s="3" t="s">
        <v>2403</v>
      </c>
      <c r="C1204" s="3" t="s">
        <v>3</v>
      </c>
      <c r="D1204" s="3" t="s">
        <v>3</v>
      </c>
      <c r="E1204" s="3" t="s">
        <v>4</v>
      </c>
    </row>
    <row r="1205" spans="1:5" hidden="1" x14ac:dyDescent="0.25">
      <c r="A1205" s="3" t="s">
        <v>2404</v>
      </c>
      <c r="B1205" s="3" t="s">
        <v>2405</v>
      </c>
      <c r="C1205" s="3" t="s">
        <v>3</v>
      </c>
      <c r="D1205" s="3" t="s">
        <v>3</v>
      </c>
      <c r="E1205" s="3" t="s">
        <v>4</v>
      </c>
    </row>
    <row r="1206" spans="1:5" hidden="1" x14ac:dyDescent="0.25">
      <c r="A1206" s="3" t="s">
        <v>2406</v>
      </c>
      <c r="B1206" s="3" t="s">
        <v>2407</v>
      </c>
      <c r="C1206" s="3" t="s">
        <v>3</v>
      </c>
      <c r="D1206" s="3" t="s">
        <v>3</v>
      </c>
      <c r="E1206" s="3" t="s">
        <v>4</v>
      </c>
    </row>
    <row r="1207" spans="1:5" hidden="1" x14ac:dyDescent="0.25">
      <c r="A1207" s="3" t="s">
        <v>2408</v>
      </c>
      <c r="B1207" s="3" t="s">
        <v>2409</v>
      </c>
      <c r="C1207" s="3" t="s">
        <v>3</v>
      </c>
      <c r="D1207" s="3" t="s">
        <v>3</v>
      </c>
      <c r="E1207" s="3" t="s">
        <v>4</v>
      </c>
    </row>
    <row r="1208" spans="1:5" hidden="1" x14ac:dyDescent="0.25">
      <c r="A1208" s="3" t="s">
        <v>2410</v>
      </c>
      <c r="B1208" s="3" t="s">
        <v>2411</v>
      </c>
      <c r="C1208" s="3" t="s">
        <v>3</v>
      </c>
      <c r="D1208" s="3" t="s">
        <v>3</v>
      </c>
      <c r="E1208" s="3" t="s">
        <v>4</v>
      </c>
    </row>
    <row r="1209" spans="1:5" hidden="1" x14ac:dyDescent="0.25">
      <c r="A1209" s="3" t="s">
        <v>2412</v>
      </c>
      <c r="B1209" s="3" t="s">
        <v>2413</v>
      </c>
      <c r="C1209" s="3" t="s">
        <v>3</v>
      </c>
      <c r="D1209" s="3" t="s">
        <v>3</v>
      </c>
      <c r="E1209" s="3" t="s">
        <v>4</v>
      </c>
    </row>
    <row r="1210" spans="1:5" hidden="1" x14ac:dyDescent="0.25">
      <c r="A1210" s="3" t="s">
        <v>2414</v>
      </c>
      <c r="B1210" s="3" t="s">
        <v>2415</v>
      </c>
      <c r="C1210" s="3" t="s">
        <v>3</v>
      </c>
      <c r="D1210" s="3" t="s">
        <v>3</v>
      </c>
      <c r="E1210" s="3" t="s">
        <v>4</v>
      </c>
    </row>
    <row r="1211" spans="1:5" hidden="1" x14ac:dyDescent="0.25">
      <c r="A1211" s="3" t="s">
        <v>2416</v>
      </c>
      <c r="B1211" s="3" t="s">
        <v>2417</v>
      </c>
      <c r="C1211" s="3" t="s">
        <v>3</v>
      </c>
      <c r="D1211" s="3" t="s">
        <v>3</v>
      </c>
      <c r="E1211" s="3" t="s">
        <v>4</v>
      </c>
    </row>
    <row r="1212" spans="1:5" hidden="1" x14ac:dyDescent="0.25">
      <c r="A1212" s="3" t="s">
        <v>2418</v>
      </c>
      <c r="B1212" s="3" t="s">
        <v>2419</v>
      </c>
      <c r="C1212" s="3" t="s">
        <v>3</v>
      </c>
      <c r="D1212" s="3" t="s">
        <v>3</v>
      </c>
      <c r="E1212" s="3" t="s">
        <v>4</v>
      </c>
    </row>
    <row r="1213" spans="1:5" hidden="1" x14ac:dyDescent="0.25">
      <c r="A1213" s="3" t="s">
        <v>2420</v>
      </c>
      <c r="B1213" s="3" t="s">
        <v>2421</v>
      </c>
      <c r="C1213" s="3" t="s">
        <v>3</v>
      </c>
      <c r="D1213" s="3" t="s">
        <v>3</v>
      </c>
      <c r="E1213" s="3" t="s">
        <v>4</v>
      </c>
    </row>
    <row r="1214" spans="1:5" hidden="1" x14ac:dyDescent="0.25">
      <c r="A1214" s="3" t="s">
        <v>2422</v>
      </c>
      <c r="B1214" s="3" t="s">
        <v>2423</v>
      </c>
      <c r="C1214" s="3" t="s">
        <v>3</v>
      </c>
      <c r="D1214" s="3" t="s">
        <v>3</v>
      </c>
      <c r="E1214" s="3" t="s">
        <v>4</v>
      </c>
    </row>
    <row r="1215" spans="1:5" hidden="1" x14ac:dyDescent="0.25">
      <c r="A1215" s="3" t="s">
        <v>2424</v>
      </c>
      <c r="B1215" s="3" t="s">
        <v>2425</v>
      </c>
      <c r="C1215" s="3" t="s">
        <v>3</v>
      </c>
      <c r="D1215" s="3" t="s">
        <v>3</v>
      </c>
      <c r="E1215" s="3" t="s">
        <v>4</v>
      </c>
    </row>
    <row r="1216" spans="1:5" hidden="1" x14ac:dyDescent="0.25">
      <c r="A1216" s="3" t="s">
        <v>2426</v>
      </c>
      <c r="B1216" s="3" t="s">
        <v>2427</v>
      </c>
      <c r="C1216" s="3" t="s">
        <v>3</v>
      </c>
      <c r="D1216" s="3" t="s">
        <v>3</v>
      </c>
      <c r="E1216" s="3" t="s">
        <v>4</v>
      </c>
    </row>
    <row r="1217" spans="1:5" hidden="1" x14ac:dyDescent="0.25">
      <c r="A1217" s="3" t="s">
        <v>2428</v>
      </c>
      <c r="B1217" s="3" t="s">
        <v>2429</v>
      </c>
      <c r="C1217" s="3" t="s">
        <v>3</v>
      </c>
      <c r="D1217" s="3" t="s">
        <v>3</v>
      </c>
      <c r="E1217" s="3" t="s">
        <v>4</v>
      </c>
    </row>
    <row r="1218" spans="1:5" hidden="1" x14ac:dyDescent="0.25">
      <c r="A1218" s="3" t="s">
        <v>2430</v>
      </c>
      <c r="B1218" s="3" t="s">
        <v>2431</v>
      </c>
      <c r="C1218" s="3" t="s">
        <v>3</v>
      </c>
      <c r="D1218" s="3" t="s">
        <v>3</v>
      </c>
      <c r="E1218" s="3" t="s">
        <v>4</v>
      </c>
    </row>
    <row r="1219" spans="1:5" hidden="1" x14ac:dyDescent="0.25">
      <c r="A1219" s="3" t="s">
        <v>2432</v>
      </c>
      <c r="B1219" s="3" t="s">
        <v>2433</v>
      </c>
      <c r="C1219" s="3" t="s">
        <v>3</v>
      </c>
      <c r="D1219" s="3" t="s">
        <v>3</v>
      </c>
      <c r="E1219" s="3" t="s">
        <v>4</v>
      </c>
    </row>
    <row r="1220" spans="1:5" hidden="1" x14ac:dyDescent="0.25">
      <c r="A1220" s="3" t="s">
        <v>2434</v>
      </c>
      <c r="B1220" s="3" t="s">
        <v>2435</v>
      </c>
      <c r="C1220" s="3" t="s">
        <v>3</v>
      </c>
      <c r="D1220" s="3" t="s">
        <v>3</v>
      </c>
      <c r="E1220" s="3" t="s">
        <v>4</v>
      </c>
    </row>
    <row r="1221" spans="1:5" hidden="1" x14ac:dyDescent="0.25">
      <c r="A1221" s="3" t="s">
        <v>2436</v>
      </c>
      <c r="B1221" s="3" t="s">
        <v>2437</v>
      </c>
      <c r="C1221" s="3" t="s">
        <v>3</v>
      </c>
      <c r="D1221" s="3" t="s">
        <v>3</v>
      </c>
      <c r="E1221" s="3" t="s">
        <v>4</v>
      </c>
    </row>
    <row r="1222" spans="1:5" hidden="1" x14ac:dyDescent="0.25">
      <c r="A1222" s="3" t="s">
        <v>2438</v>
      </c>
      <c r="B1222" s="3" t="s">
        <v>2439</v>
      </c>
      <c r="C1222" s="3" t="s">
        <v>3</v>
      </c>
      <c r="D1222" s="3" t="s">
        <v>3</v>
      </c>
      <c r="E1222" s="3" t="s">
        <v>4</v>
      </c>
    </row>
    <row r="1223" spans="1:5" hidden="1" x14ac:dyDescent="0.25">
      <c r="A1223" s="3" t="s">
        <v>2440</v>
      </c>
      <c r="B1223" s="3" t="s">
        <v>2441</v>
      </c>
      <c r="C1223" s="3" t="s">
        <v>3</v>
      </c>
      <c r="D1223" s="3" t="s">
        <v>3</v>
      </c>
      <c r="E1223" s="3" t="s">
        <v>4</v>
      </c>
    </row>
    <row r="1224" spans="1:5" hidden="1" x14ac:dyDescent="0.25">
      <c r="A1224" s="3" t="s">
        <v>2442</v>
      </c>
      <c r="B1224" s="3" t="s">
        <v>2443</v>
      </c>
      <c r="C1224" s="3" t="s">
        <v>3</v>
      </c>
      <c r="D1224" s="3" t="s">
        <v>3</v>
      </c>
      <c r="E1224" s="3" t="s">
        <v>4</v>
      </c>
    </row>
    <row r="1225" spans="1:5" hidden="1" x14ac:dyDescent="0.25">
      <c r="A1225" s="3" t="s">
        <v>2444</v>
      </c>
      <c r="B1225" s="3" t="s">
        <v>2445</v>
      </c>
      <c r="C1225" s="3" t="s">
        <v>3</v>
      </c>
      <c r="D1225" s="3" t="s">
        <v>3</v>
      </c>
      <c r="E1225" s="3" t="s">
        <v>4</v>
      </c>
    </row>
    <row r="1226" spans="1:5" hidden="1" x14ac:dyDescent="0.25">
      <c r="A1226" s="3" t="s">
        <v>2446</v>
      </c>
      <c r="B1226" s="3" t="s">
        <v>2447</v>
      </c>
      <c r="C1226" s="3" t="s">
        <v>3</v>
      </c>
      <c r="D1226" s="3" t="s">
        <v>3</v>
      </c>
      <c r="E1226" s="3" t="s">
        <v>4</v>
      </c>
    </row>
    <row r="1227" spans="1:5" hidden="1" x14ac:dyDescent="0.25">
      <c r="A1227" s="3" t="s">
        <v>2448</v>
      </c>
      <c r="B1227" s="3" t="s">
        <v>2449</v>
      </c>
      <c r="C1227" s="3" t="s">
        <v>3</v>
      </c>
      <c r="D1227" s="3" t="s">
        <v>3</v>
      </c>
      <c r="E1227" s="3" t="s">
        <v>4</v>
      </c>
    </row>
    <row r="1228" spans="1:5" hidden="1" x14ac:dyDescent="0.25">
      <c r="A1228" s="3" t="s">
        <v>2450</v>
      </c>
      <c r="B1228" s="3" t="s">
        <v>2451</v>
      </c>
      <c r="C1228" s="3" t="s">
        <v>3</v>
      </c>
      <c r="D1228" s="3" t="s">
        <v>3</v>
      </c>
      <c r="E1228" s="3" t="s">
        <v>4</v>
      </c>
    </row>
    <row r="1229" spans="1:5" hidden="1" x14ac:dyDescent="0.25">
      <c r="A1229" s="3" t="s">
        <v>2452</v>
      </c>
      <c r="B1229" s="3" t="s">
        <v>2453</v>
      </c>
      <c r="C1229" s="3" t="s">
        <v>3</v>
      </c>
      <c r="D1229" s="3" t="s">
        <v>3</v>
      </c>
      <c r="E1229" s="3" t="s">
        <v>4</v>
      </c>
    </row>
    <row r="1230" spans="1:5" hidden="1" x14ac:dyDescent="0.25">
      <c r="A1230" s="3" t="s">
        <v>2454</v>
      </c>
      <c r="B1230" s="3" t="s">
        <v>2455</v>
      </c>
      <c r="C1230" s="3" t="s">
        <v>3</v>
      </c>
      <c r="D1230" s="3" t="s">
        <v>3</v>
      </c>
      <c r="E1230" s="3" t="s">
        <v>4</v>
      </c>
    </row>
    <row r="1231" spans="1:5" hidden="1" x14ac:dyDescent="0.25">
      <c r="A1231" s="3" t="s">
        <v>2456</v>
      </c>
      <c r="B1231" s="3" t="s">
        <v>2457</v>
      </c>
      <c r="C1231" s="3" t="s">
        <v>3</v>
      </c>
      <c r="D1231" s="3" t="s">
        <v>3</v>
      </c>
      <c r="E1231" s="3" t="s">
        <v>4</v>
      </c>
    </row>
    <row r="1232" spans="1:5" hidden="1" x14ac:dyDescent="0.25">
      <c r="A1232" s="3" t="s">
        <v>2458</v>
      </c>
      <c r="B1232" s="3" t="s">
        <v>2459</v>
      </c>
      <c r="C1232" s="3" t="s">
        <v>3</v>
      </c>
      <c r="D1232" s="3" t="s">
        <v>3</v>
      </c>
      <c r="E1232" s="3" t="s">
        <v>4</v>
      </c>
    </row>
    <row r="1233" spans="1:5" hidden="1" x14ac:dyDescent="0.25">
      <c r="A1233" s="3" t="s">
        <v>2460</v>
      </c>
      <c r="B1233" s="3" t="s">
        <v>2461</v>
      </c>
      <c r="C1233" s="3" t="s">
        <v>3</v>
      </c>
      <c r="D1233" s="3" t="s">
        <v>3</v>
      </c>
      <c r="E1233" s="3" t="s">
        <v>4</v>
      </c>
    </row>
    <row r="1234" spans="1:5" hidden="1" x14ac:dyDescent="0.25">
      <c r="A1234" s="3" t="s">
        <v>2462</v>
      </c>
      <c r="B1234" s="3" t="s">
        <v>2463</v>
      </c>
      <c r="C1234" s="3" t="s">
        <v>3</v>
      </c>
      <c r="D1234" s="3" t="s">
        <v>3</v>
      </c>
      <c r="E1234" s="3" t="s">
        <v>4</v>
      </c>
    </row>
    <row r="1235" spans="1:5" hidden="1" x14ac:dyDescent="0.25">
      <c r="A1235" s="3" t="s">
        <v>2464</v>
      </c>
      <c r="B1235" s="3" t="s">
        <v>2465</v>
      </c>
      <c r="C1235" s="3" t="s">
        <v>3</v>
      </c>
      <c r="D1235" s="3" t="s">
        <v>3</v>
      </c>
      <c r="E1235" s="3" t="s">
        <v>4</v>
      </c>
    </row>
    <row r="1236" spans="1:5" hidden="1" x14ac:dyDescent="0.25">
      <c r="A1236" s="3" t="s">
        <v>2466</v>
      </c>
      <c r="B1236" s="3" t="s">
        <v>2467</v>
      </c>
      <c r="C1236" s="3" t="s">
        <v>3</v>
      </c>
      <c r="D1236" s="3" t="s">
        <v>3</v>
      </c>
      <c r="E1236" s="3" t="s">
        <v>4</v>
      </c>
    </row>
    <row r="1237" spans="1:5" hidden="1" x14ac:dyDescent="0.25">
      <c r="A1237" s="3" t="s">
        <v>2468</v>
      </c>
      <c r="B1237" s="3" t="s">
        <v>2469</v>
      </c>
      <c r="C1237" s="3" t="s">
        <v>3</v>
      </c>
      <c r="D1237" s="3" t="s">
        <v>3</v>
      </c>
      <c r="E1237" s="3" t="s">
        <v>4</v>
      </c>
    </row>
    <row r="1238" spans="1:5" hidden="1" x14ac:dyDescent="0.25">
      <c r="A1238" s="3" t="s">
        <v>2470</v>
      </c>
      <c r="B1238" s="3" t="s">
        <v>2471</v>
      </c>
      <c r="C1238" s="3" t="s">
        <v>3</v>
      </c>
      <c r="D1238" s="3" t="s">
        <v>3</v>
      </c>
      <c r="E1238" s="3" t="s">
        <v>4</v>
      </c>
    </row>
    <row r="1239" spans="1:5" hidden="1" x14ac:dyDescent="0.25">
      <c r="A1239" s="3" t="s">
        <v>2472</v>
      </c>
      <c r="B1239" s="3" t="s">
        <v>2473</v>
      </c>
      <c r="C1239" s="3" t="s">
        <v>3</v>
      </c>
      <c r="D1239" s="3" t="s">
        <v>3</v>
      </c>
      <c r="E1239" s="3" t="s">
        <v>4</v>
      </c>
    </row>
    <row r="1240" spans="1:5" hidden="1" x14ac:dyDescent="0.25">
      <c r="A1240" s="3" t="s">
        <v>2474</v>
      </c>
      <c r="B1240" s="3" t="s">
        <v>2475</v>
      </c>
      <c r="C1240" s="3" t="s">
        <v>3</v>
      </c>
      <c r="D1240" s="3" t="s">
        <v>3</v>
      </c>
      <c r="E1240" s="3" t="s">
        <v>4</v>
      </c>
    </row>
    <row r="1241" spans="1:5" hidden="1" x14ac:dyDescent="0.25">
      <c r="A1241" s="3" t="s">
        <v>2476</v>
      </c>
      <c r="B1241" s="3" t="s">
        <v>2477</v>
      </c>
      <c r="C1241" s="3" t="s">
        <v>3</v>
      </c>
      <c r="D1241" s="3" t="s">
        <v>3</v>
      </c>
      <c r="E1241" s="3" t="s">
        <v>4</v>
      </c>
    </row>
    <row r="1242" spans="1:5" hidden="1" x14ac:dyDescent="0.25">
      <c r="A1242" s="3" t="s">
        <v>2478</v>
      </c>
      <c r="B1242" s="3" t="s">
        <v>2479</v>
      </c>
      <c r="C1242" s="3" t="s">
        <v>3</v>
      </c>
      <c r="D1242" s="3" t="s">
        <v>3</v>
      </c>
      <c r="E1242" s="3" t="s">
        <v>4</v>
      </c>
    </row>
    <row r="1243" spans="1:5" hidden="1" x14ac:dyDescent="0.25">
      <c r="A1243" s="3" t="s">
        <v>2480</v>
      </c>
      <c r="B1243" s="3" t="s">
        <v>2481</v>
      </c>
      <c r="C1243" s="3" t="s">
        <v>3</v>
      </c>
      <c r="D1243" s="3" t="s">
        <v>3</v>
      </c>
      <c r="E1243" s="3" t="s">
        <v>4</v>
      </c>
    </row>
    <row r="1244" spans="1:5" hidden="1" x14ac:dyDescent="0.25">
      <c r="A1244" s="3" t="s">
        <v>2482</v>
      </c>
      <c r="B1244" s="3" t="s">
        <v>2483</v>
      </c>
      <c r="C1244" s="3" t="s">
        <v>3</v>
      </c>
      <c r="D1244" s="3" t="s">
        <v>3</v>
      </c>
      <c r="E1244" s="3" t="s">
        <v>4</v>
      </c>
    </row>
    <row r="1245" spans="1:5" hidden="1" x14ac:dyDescent="0.25">
      <c r="A1245" s="3" t="s">
        <v>2484</v>
      </c>
      <c r="B1245" s="3" t="s">
        <v>2485</v>
      </c>
      <c r="C1245" s="3" t="s">
        <v>3</v>
      </c>
      <c r="D1245" s="3" t="s">
        <v>3</v>
      </c>
      <c r="E1245" s="3" t="s">
        <v>4</v>
      </c>
    </row>
    <row r="1246" spans="1:5" hidden="1" x14ac:dyDescent="0.25">
      <c r="A1246" s="3" t="s">
        <v>2486</v>
      </c>
      <c r="B1246" s="3" t="s">
        <v>2487</v>
      </c>
      <c r="C1246" s="3" t="s">
        <v>3</v>
      </c>
      <c r="D1246" s="3" t="s">
        <v>3</v>
      </c>
      <c r="E1246" s="3" t="s">
        <v>4</v>
      </c>
    </row>
    <row r="1247" spans="1:5" hidden="1" x14ac:dyDescent="0.25">
      <c r="A1247" s="3" t="s">
        <v>2488</v>
      </c>
      <c r="B1247" s="3" t="s">
        <v>2489</v>
      </c>
      <c r="C1247" s="3" t="s">
        <v>3</v>
      </c>
      <c r="D1247" s="3" t="s">
        <v>3</v>
      </c>
      <c r="E1247" s="3" t="s">
        <v>4</v>
      </c>
    </row>
    <row r="1248" spans="1:5" hidden="1" x14ac:dyDescent="0.25">
      <c r="A1248" s="3" t="s">
        <v>2490</v>
      </c>
      <c r="B1248" s="3" t="s">
        <v>2491</v>
      </c>
      <c r="C1248" s="3" t="s">
        <v>3</v>
      </c>
      <c r="D1248" s="3" t="s">
        <v>3</v>
      </c>
      <c r="E1248" s="3" t="s">
        <v>4</v>
      </c>
    </row>
    <row r="1249" spans="1:5" hidden="1" x14ac:dyDescent="0.25">
      <c r="A1249" s="3" t="s">
        <v>2492</v>
      </c>
      <c r="B1249" s="3" t="s">
        <v>2493</v>
      </c>
      <c r="C1249" s="3" t="s">
        <v>3</v>
      </c>
      <c r="D1249" s="3" t="s">
        <v>3</v>
      </c>
      <c r="E1249" s="3" t="s">
        <v>4</v>
      </c>
    </row>
    <row r="1250" spans="1:5" hidden="1" x14ac:dyDescent="0.25">
      <c r="A1250" s="3" t="s">
        <v>2494</v>
      </c>
      <c r="B1250" s="3" t="s">
        <v>2495</v>
      </c>
      <c r="C1250" s="3" t="s">
        <v>3</v>
      </c>
      <c r="D1250" s="3" t="s">
        <v>3</v>
      </c>
      <c r="E1250" s="3" t="s">
        <v>4</v>
      </c>
    </row>
    <row r="1251" spans="1:5" hidden="1" x14ac:dyDescent="0.25">
      <c r="A1251" s="3" t="s">
        <v>2496</v>
      </c>
      <c r="B1251" s="3" t="s">
        <v>2497</v>
      </c>
      <c r="C1251" s="3" t="s">
        <v>3</v>
      </c>
      <c r="D1251" s="3" t="s">
        <v>3</v>
      </c>
      <c r="E1251" s="3" t="s">
        <v>4</v>
      </c>
    </row>
    <row r="1252" spans="1:5" hidden="1" x14ac:dyDescent="0.25">
      <c r="A1252" s="3" t="s">
        <v>2498</v>
      </c>
      <c r="B1252" s="3" t="s">
        <v>2499</v>
      </c>
      <c r="C1252" s="3" t="s">
        <v>3</v>
      </c>
      <c r="D1252" s="3" t="s">
        <v>3</v>
      </c>
      <c r="E1252" s="3" t="s">
        <v>4</v>
      </c>
    </row>
    <row r="1253" spans="1:5" hidden="1" x14ac:dyDescent="0.25">
      <c r="A1253" s="3" t="s">
        <v>2500</v>
      </c>
      <c r="B1253" s="3" t="s">
        <v>2501</v>
      </c>
      <c r="C1253" s="3" t="s">
        <v>3</v>
      </c>
      <c r="D1253" s="3" t="s">
        <v>3</v>
      </c>
      <c r="E1253" s="3" t="s">
        <v>4</v>
      </c>
    </row>
    <row r="1254" spans="1:5" hidden="1" x14ac:dyDescent="0.25">
      <c r="A1254" s="3" t="s">
        <v>2502</v>
      </c>
      <c r="B1254" s="3" t="s">
        <v>2503</v>
      </c>
      <c r="C1254" s="3" t="s">
        <v>3</v>
      </c>
      <c r="D1254" s="3" t="s">
        <v>3</v>
      </c>
      <c r="E1254" s="3" t="s">
        <v>4</v>
      </c>
    </row>
    <row r="1255" spans="1:5" hidden="1" x14ac:dyDescent="0.25">
      <c r="A1255" s="3" t="s">
        <v>2504</v>
      </c>
      <c r="B1255" s="3" t="s">
        <v>2505</v>
      </c>
      <c r="C1255" s="3" t="s">
        <v>3</v>
      </c>
      <c r="D1255" s="3" t="s">
        <v>3</v>
      </c>
      <c r="E1255" s="3" t="s">
        <v>4</v>
      </c>
    </row>
    <row r="1256" spans="1:5" hidden="1" x14ac:dyDescent="0.25">
      <c r="A1256" s="3" t="s">
        <v>2506</v>
      </c>
      <c r="B1256" s="3" t="s">
        <v>2507</v>
      </c>
      <c r="C1256" s="3" t="s">
        <v>3</v>
      </c>
      <c r="D1256" s="3" t="s">
        <v>3</v>
      </c>
      <c r="E1256" s="3" t="s">
        <v>4</v>
      </c>
    </row>
    <row r="1257" spans="1:5" hidden="1" x14ac:dyDescent="0.25">
      <c r="A1257" s="3" t="s">
        <v>2508</v>
      </c>
      <c r="B1257" s="3" t="s">
        <v>2509</v>
      </c>
      <c r="C1257" s="3" t="s">
        <v>3</v>
      </c>
      <c r="D1257" s="3" t="s">
        <v>3</v>
      </c>
      <c r="E1257" s="3" t="s">
        <v>4</v>
      </c>
    </row>
    <row r="1258" spans="1:5" hidden="1" x14ac:dyDescent="0.25">
      <c r="A1258" s="3" t="s">
        <v>2510</v>
      </c>
      <c r="B1258" s="3" t="s">
        <v>2511</v>
      </c>
      <c r="C1258" s="3" t="s">
        <v>3</v>
      </c>
      <c r="D1258" s="3" t="s">
        <v>3</v>
      </c>
      <c r="E1258" s="3" t="s">
        <v>4</v>
      </c>
    </row>
    <row r="1259" spans="1:5" hidden="1" x14ac:dyDescent="0.25">
      <c r="A1259" s="3" t="s">
        <v>2512</v>
      </c>
      <c r="B1259" s="3" t="s">
        <v>2513</v>
      </c>
      <c r="C1259" s="3" t="s">
        <v>3</v>
      </c>
      <c r="D1259" s="3" t="s">
        <v>3</v>
      </c>
      <c r="E1259" s="3" t="s">
        <v>4</v>
      </c>
    </row>
    <row r="1260" spans="1:5" hidden="1" x14ac:dyDescent="0.25">
      <c r="A1260" s="3" t="s">
        <v>2514</v>
      </c>
      <c r="B1260" s="3" t="s">
        <v>2515</v>
      </c>
      <c r="C1260" s="3" t="s">
        <v>3</v>
      </c>
      <c r="D1260" s="3" t="s">
        <v>3</v>
      </c>
      <c r="E1260" s="3" t="s">
        <v>4</v>
      </c>
    </row>
    <row r="1261" spans="1:5" hidden="1" x14ac:dyDescent="0.25">
      <c r="A1261" s="3" t="s">
        <v>2516</v>
      </c>
      <c r="B1261" s="3" t="s">
        <v>2517</v>
      </c>
      <c r="C1261" s="3" t="s">
        <v>3</v>
      </c>
      <c r="D1261" s="3" t="s">
        <v>3</v>
      </c>
      <c r="E1261" s="3" t="s">
        <v>4</v>
      </c>
    </row>
    <row r="1262" spans="1:5" hidden="1" x14ac:dyDescent="0.25">
      <c r="A1262" s="3" t="s">
        <v>2518</v>
      </c>
      <c r="B1262" s="3" t="s">
        <v>2519</v>
      </c>
      <c r="C1262" s="3" t="s">
        <v>3</v>
      </c>
      <c r="D1262" s="3" t="s">
        <v>3</v>
      </c>
      <c r="E1262" s="3" t="s">
        <v>4</v>
      </c>
    </row>
    <row r="1263" spans="1:5" hidden="1" x14ac:dyDescent="0.25">
      <c r="A1263" s="3" t="s">
        <v>2520</v>
      </c>
      <c r="B1263" s="3" t="s">
        <v>2521</v>
      </c>
      <c r="C1263" s="3" t="s">
        <v>3</v>
      </c>
      <c r="D1263" s="3" t="s">
        <v>3</v>
      </c>
      <c r="E1263" s="3" t="s">
        <v>4</v>
      </c>
    </row>
    <row r="1264" spans="1:5" hidden="1" x14ac:dyDescent="0.25">
      <c r="A1264" s="3" t="s">
        <v>2522</v>
      </c>
      <c r="B1264" s="3" t="s">
        <v>2523</v>
      </c>
      <c r="C1264" s="3" t="s">
        <v>3</v>
      </c>
      <c r="D1264" s="3" t="s">
        <v>3</v>
      </c>
      <c r="E1264" s="3" t="s">
        <v>4</v>
      </c>
    </row>
    <row r="1265" spans="1:5" hidden="1" x14ac:dyDescent="0.25">
      <c r="A1265" s="3" t="s">
        <v>2524</v>
      </c>
      <c r="B1265" s="3" t="s">
        <v>2525</v>
      </c>
      <c r="C1265" s="3" t="s">
        <v>3</v>
      </c>
      <c r="D1265" s="3" t="s">
        <v>3</v>
      </c>
      <c r="E1265" s="3" t="s">
        <v>4</v>
      </c>
    </row>
    <row r="1266" spans="1:5" hidden="1" x14ac:dyDescent="0.25">
      <c r="A1266" s="3" t="s">
        <v>2526</v>
      </c>
      <c r="B1266" s="3" t="s">
        <v>2527</v>
      </c>
      <c r="C1266" s="3" t="s">
        <v>3</v>
      </c>
      <c r="D1266" s="3" t="s">
        <v>3</v>
      </c>
      <c r="E1266" s="3" t="s">
        <v>4</v>
      </c>
    </row>
    <row r="1267" spans="1:5" hidden="1" x14ac:dyDescent="0.25">
      <c r="A1267" s="3" t="s">
        <v>2528</v>
      </c>
      <c r="B1267" s="3" t="s">
        <v>2529</v>
      </c>
      <c r="C1267" s="3" t="s">
        <v>3</v>
      </c>
      <c r="D1267" s="3" t="s">
        <v>3</v>
      </c>
      <c r="E1267" s="3" t="s">
        <v>4</v>
      </c>
    </row>
    <row r="1268" spans="1:5" hidden="1" x14ac:dyDescent="0.25">
      <c r="A1268" s="3" t="s">
        <v>2530</v>
      </c>
      <c r="B1268" s="3" t="s">
        <v>2531</v>
      </c>
      <c r="C1268" s="3" t="s">
        <v>3</v>
      </c>
      <c r="D1268" s="3" t="s">
        <v>3</v>
      </c>
      <c r="E1268" s="3" t="s">
        <v>4</v>
      </c>
    </row>
    <row r="1269" spans="1:5" hidden="1" x14ac:dyDescent="0.25">
      <c r="A1269" s="3" t="s">
        <v>2532</v>
      </c>
      <c r="B1269" s="3" t="s">
        <v>2533</v>
      </c>
      <c r="C1269" s="3" t="s">
        <v>3</v>
      </c>
      <c r="D1269" s="3" t="s">
        <v>3</v>
      </c>
      <c r="E1269" s="3" t="s">
        <v>4</v>
      </c>
    </row>
    <row r="1270" spans="1:5" hidden="1" x14ac:dyDescent="0.25">
      <c r="A1270" s="3" t="s">
        <v>2534</v>
      </c>
      <c r="B1270" s="3" t="s">
        <v>2535</v>
      </c>
      <c r="C1270" s="3" t="s">
        <v>3</v>
      </c>
      <c r="D1270" s="3" t="s">
        <v>3</v>
      </c>
      <c r="E1270" s="3" t="s">
        <v>4</v>
      </c>
    </row>
    <row r="1271" spans="1:5" hidden="1" x14ac:dyDescent="0.25">
      <c r="A1271" s="3" t="s">
        <v>2536</v>
      </c>
      <c r="B1271" s="3" t="s">
        <v>2537</v>
      </c>
      <c r="C1271" s="3" t="s">
        <v>3</v>
      </c>
      <c r="D1271" s="3" t="s">
        <v>3</v>
      </c>
      <c r="E1271" s="3" t="s">
        <v>4</v>
      </c>
    </row>
    <row r="1272" spans="1:5" hidden="1" x14ac:dyDescent="0.25">
      <c r="A1272" s="3" t="s">
        <v>2538</v>
      </c>
      <c r="B1272" s="3" t="s">
        <v>2539</v>
      </c>
      <c r="C1272" s="3" t="s">
        <v>3</v>
      </c>
      <c r="D1272" s="3" t="s">
        <v>3</v>
      </c>
      <c r="E1272" s="3" t="s">
        <v>4</v>
      </c>
    </row>
    <row r="1273" spans="1:5" hidden="1" x14ac:dyDescent="0.25">
      <c r="A1273" s="3" t="s">
        <v>2540</v>
      </c>
      <c r="B1273" s="3" t="s">
        <v>2541</v>
      </c>
      <c r="C1273" s="3" t="s">
        <v>3</v>
      </c>
      <c r="D1273" s="3" t="s">
        <v>3</v>
      </c>
      <c r="E1273" s="3" t="s">
        <v>4</v>
      </c>
    </row>
    <row r="1274" spans="1:5" hidden="1" x14ac:dyDescent="0.25">
      <c r="A1274" s="3" t="s">
        <v>2542</v>
      </c>
      <c r="B1274" s="3" t="s">
        <v>2543</v>
      </c>
      <c r="C1274" s="3" t="s">
        <v>3</v>
      </c>
      <c r="D1274" s="3" t="s">
        <v>3</v>
      </c>
      <c r="E1274" s="3" t="s">
        <v>4</v>
      </c>
    </row>
    <row r="1275" spans="1:5" hidden="1" x14ac:dyDescent="0.25">
      <c r="A1275" s="3" t="s">
        <v>2544</v>
      </c>
      <c r="B1275" s="3" t="s">
        <v>2545</v>
      </c>
      <c r="C1275" s="3" t="s">
        <v>3</v>
      </c>
      <c r="D1275" s="3" t="s">
        <v>3</v>
      </c>
      <c r="E1275" s="3" t="s">
        <v>4</v>
      </c>
    </row>
    <row r="1276" spans="1:5" hidden="1" x14ac:dyDescent="0.25">
      <c r="A1276" s="3" t="s">
        <v>2546</v>
      </c>
      <c r="B1276" s="3" t="s">
        <v>2547</v>
      </c>
      <c r="C1276" s="3" t="s">
        <v>3</v>
      </c>
      <c r="D1276" s="3" t="s">
        <v>3</v>
      </c>
      <c r="E1276" s="3" t="s">
        <v>4</v>
      </c>
    </row>
    <row r="1277" spans="1:5" hidden="1" x14ac:dyDescent="0.25">
      <c r="A1277" s="3" t="s">
        <v>2548</v>
      </c>
      <c r="B1277" s="3" t="s">
        <v>2549</v>
      </c>
      <c r="C1277" s="3" t="s">
        <v>3</v>
      </c>
      <c r="D1277" s="3" t="s">
        <v>3</v>
      </c>
      <c r="E1277" s="3" t="s">
        <v>4</v>
      </c>
    </row>
    <row r="1278" spans="1:5" hidden="1" x14ac:dyDescent="0.25">
      <c r="A1278" s="3" t="s">
        <v>2550</v>
      </c>
      <c r="B1278" s="3" t="s">
        <v>2551</v>
      </c>
      <c r="C1278" s="3" t="s">
        <v>3</v>
      </c>
      <c r="D1278" s="3" t="s">
        <v>3</v>
      </c>
      <c r="E1278" s="3" t="s">
        <v>4</v>
      </c>
    </row>
    <row r="1279" spans="1:5" hidden="1" x14ac:dyDescent="0.25">
      <c r="A1279" s="3" t="s">
        <v>2552</v>
      </c>
      <c r="B1279" s="3" t="s">
        <v>2553</v>
      </c>
      <c r="C1279" s="3" t="s">
        <v>3</v>
      </c>
      <c r="D1279" s="3" t="s">
        <v>3</v>
      </c>
      <c r="E1279" s="3" t="s">
        <v>4</v>
      </c>
    </row>
    <row r="1280" spans="1:5" hidden="1" x14ac:dyDescent="0.25">
      <c r="A1280" s="3" t="s">
        <v>2554</v>
      </c>
      <c r="B1280" s="3" t="s">
        <v>2555</v>
      </c>
      <c r="C1280" s="3" t="s">
        <v>3</v>
      </c>
      <c r="D1280" s="3" t="s">
        <v>3</v>
      </c>
      <c r="E1280" s="3" t="s">
        <v>4</v>
      </c>
    </row>
    <row r="1281" spans="1:5" hidden="1" x14ac:dyDescent="0.25">
      <c r="A1281" s="3" t="s">
        <v>2556</v>
      </c>
      <c r="B1281" s="3" t="s">
        <v>2557</v>
      </c>
      <c r="C1281" s="3" t="s">
        <v>3</v>
      </c>
      <c r="D1281" s="3" t="s">
        <v>3</v>
      </c>
      <c r="E1281" s="3" t="s">
        <v>4</v>
      </c>
    </row>
    <row r="1282" spans="1:5" hidden="1" x14ac:dyDescent="0.25">
      <c r="A1282" s="3" t="s">
        <v>2558</v>
      </c>
      <c r="B1282" s="3" t="s">
        <v>2559</v>
      </c>
      <c r="C1282" s="3" t="s">
        <v>3</v>
      </c>
      <c r="D1282" s="3" t="s">
        <v>3</v>
      </c>
      <c r="E1282" s="3" t="s">
        <v>4</v>
      </c>
    </row>
    <row r="1283" spans="1:5" hidden="1" x14ac:dyDescent="0.25">
      <c r="A1283" s="3" t="s">
        <v>2560</v>
      </c>
      <c r="B1283" s="3" t="s">
        <v>2561</v>
      </c>
      <c r="C1283" s="3" t="s">
        <v>3</v>
      </c>
      <c r="D1283" s="3" t="s">
        <v>3</v>
      </c>
      <c r="E1283" s="3" t="s">
        <v>4</v>
      </c>
    </row>
    <row r="1284" spans="1:5" hidden="1" x14ac:dyDescent="0.25">
      <c r="A1284" s="3" t="s">
        <v>2562</v>
      </c>
      <c r="B1284" s="3" t="s">
        <v>2563</v>
      </c>
      <c r="C1284" s="3" t="s">
        <v>3</v>
      </c>
      <c r="D1284" s="3" t="s">
        <v>3</v>
      </c>
      <c r="E1284" s="3" t="s">
        <v>4</v>
      </c>
    </row>
    <row r="1285" spans="1:5" hidden="1" x14ac:dyDescent="0.25">
      <c r="A1285" s="3" t="s">
        <v>2564</v>
      </c>
      <c r="B1285" s="3" t="s">
        <v>2565</v>
      </c>
      <c r="C1285" s="3" t="s">
        <v>3</v>
      </c>
      <c r="D1285" s="3" t="s">
        <v>3</v>
      </c>
      <c r="E1285" s="3" t="s">
        <v>4</v>
      </c>
    </row>
    <row r="1286" spans="1:5" hidden="1" x14ac:dyDescent="0.25">
      <c r="A1286" s="3" t="s">
        <v>2566</v>
      </c>
      <c r="B1286" s="3" t="s">
        <v>2567</v>
      </c>
      <c r="C1286" s="3" t="s">
        <v>3</v>
      </c>
      <c r="D1286" s="3" t="s">
        <v>3</v>
      </c>
      <c r="E1286" s="3" t="s">
        <v>4</v>
      </c>
    </row>
    <row r="1287" spans="1:5" hidden="1" x14ac:dyDescent="0.25">
      <c r="A1287" s="3" t="s">
        <v>2568</v>
      </c>
      <c r="B1287" s="3" t="s">
        <v>2569</v>
      </c>
      <c r="C1287" s="3" t="s">
        <v>3</v>
      </c>
      <c r="D1287" s="3" t="s">
        <v>3</v>
      </c>
      <c r="E1287" s="3" t="s">
        <v>4</v>
      </c>
    </row>
    <row r="1288" spans="1:5" hidden="1" x14ac:dyDescent="0.25">
      <c r="A1288" s="3" t="s">
        <v>2570</v>
      </c>
      <c r="B1288" s="3" t="s">
        <v>2571</v>
      </c>
      <c r="C1288" s="3" t="s">
        <v>3</v>
      </c>
      <c r="D1288" s="3" t="s">
        <v>3</v>
      </c>
      <c r="E1288" s="3" t="s">
        <v>4</v>
      </c>
    </row>
    <row r="1289" spans="1:5" hidden="1" x14ac:dyDescent="0.25">
      <c r="A1289" s="3" t="s">
        <v>2572</v>
      </c>
      <c r="B1289" s="3" t="s">
        <v>2573</v>
      </c>
      <c r="C1289" s="3" t="s">
        <v>3</v>
      </c>
      <c r="D1289" s="3" t="s">
        <v>3</v>
      </c>
      <c r="E1289" s="3" t="s">
        <v>4</v>
      </c>
    </row>
    <row r="1290" spans="1:5" hidden="1" x14ac:dyDescent="0.25">
      <c r="A1290" s="3" t="s">
        <v>2574</v>
      </c>
      <c r="B1290" s="3" t="s">
        <v>2575</v>
      </c>
      <c r="C1290" s="3" t="s">
        <v>3</v>
      </c>
      <c r="D1290" s="3" t="s">
        <v>3</v>
      </c>
      <c r="E1290" s="3" t="s">
        <v>4</v>
      </c>
    </row>
    <row r="1291" spans="1:5" hidden="1" x14ac:dyDescent="0.25">
      <c r="A1291" s="3" t="s">
        <v>2576</v>
      </c>
      <c r="B1291" s="3" t="s">
        <v>2577</v>
      </c>
      <c r="C1291" s="3" t="s">
        <v>3</v>
      </c>
      <c r="D1291" s="3" t="s">
        <v>3</v>
      </c>
      <c r="E1291" s="3" t="s">
        <v>4</v>
      </c>
    </row>
    <row r="1292" spans="1:5" hidden="1" x14ac:dyDescent="0.25">
      <c r="A1292" s="3" t="s">
        <v>2578</v>
      </c>
      <c r="B1292" s="3" t="s">
        <v>2579</v>
      </c>
      <c r="C1292" s="3" t="s">
        <v>3</v>
      </c>
      <c r="D1292" s="3" t="s">
        <v>3</v>
      </c>
      <c r="E1292" s="3" t="s">
        <v>4</v>
      </c>
    </row>
    <row r="1293" spans="1:5" hidden="1" x14ac:dyDescent="0.25">
      <c r="A1293" s="3" t="s">
        <v>2580</v>
      </c>
      <c r="B1293" s="3" t="s">
        <v>2581</v>
      </c>
      <c r="C1293" s="3" t="s">
        <v>3</v>
      </c>
      <c r="D1293" s="3" t="s">
        <v>3</v>
      </c>
      <c r="E1293" s="3" t="s">
        <v>4</v>
      </c>
    </row>
    <row r="1294" spans="1:5" hidden="1" x14ac:dyDescent="0.25">
      <c r="A1294" s="3" t="s">
        <v>2582</v>
      </c>
      <c r="B1294" s="3" t="s">
        <v>2583</v>
      </c>
      <c r="C1294" s="3" t="s">
        <v>3</v>
      </c>
      <c r="D1294" s="3" t="s">
        <v>3</v>
      </c>
      <c r="E1294" s="3" t="s">
        <v>4</v>
      </c>
    </row>
    <row r="1295" spans="1:5" hidden="1" x14ac:dyDescent="0.25">
      <c r="A1295" s="3" t="s">
        <v>2584</v>
      </c>
      <c r="B1295" s="3" t="s">
        <v>2585</v>
      </c>
      <c r="C1295" s="3" t="s">
        <v>3</v>
      </c>
      <c r="D1295" s="3" t="s">
        <v>3</v>
      </c>
      <c r="E1295" s="3" t="s">
        <v>4</v>
      </c>
    </row>
    <row r="1296" spans="1:5" hidden="1" x14ac:dyDescent="0.25">
      <c r="A1296" s="3" t="s">
        <v>2586</v>
      </c>
      <c r="B1296" s="3" t="s">
        <v>2587</v>
      </c>
      <c r="C1296" s="3" t="s">
        <v>3</v>
      </c>
      <c r="D1296" s="3" t="s">
        <v>3</v>
      </c>
      <c r="E1296" s="3" t="s">
        <v>4</v>
      </c>
    </row>
    <row r="1297" spans="1:5" hidden="1" x14ac:dyDescent="0.25">
      <c r="A1297" s="3" t="s">
        <v>2588</v>
      </c>
      <c r="B1297" s="3" t="s">
        <v>2589</v>
      </c>
      <c r="C1297" s="3" t="s">
        <v>3</v>
      </c>
      <c r="D1297" s="3" t="s">
        <v>3</v>
      </c>
      <c r="E1297" s="3" t="s">
        <v>4</v>
      </c>
    </row>
    <row r="1298" spans="1:5" hidden="1" x14ac:dyDescent="0.25">
      <c r="A1298" s="3" t="s">
        <v>2590</v>
      </c>
      <c r="B1298" s="3" t="s">
        <v>2591</v>
      </c>
      <c r="C1298" s="3" t="s">
        <v>3</v>
      </c>
      <c r="D1298" s="3" t="s">
        <v>3</v>
      </c>
      <c r="E1298" s="3" t="s">
        <v>4</v>
      </c>
    </row>
    <row r="1299" spans="1:5" hidden="1" x14ac:dyDescent="0.25">
      <c r="A1299" s="3" t="s">
        <v>2592</v>
      </c>
      <c r="B1299" s="3" t="s">
        <v>2593</v>
      </c>
      <c r="C1299" s="3" t="s">
        <v>3</v>
      </c>
      <c r="D1299" s="3" t="s">
        <v>3</v>
      </c>
      <c r="E1299" s="3" t="s">
        <v>4</v>
      </c>
    </row>
    <row r="1300" spans="1:5" hidden="1" x14ac:dyDescent="0.25">
      <c r="A1300" s="3" t="s">
        <v>2594</v>
      </c>
      <c r="B1300" s="3" t="s">
        <v>2595</v>
      </c>
      <c r="C1300" s="3" t="s">
        <v>3</v>
      </c>
      <c r="D1300" s="3" t="s">
        <v>3</v>
      </c>
      <c r="E1300" s="3" t="s">
        <v>4</v>
      </c>
    </row>
    <row r="1301" spans="1:5" hidden="1" x14ac:dyDescent="0.25">
      <c r="A1301" s="3" t="s">
        <v>2596</v>
      </c>
      <c r="B1301" s="3" t="s">
        <v>2597</v>
      </c>
      <c r="C1301" s="3" t="s">
        <v>3</v>
      </c>
      <c r="D1301" s="3" t="s">
        <v>3</v>
      </c>
      <c r="E1301" s="3" t="s">
        <v>4</v>
      </c>
    </row>
    <row r="1302" spans="1:5" hidden="1" x14ac:dyDescent="0.25">
      <c r="A1302" s="3" t="s">
        <v>2598</v>
      </c>
      <c r="B1302" s="3" t="s">
        <v>2599</v>
      </c>
      <c r="C1302" s="3" t="s">
        <v>3</v>
      </c>
      <c r="D1302" s="3" t="s">
        <v>3</v>
      </c>
      <c r="E1302" s="3" t="s">
        <v>4</v>
      </c>
    </row>
    <row r="1303" spans="1:5" hidden="1" x14ac:dyDescent="0.25">
      <c r="A1303" s="3" t="s">
        <v>2600</v>
      </c>
      <c r="B1303" s="3" t="s">
        <v>2601</v>
      </c>
      <c r="C1303" s="3" t="s">
        <v>3</v>
      </c>
      <c r="D1303" s="3" t="s">
        <v>3</v>
      </c>
      <c r="E1303" s="3" t="s">
        <v>4</v>
      </c>
    </row>
    <row r="1304" spans="1:5" hidden="1" x14ac:dyDescent="0.25">
      <c r="A1304" s="3" t="s">
        <v>2602</v>
      </c>
      <c r="B1304" s="3" t="s">
        <v>2603</v>
      </c>
      <c r="C1304" s="3" t="s">
        <v>3</v>
      </c>
      <c r="D1304" s="3" t="s">
        <v>3</v>
      </c>
      <c r="E1304" s="3" t="s">
        <v>4</v>
      </c>
    </row>
    <row r="1305" spans="1:5" hidden="1" x14ac:dyDescent="0.25">
      <c r="A1305" s="3" t="s">
        <v>2604</v>
      </c>
      <c r="B1305" s="3" t="s">
        <v>2605</v>
      </c>
      <c r="C1305" s="3" t="s">
        <v>3</v>
      </c>
      <c r="D1305" s="3" t="s">
        <v>3</v>
      </c>
      <c r="E1305" s="3" t="s">
        <v>4</v>
      </c>
    </row>
    <row r="1306" spans="1:5" hidden="1" x14ac:dyDescent="0.25">
      <c r="A1306" s="3" t="s">
        <v>2606</v>
      </c>
      <c r="B1306" s="3" t="s">
        <v>2607</v>
      </c>
      <c r="C1306" s="3" t="s">
        <v>3</v>
      </c>
      <c r="D1306" s="3" t="s">
        <v>3</v>
      </c>
      <c r="E1306" s="3" t="s">
        <v>4</v>
      </c>
    </row>
    <row r="1307" spans="1:5" hidden="1" x14ac:dyDescent="0.25">
      <c r="A1307" s="3" t="s">
        <v>2608</v>
      </c>
      <c r="B1307" s="3" t="s">
        <v>2609</v>
      </c>
      <c r="C1307" s="3" t="s">
        <v>3</v>
      </c>
      <c r="D1307" s="3" t="s">
        <v>3</v>
      </c>
      <c r="E1307" s="3" t="s">
        <v>4</v>
      </c>
    </row>
    <row r="1308" spans="1:5" hidden="1" x14ac:dyDescent="0.25">
      <c r="A1308" s="3" t="s">
        <v>2610</v>
      </c>
      <c r="B1308" s="3" t="s">
        <v>2611</v>
      </c>
      <c r="C1308" s="3" t="s">
        <v>3</v>
      </c>
      <c r="D1308" s="3" t="s">
        <v>3</v>
      </c>
      <c r="E1308" s="3" t="s">
        <v>4</v>
      </c>
    </row>
    <row r="1309" spans="1:5" hidden="1" x14ac:dyDescent="0.25">
      <c r="A1309" s="3" t="s">
        <v>2612</v>
      </c>
      <c r="B1309" s="3" t="s">
        <v>2613</v>
      </c>
      <c r="C1309" s="3" t="s">
        <v>3</v>
      </c>
      <c r="D1309" s="3" t="s">
        <v>3</v>
      </c>
      <c r="E1309" s="3" t="s">
        <v>4</v>
      </c>
    </row>
    <row r="1310" spans="1:5" hidden="1" x14ac:dyDescent="0.25">
      <c r="A1310" s="3" t="s">
        <v>2614</v>
      </c>
      <c r="B1310" s="3" t="s">
        <v>2615</v>
      </c>
      <c r="C1310" s="3" t="s">
        <v>3</v>
      </c>
      <c r="D1310" s="3" t="s">
        <v>3</v>
      </c>
      <c r="E1310" s="3" t="s">
        <v>4</v>
      </c>
    </row>
    <row r="1311" spans="1:5" hidden="1" x14ac:dyDescent="0.25">
      <c r="A1311" s="3" t="s">
        <v>2616</v>
      </c>
      <c r="B1311" s="3" t="s">
        <v>2617</v>
      </c>
      <c r="C1311" s="3" t="s">
        <v>3</v>
      </c>
      <c r="D1311" s="3" t="s">
        <v>3</v>
      </c>
      <c r="E1311" s="3" t="s">
        <v>4</v>
      </c>
    </row>
    <row r="1312" spans="1:5" hidden="1" x14ac:dyDescent="0.25">
      <c r="A1312" s="3" t="s">
        <v>2618</v>
      </c>
      <c r="B1312" s="3" t="s">
        <v>2619</v>
      </c>
      <c r="C1312" s="3" t="s">
        <v>3</v>
      </c>
      <c r="D1312" s="3" t="s">
        <v>3</v>
      </c>
      <c r="E1312" s="3" t="s">
        <v>4</v>
      </c>
    </row>
    <row r="1313" spans="1:5" hidden="1" x14ac:dyDescent="0.25">
      <c r="A1313" s="3" t="s">
        <v>2620</v>
      </c>
      <c r="B1313" s="3" t="s">
        <v>2621</v>
      </c>
      <c r="C1313" s="3" t="s">
        <v>3</v>
      </c>
      <c r="D1313" s="3" t="s">
        <v>3</v>
      </c>
      <c r="E1313" s="3" t="s">
        <v>4</v>
      </c>
    </row>
    <row r="1314" spans="1:5" hidden="1" x14ac:dyDescent="0.25">
      <c r="A1314" s="3" t="s">
        <v>2622</v>
      </c>
      <c r="B1314" s="3" t="s">
        <v>2623</v>
      </c>
      <c r="C1314" s="3" t="s">
        <v>3</v>
      </c>
      <c r="D1314" s="3" t="s">
        <v>3</v>
      </c>
      <c r="E1314" s="3" t="s">
        <v>4</v>
      </c>
    </row>
    <row r="1315" spans="1:5" hidden="1" x14ac:dyDescent="0.25">
      <c r="A1315" s="3" t="s">
        <v>2624</v>
      </c>
      <c r="B1315" s="3" t="s">
        <v>2625</v>
      </c>
      <c r="C1315" s="3" t="s">
        <v>3</v>
      </c>
      <c r="D1315" s="3" t="s">
        <v>3</v>
      </c>
      <c r="E1315" s="3" t="s">
        <v>4</v>
      </c>
    </row>
    <row r="1316" spans="1:5" hidden="1" x14ac:dyDescent="0.25">
      <c r="A1316" s="3" t="s">
        <v>2626</v>
      </c>
      <c r="B1316" s="3" t="s">
        <v>2627</v>
      </c>
      <c r="C1316" s="3" t="s">
        <v>3</v>
      </c>
      <c r="D1316" s="3" t="s">
        <v>3</v>
      </c>
      <c r="E1316" s="3" t="s">
        <v>4</v>
      </c>
    </row>
    <row r="1317" spans="1:5" hidden="1" x14ac:dyDescent="0.25">
      <c r="A1317" s="3" t="s">
        <v>2628</v>
      </c>
      <c r="B1317" s="3" t="s">
        <v>2629</v>
      </c>
      <c r="C1317" s="3" t="s">
        <v>3</v>
      </c>
      <c r="D1317" s="3" t="s">
        <v>3</v>
      </c>
      <c r="E1317" s="3" t="s">
        <v>4</v>
      </c>
    </row>
    <row r="1318" spans="1:5" hidden="1" x14ac:dyDescent="0.25">
      <c r="A1318" s="3" t="s">
        <v>2630</v>
      </c>
      <c r="B1318" s="3" t="s">
        <v>2631</v>
      </c>
      <c r="C1318" s="3" t="s">
        <v>3</v>
      </c>
      <c r="D1318" s="3" t="s">
        <v>3</v>
      </c>
      <c r="E1318" s="3" t="s">
        <v>4</v>
      </c>
    </row>
    <row r="1319" spans="1:5" hidden="1" x14ac:dyDescent="0.25">
      <c r="A1319" s="3" t="s">
        <v>2632</v>
      </c>
      <c r="B1319" s="3" t="s">
        <v>2633</v>
      </c>
      <c r="C1319" s="3" t="s">
        <v>3</v>
      </c>
      <c r="D1319" s="3" t="s">
        <v>3</v>
      </c>
      <c r="E1319" s="3" t="s">
        <v>4</v>
      </c>
    </row>
    <row r="1320" spans="1:5" hidden="1" x14ac:dyDescent="0.25">
      <c r="A1320" s="3" t="s">
        <v>2634</v>
      </c>
      <c r="B1320" s="3" t="s">
        <v>2635</v>
      </c>
      <c r="C1320" s="3" t="s">
        <v>3</v>
      </c>
      <c r="D1320" s="3" t="s">
        <v>3</v>
      </c>
      <c r="E1320" s="3" t="s">
        <v>4</v>
      </c>
    </row>
    <row r="1321" spans="1:5" hidden="1" x14ac:dyDescent="0.25">
      <c r="A1321" s="3" t="s">
        <v>2636</v>
      </c>
      <c r="B1321" s="3" t="s">
        <v>2637</v>
      </c>
      <c r="C1321" s="3" t="s">
        <v>3</v>
      </c>
      <c r="D1321" s="3" t="s">
        <v>3</v>
      </c>
      <c r="E1321" s="3" t="s">
        <v>4</v>
      </c>
    </row>
    <row r="1322" spans="1:5" hidden="1" x14ac:dyDescent="0.25">
      <c r="A1322" s="3" t="s">
        <v>2638</v>
      </c>
      <c r="B1322" s="3" t="s">
        <v>2639</v>
      </c>
      <c r="C1322" s="3" t="s">
        <v>3</v>
      </c>
      <c r="D1322" s="3" t="s">
        <v>3</v>
      </c>
      <c r="E1322" s="3" t="s">
        <v>4</v>
      </c>
    </row>
    <row r="1323" spans="1:5" hidden="1" x14ac:dyDescent="0.25">
      <c r="A1323" s="3" t="s">
        <v>2640</v>
      </c>
      <c r="B1323" s="3" t="s">
        <v>2641</v>
      </c>
      <c r="C1323" s="3" t="s">
        <v>3</v>
      </c>
      <c r="D1323" s="3" t="s">
        <v>3</v>
      </c>
      <c r="E1323" s="3" t="s">
        <v>4</v>
      </c>
    </row>
    <row r="1324" spans="1:5" hidden="1" x14ac:dyDescent="0.25">
      <c r="A1324" s="3" t="s">
        <v>2642</v>
      </c>
      <c r="B1324" s="3" t="s">
        <v>2643</v>
      </c>
      <c r="C1324" s="3" t="s">
        <v>3</v>
      </c>
      <c r="D1324" s="3" t="s">
        <v>3</v>
      </c>
      <c r="E1324" s="3" t="s">
        <v>4</v>
      </c>
    </row>
    <row r="1325" spans="1:5" hidden="1" x14ac:dyDescent="0.25">
      <c r="A1325" s="3" t="s">
        <v>2644</v>
      </c>
      <c r="B1325" s="3" t="s">
        <v>2645</v>
      </c>
      <c r="C1325" s="3" t="s">
        <v>3</v>
      </c>
      <c r="D1325" s="3" t="s">
        <v>3</v>
      </c>
      <c r="E1325" s="3" t="s">
        <v>4</v>
      </c>
    </row>
    <row r="1326" spans="1:5" hidden="1" x14ac:dyDescent="0.25">
      <c r="A1326" s="3" t="s">
        <v>2646</v>
      </c>
      <c r="B1326" s="3" t="s">
        <v>2647</v>
      </c>
      <c r="C1326" s="3" t="s">
        <v>3</v>
      </c>
      <c r="D1326" s="3" t="s">
        <v>3</v>
      </c>
      <c r="E1326" s="3" t="s">
        <v>4</v>
      </c>
    </row>
    <row r="1327" spans="1:5" hidden="1" x14ac:dyDescent="0.25">
      <c r="A1327" s="3" t="s">
        <v>2648</v>
      </c>
      <c r="B1327" s="3" t="s">
        <v>2649</v>
      </c>
      <c r="C1327" s="3" t="s">
        <v>3</v>
      </c>
      <c r="D1327" s="3" t="s">
        <v>3</v>
      </c>
      <c r="E1327" s="3" t="s">
        <v>4</v>
      </c>
    </row>
    <row r="1328" spans="1:5" hidden="1" x14ac:dyDescent="0.25">
      <c r="A1328" s="3" t="s">
        <v>2650</v>
      </c>
      <c r="B1328" s="3" t="s">
        <v>2651</v>
      </c>
      <c r="C1328" s="3" t="s">
        <v>3</v>
      </c>
      <c r="D1328" s="3" t="s">
        <v>3</v>
      </c>
      <c r="E1328" s="3" t="s">
        <v>4</v>
      </c>
    </row>
    <row r="1329" spans="1:5" hidden="1" x14ac:dyDescent="0.25">
      <c r="A1329" s="3" t="s">
        <v>2652</v>
      </c>
      <c r="B1329" s="3" t="s">
        <v>2653</v>
      </c>
      <c r="C1329" s="3" t="s">
        <v>3</v>
      </c>
      <c r="D1329" s="3" t="s">
        <v>3</v>
      </c>
      <c r="E1329" s="3" t="s">
        <v>4</v>
      </c>
    </row>
    <row r="1330" spans="1:5" hidden="1" x14ac:dyDescent="0.25">
      <c r="A1330" s="3" t="s">
        <v>2654</v>
      </c>
      <c r="B1330" s="3" t="s">
        <v>2655</v>
      </c>
      <c r="C1330" s="3" t="s">
        <v>3</v>
      </c>
      <c r="D1330" s="3" t="s">
        <v>3</v>
      </c>
      <c r="E1330" s="3" t="s">
        <v>4</v>
      </c>
    </row>
    <row r="1331" spans="1:5" hidden="1" x14ac:dyDescent="0.25">
      <c r="A1331" s="3" t="s">
        <v>2656</v>
      </c>
      <c r="B1331" s="3" t="s">
        <v>2655</v>
      </c>
      <c r="C1331" s="3" t="s">
        <v>3</v>
      </c>
      <c r="D1331" s="3" t="s">
        <v>3</v>
      </c>
      <c r="E1331" s="3" t="s">
        <v>4</v>
      </c>
    </row>
    <row r="1332" spans="1:5" hidden="1" x14ac:dyDescent="0.25">
      <c r="A1332" s="3" t="s">
        <v>2657</v>
      </c>
      <c r="B1332" s="3" t="s">
        <v>2658</v>
      </c>
      <c r="C1332" s="3" t="s">
        <v>3</v>
      </c>
      <c r="D1332" s="3" t="s">
        <v>3</v>
      </c>
      <c r="E1332" s="3" t="s">
        <v>4</v>
      </c>
    </row>
    <row r="1333" spans="1:5" hidden="1" x14ac:dyDescent="0.25">
      <c r="A1333" s="3" t="s">
        <v>2659</v>
      </c>
      <c r="B1333" s="3" t="s">
        <v>2660</v>
      </c>
      <c r="C1333" s="3" t="s">
        <v>3</v>
      </c>
      <c r="D1333" s="3" t="s">
        <v>3</v>
      </c>
      <c r="E1333" s="3" t="s">
        <v>4</v>
      </c>
    </row>
    <row r="1334" spans="1:5" hidden="1" x14ac:dyDescent="0.25">
      <c r="A1334" s="3" t="s">
        <v>2661</v>
      </c>
      <c r="B1334" s="3" t="s">
        <v>2662</v>
      </c>
      <c r="C1334" s="3" t="s">
        <v>3</v>
      </c>
      <c r="D1334" s="3" t="s">
        <v>3</v>
      </c>
      <c r="E1334" s="3" t="s">
        <v>4</v>
      </c>
    </row>
    <row r="1335" spans="1:5" hidden="1" x14ac:dyDescent="0.25">
      <c r="A1335" s="3" t="s">
        <v>2663</v>
      </c>
      <c r="B1335" s="3" t="s">
        <v>2664</v>
      </c>
      <c r="C1335" s="3" t="s">
        <v>3</v>
      </c>
      <c r="D1335" s="3" t="s">
        <v>3</v>
      </c>
      <c r="E1335" s="3" t="s">
        <v>4</v>
      </c>
    </row>
    <row r="1336" spans="1:5" hidden="1" x14ac:dyDescent="0.25">
      <c r="A1336" s="3" t="s">
        <v>2665</v>
      </c>
      <c r="B1336" s="3" t="s">
        <v>2666</v>
      </c>
      <c r="C1336" s="3" t="s">
        <v>3</v>
      </c>
      <c r="D1336" s="3" t="s">
        <v>3</v>
      </c>
      <c r="E1336" s="3" t="s">
        <v>4</v>
      </c>
    </row>
    <row r="1337" spans="1:5" hidden="1" x14ac:dyDescent="0.25">
      <c r="A1337" s="3" t="s">
        <v>2667</v>
      </c>
      <c r="B1337" s="3" t="s">
        <v>2668</v>
      </c>
      <c r="C1337" s="3" t="s">
        <v>3</v>
      </c>
      <c r="D1337" s="3" t="s">
        <v>3</v>
      </c>
      <c r="E1337" s="3" t="s">
        <v>4</v>
      </c>
    </row>
    <row r="1338" spans="1:5" hidden="1" x14ac:dyDescent="0.25">
      <c r="A1338" s="3" t="s">
        <v>2669</v>
      </c>
      <c r="B1338" s="3" t="s">
        <v>2670</v>
      </c>
      <c r="C1338" s="3" t="s">
        <v>3</v>
      </c>
      <c r="D1338" s="3" t="s">
        <v>3</v>
      </c>
      <c r="E1338" s="3" t="s">
        <v>4</v>
      </c>
    </row>
    <row r="1339" spans="1:5" hidden="1" x14ac:dyDescent="0.25">
      <c r="A1339" s="3" t="s">
        <v>2671</v>
      </c>
      <c r="B1339" s="3" t="s">
        <v>2672</v>
      </c>
      <c r="C1339" s="3" t="s">
        <v>3</v>
      </c>
      <c r="D1339" s="3" t="s">
        <v>3</v>
      </c>
      <c r="E1339" s="3" t="s">
        <v>4</v>
      </c>
    </row>
    <row r="1340" spans="1:5" hidden="1" x14ac:dyDescent="0.25">
      <c r="A1340" s="3" t="s">
        <v>2673</v>
      </c>
      <c r="B1340" s="3" t="s">
        <v>2674</v>
      </c>
      <c r="C1340" s="3" t="s">
        <v>3</v>
      </c>
      <c r="D1340" s="3" t="s">
        <v>3</v>
      </c>
      <c r="E1340" s="3" t="s">
        <v>4</v>
      </c>
    </row>
    <row r="1341" spans="1:5" hidden="1" x14ac:dyDescent="0.25">
      <c r="A1341" s="3" t="s">
        <v>2675</v>
      </c>
      <c r="B1341" s="3" t="s">
        <v>2676</v>
      </c>
      <c r="C1341" s="3" t="s">
        <v>3</v>
      </c>
      <c r="D1341" s="3" t="s">
        <v>3</v>
      </c>
      <c r="E1341" s="3" t="s">
        <v>4</v>
      </c>
    </row>
    <row r="1342" spans="1:5" hidden="1" x14ac:dyDescent="0.25">
      <c r="A1342" s="3" t="s">
        <v>2677</v>
      </c>
      <c r="B1342" s="3" t="s">
        <v>2678</v>
      </c>
      <c r="C1342" s="3" t="s">
        <v>3</v>
      </c>
      <c r="D1342" s="3" t="s">
        <v>3</v>
      </c>
      <c r="E1342" s="3" t="s">
        <v>4</v>
      </c>
    </row>
    <row r="1343" spans="1:5" hidden="1" x14ac:dyDescent="0.25">
      <c r="A1343" s="3" t="s">
        <v>2679</v>
      </c>
      <c r="B1343" s="3" t="s">
        <v>2680</v>
      </c>
      <c r="C1343" s="3" t="s">
        <v>3</v>
      </c>
      <c r="D1343" s="3" t="s">
        <v>3</v>
      </c>
      <c r="E1343" s="3" t="s">
        <v>4</v>
      </c>
    </row>
    <row r="1344" spans="1:5" hidden="1" x14ac:dyDescent="0.25">
      <c r="A1344" s="3" t="s">
        <v>2681</v>
      </c>
      <c r="B1344" s="3" t="s">
        <v>2682</v>
      </c>
      <c r="C1344" s="3" t="s">
        <v>3</v>
      </c>
      <c r="D1344" s="3" t="s">
        <v>3</v>
      </c>
      <c r="E1344" s="3" t="s">
        <v>4</v>
      </c>
    </row>
    <row r="1345" spans="1:5" hidden="1" x14ac:dyDescent="0.25">
      <c r="A1345" s="3" t="s">
        <v>2683</v>
      </c>
      <c r="B1345" s="3" t="s">
        <v>2684</v>
      </c>
      <c r="C1345" s="3" t="s">
        <v>3</v>
      </c>
      <c r="D1345" s="3" t="s">
        <v>3</v>
      </c>
      <c r="E1345" s="3" t="s">
        <v>4</v>
      </c>
    </row>
    <row r="1346" spans="1:5" hidden="1" x14ac:dyDescent="0.25">
      <c r="A1346" s="3" t="s">
        <v>2685</v>
      </c>
      <c r="B1346" s="3" t="s">
        <v>2686</v>
      </c>
      <c r="C1346" s="3" t="s">
        <v>3</v>
      </c>
      <c r="D1346" s="3" t="s">
        <v>3</v>
      </c>
      <c r="E1346" s="3" t="s">
        <v>4</v>
      </c>
    </row>
    <row r="1347" spans="1:5" hidden="1" x14ac:dyDescent="0.25">
      <c r="A1347" s="3" t="s">
        <v>2687</v>
      </c>
      <c r="B1347" s="3" t="s">
        <v>2688</v>
      </c>
      <c r="C1347" s="3" t="s">
        <v>3</v>
      </c>
      <c r="D1347" s="3" t="s">
        <v>3</v>
      </c>
      <c r="E1347" s="3" t="s">
        <v>4</v>
      </c>
    </row>
    <row r="1348" spans="1:5" hidden="1" x14ac:dyDescent="0.25">
      <c r="A1348" s="3" t="s">
        <v>2689</v>
      </c>
      <c r="B1348" s="3" t="s">
        <v>2690</v>
      </c>
      <c r="C1348" s="3" t="s">
        <v>3</v>
      </c>
      <c r="D1348" s="3" t="s">
        <v>3</v>
      </c>
      <c r="E1348" s="3" t="s">
        <v>4</v>
      </c>
    </row>
    <row r="1349" spans="1:5" hidden="1" x14ac:dyDescent="0.25">
      <c r="A1349" s="3" t="s">
        <v>2691</v>
      </c>
      <c r="B1349" s="3" t="s">
        <v>2692</v>
      </c>
      <c r="C1349" s="3" t="s">
        <v>3</v>
      </c>
      <c r="D1349" s="3" t="s">
        <v>3</v>
      </c>
      <c r="E1349" s="3" t="s">
        <v>4</v>
      </c>
    </row>
    <row r="1350" spans="1:5" hidden="1" x14ac:dyDescent="0.25">
      <c r="A1350" s="3" t="s">
        <v>2693</v>
      </c>
      <c r="B1350" s="3" t="s">
        <v>2694</v>
      </c>
      <c r="C1350" s="3" t="s">
        <v>3</v>
      </c>
      <c r="D1350" s="3" t="s">
        <v>3</v>
      </c>
      <c r="E1350" s="3" t="s">
        <v>4</v>
      </c>
    </row>
    <row r="1351" spans="1:5" hidden="1" x14ac:dyDescent="0.25">
      <c r="A1351" s="3" t="s">
        <v>2695</v>
      </c>
      <c r="B1351" s="3" t="s">
        <v>2696</v>
      </c>
      <c r="C1351" s="3" t="s">
        <v>3</v>
      </c>
      <c r="D1351" s="3" t="s">
        <v>3</v>
      </c>
      <c r="E1351" s="3" t="s">
        <v>4</v>
      </c>
    </row>
    <row r="1352" spans="1:5" hidden="1" x14ac:dyDescent="0.25">
      <c r="A1352" s="3" t="s">
        <v>2697</v>
      </c>
      <c r="B1352" s="3" t="s">
        <v>2698</v>
      </c>
      <c r="C1352" s="3" t="s">
        <v>3</v>
      </c>
      <c r="D1352" s="3" t="s">
        <v>3</v>
      </c>
      <c r="E1352" s="3" t="s">
        <v>4</v>
      </c>
    </row>
    <row r="1353" spans="1:5" hidden="1" x14ac:dyDescent="0.25">
      <c r="A1353" s="3" t="s">
        <v>2699</v>
      </c>
      <c r="B1353" s="3" t="s">
        <v>2700</v>
      </c>
      <c r="C1353" s="3" t="s">
        <v>3</v>
      </c>
      <c r="D1353" s="3" t="s">
        <v>3</v>
      </c>
      <c r="E1353" s="3" t="s">
        <v>4</v>
      </c>
    </row>
    <row r="1354" spans="1:5" hidden="1" x14ac:dyDescent="0.25">
      <c r="A1354" s="3" t="s">
        <v>2701</v>
      </c>
      <c r="B1354" s="3" t="s">
        <v>2702</v>
      </c>
      <c r="C1354" s="3" t="s">
        <v>3</v>
      </c>
      <c r="D1354" s="3" t="s">
        <v>3</v>
      </c>
      <c r="E1354" s="3" t="s">
        <v>4</v>
      </c>
    </row>
    <row r="1355" spans="1:5" hidden="1" x14ac:dyDescent="0.25">
      <c r="A1355" s="3" t="s">
        <v>2703</v>
      </c>
      <c r="B1355" s="3" t="s">
        <v>2704</v>
      </c>
      <c r="C1355" s="3" t="s">
        <v>3</v>
      </c>
      <c r="D1355" s="3" t="s">
        <v>3</v>
      </c>
      <c r="E1355" s="3" t="s">
        <v>4</v>
      </c>
    </row>
    <row r="1356" spans="1:5" hidden="1" x14ac:dyDescent="0.25">
      <c r="A1356" s="3" t="s">
        <v>2705</v>
      </c>
      <c r="B1356" s="3" t="s">
        <v>2706</v>
      </c>
      <c r="C1356" s="3" t="s">
        <v>3</v>
      </c>
      <c r="D1356" s="3" t="s">
        <v>3</v>
      </c>
      <c r="E1356" s="3" t="s">
        <v>4</v>
      </c>
    </row>
    <row r="1357" spans="1:5" hidden="1" x14ac:dyDescent="0.25">
      <c r="A1357" s="3" t="s">
        <v>2707</v>
      </c>
      <c r="B1357" s="3" t="s">
        <v>2708</v>
      </c>
      <c r="C1357" s="3" t="s">
        <v>3</v>
      </c>
      <c r="D1357" s="3" t="s">
        <v>3</v>
      </c>
      <c r="E1357" s="3" t="s">
        <v>4</v>
      </c>
    </row>
    <row r="1358" spans="1:5" hidden="1" x14ac:dyDescent="0.25">
      <c r="A1358" s="3" t="s">
        <v>2709</v>
      </c>
      <c r="B1358" s="3" t="s">
        <v>2710</v>
      </c>
      <c r="C1358" s="3" t="s">
        <v>3</v>
      </c>
      <c r="D1358" s="3" t="s">
        <v>3</v>
      </c>
      <c r="E1358" s="3" t="s">
        <v>4</v>
      </c>
    </row>
    <row r="1359" spans="1:5" hidden="1" x14ac:dyDescent="0.25">
      <c r="A1359" s="3" t="s">
        <v>2711</v>
      </c>
      <c r="B1359" s="3" t="s">
        <v>2712</v>
      </c>
      <c r="C1359" s="3" t="s">
        <v>3</v>
      </c>
      <c r="D1359" s="3" t="s">
        <v>3</v>
      </c>
      <c r="E1359" s="3" t="s">
        <v>4</v>
      </c>
    </row>
    <row r="1360" spans="1:5" hidden="1" x14ac:dyDescent="0.25">
      <c r="A1360" s="3" t="s">
        <v>2713</v>
      </c>
      <c r="B1360" s="3" t="s">
        <v>2714</v>
      </c>
      <c r="C1360" s="3" t="s">
        <v>3</v>
      </c>
      <c r="D1360" s="3" t="s">
        <v>3</v>
      </c>
      <c r="E1360" s="3" t="s">
        <v>4</v>
      </c>
    </row>
    <row r="1361" spans="1:5" hidden="1" x14ac:dyDescent="0.25">
      <c r="A1361" s="3" t="s">
        <v>2715</v>
      </c>
      <c r="B1361" s="3" t="s">
        <v>2716</v>
      </c>
      <c r="C1361" s="3" t="s">
        <v>3</v>
      </c>
      <c r="D1361" s="3" t="s">
        <v>3</v>
      </c>
      <c r="E1361" s="3" t="s">
        <v>4</v>
      </c>
    </row>
    <row r="1362" spans="1:5" hidden="1" x14ac:dyDescent="0.25">
      <c r="A1362" s="3" t="s">
        <v>2717</v>
      </c>
      <c r="B1362" s="3" t="s">
        <v>2718</v>
      </c>
      <c r="C1362" s="3" t="s">
        <v>3</v>
      </c>
      <c r="D1362" s="3" t="s">
        <v>3</v>
      </c>
      <c r="E1362" s="3" t="s">
        <v>4</v>
      </c>
    </row>
    <row r="1363" spans="1:5" hidden="1" x14ac:dyDescent="0.25">
      <c r="A1363" s="3" t="s">
        <v>2719</v>
      </c>
      <c r="B1363" s="3" t="s">
        <v>2720</v>
      </c>
      <c r="C1363" s="3" t="s">
        <v>3</v>
      </c>
      <c r="D1363" s="3" t="s">
        <v>3</v>
      </c>
      <c r="E1363" s="3" t="s">
        <v>4</v>
      </c>
    </row>
    <row r="1364" spans="1:5" hidden="1" x14ac:dyDescent="0.25">
      <c r="A1364" s="3" t="s">
        <v>2721</v>
      </c>
      <c r="B1364" s="3" t="s">
        <v>2722</v>
      </c>
      <c r="C1364" s="3" t="s">
        <v>3</v>
      </c>
      <c r="D1364" s="3" t="s">
        <v>3</v>
      </c>
      <c r="E1364" s="3" t="s">
        <v>4</v>
      </c>
    </row>
    <row r="1365" spans="1:5" hidden="1" x14ac:dyDescent="0.25">
      <c r="A1365" s="3" t="s">
        <v>2723</v>
      </c>
      <c r="B1365" s="3" t="s">
        <v>2724</v>
      </c>
      <c r="C1365" s="3" t="s">
        <v>3</v>
      </c>
      <c r="D1365" s="3" t="s">
        <v>3</v>
      </c>
      <c r="E1365" s="3" t="s">
        <v>4</v>
      </c>
    </row>
    <row r="1366" spans="1:5" hidden="1" x14ac:dyDescent="0.25">
      <c r="A1366" s="3" t="s">
        <v>2725</v>
      </c>
      <c r="B1366" s="3" t="s">
        <v>2726</v>
      </c>
      <c r="C1366" s="3" t="s">
        <v>3</v>
      </c>
      <c r="D1366" s="3" t="s">
        <v>3</v>
      </c>
      <c r="E1366" s="3" t="s">
        <v>4</v>
      </c>
    </row>
    <row r="1367" spans="1:5" hidden="1" x14ac:dyDescent="0.25">
      <c r="A1367" s="3" t="s">
        <v>2727</v>
      </c>
      <c r="B1367" s="3" t="s">
        <v>2728</v>
      </c>
      <c r="C1367" s="3" t="s">
        <v>3</v>
      </c>
      <c r="D1367" s="3" t="s">
        <v>3</v>
      </c>
      <c r="E1367" s="3" t="s">
        <v>4</v>
      </c>
    </row>
    <row r="1368" spans="1:5" hidden="1" x14ac:dyDescent="0.25">
      <c r="A1368" s="3" t="s">
        <v>2729</v>
      </c>
      <c r="B1368" s="3" t="s">
        <v>2730</v>
      </c>
      <c r="C1368" s="3" t="s">
        <v>3</v>
      </c>
      <c r="D1368" s="3" t="s">
        <v>3</v>
      </c>
      <c r="E1368" s="3" t="s">
        <v>4</v>
      </c>
    </row>
    <row r="1369" spans="1:5" hidden="1" x14ac:dyDescent="0.25">
      <c r="A1369" s="3" t="s">
        <v>2731</v>
      </c>
      <c r="B1369" s="3" t="s">
        <v>2732</v>
      </c>
      <c r="C1369" s="3" t="s">
        <v>3</v>
      </c>
      <c r="D1369" s="3" t="s">
        <v>3</v>
      </c>
      <c r="E1369" s="3" t="s">
        <v>4</v>
      </c>
    </row>
    <row r="1370" spans="1:5" hidden="1" x14ac:dyDescent="0.25">
      <c r="A1370" s="3" t="s">
        <v>2733</v>
      </c>
      <c r="B1370" s="3" t="s">
        <v>2734</v>
      </c>
      <c r="C1370" s="3" t="s">
        <v>3</v>
      </c>
      <c r="D1370" s="3" t="s">
        <v>3</v>
      </c>
      <c r="E1370" s="3" t="s">
        <v>4</v>
      </c>
    </row>
    <row r="1371" spans="1:5" hidden="1" x14ac:dyDescent="0.25">
      <c r="A1371" s="3" t="s">
        <v>2735</v>
      </c>
      <c r="B1371" s="3" t="s">
        <v>2736</v>
      </c>
      <c r="C1371" s="3" t="s">
        <v>3</v>
      </c>
      <c r="D1371" s="3" t="s">
        <v>3</v>
      </c>
      <c r="E1371" s="3" t="s">
        <v>4</v>
      </c>
    </row>
    <row r="1372" spans="1:5" hidden="1" x14ac:dyDescent="0.25">
      <c r="A1372" s="3" t="s">
        <v>2737</v>
      </c>
      <c r="B1372" s="3" t="s">
        <v>2738</v>
      </c>
      <c r="C1372" s="3" t="s">
        <v>3</v>
      </c>
      <c r="D1372" s="3" t="s">
        <v>3</v>
      </c>
      <c r="E1372" s="3" t="s">
        <v>4</v>
      </c>
    </row>
    <row r="1373" spans="1:5" hidden="1" x14ac:dyDescent="0.25">
      <c r="A1373" s="3" t="s">
        <v>2739</v>
      </c>
      <c r="B1373" s="3" t="s">
        <v>2740</v>
      </c>
      <c r="C1373" s="3" t="s">
        <v>3</v>
      </c>
      <c r="D1373" s="3" t="s">
        <v>3</v>
      </c>
      <c r="E1373" s="3" t="s">
        <v>4</v>
      </c>
    </row>
    <row r="1374" spans="1:5" hidden="1" x14ac:dyDescent="0.25">
      <c r="A1374" s="3" t="s">
        <v>2741</v>
      </c>
      <c r="B1374" s="3" t="s">
        <v>2742</v>
      </c>
      <c r="C1374" s="3" t="s">
        <v>3</v>
      </c>
      <c r="D1374" s="3" t="s">
        <v>3</v>
      </c>
      <c r="E1374" s="3" t="s">
        <v>4</v>
      </c>
    </row>
    <row r="1375" spans="1:5" hidden="1" x14ac:dyDescent="0.25">
      <c r="A1375" s="3" t="s">
        <v>2743</v>
      </c>
      <c r="B1375" s="3" t="s">
        <v>2744</v>
      </c>
      <c r="C1375" s="3" t="s">
        <v>3</v>
      </c>
      <c r="D1375" s="3" t="s">
        <v>3</v>
      </c>
      <c r="E1375" s="3" t="s">
        <v>4</v>
      </c>
    </row>
    <row r="1376" spans="1:5" hidden="1" x14ac:dyDescent="0.25">
      <c r="A1376" s="3" t="s">
        <v>2745</v>
      </c>
      <c r="B1376" s="3" t="s">
        <v>2746</v>
      </c>
      <c r="C1376" s="3" t="s">
        <v>3</v>
      </c>
      <c r="D1376" s="3" t="s">
        <v>3</v>
      </c>
      <c r="E1376" s="3" t="s">
        <v>4</v>
      </c>
    </row>
    <row r="1377" spans="1:5" hidden="1" x14ac:dyDescent="0.25">
      <c r="A1377" s="3" t="s">
        <v>2747</v>
      </c>
      <c r="B1377" s="3" t="s">
        <v>2748</v>
      </c>
      <c r="C1377" s="3" t="s">
        <v>3</v>
      </c>
      <c r="D1377" s="3" t="s">
        <v>3</v>
      </c>
      <c r="E1377" s="3" t="s">
        <v>4</v>
      </c>
    </row>
    <row r="1378" spans="1:5" hidden="1" x14ac:dyDescent="0.25">
      <c r="A1378" s="3" t="s">
        <v>2749</v>
      </c>
      <c r="B1378" s="3" t="s">
        <v>2750</v>
      </c>
      <c r="C1378" s="3" t="s">
        <v>3</v>
      </c>
      <c r="D1378" s="3" t="s">
        <v>3</v>
      </c>
      <c r="E1378" s="3" t="s">
        <v>4</v>
      </c>
    </row>
    <row r="1379" spans="1:5" hidden="1" x14ac:dyDescent="0.25">
      <c r="A1379" s="3" t="s">
        <v>2751</v>
      </c>
      <c r="B1379" s="3" t="s">
        <v>2752</v>
      </c>
      <c r="C1379" s="3" t="s">
        <v>3</v>
      </c>
      <c r="D1379" s="3" t="s">
        <v>3</v>
      </c>
      <c r="E1379" s="3" t="s">
        <v>4</v>
      </c>
    </row>
    <row r="1380" spans="1:5" hidden="1" x14ac:dyDescent="0.25">
      <c r="A1380" s="3" t="s">
        <v>2753</v>
      </c>
      <c r="B1380" s="3" t="s">
        <v>2754</v>
      </c>
      <c r="C1380" s="3" t="s">
        <v>3</v>
      </c>
      <c r="D1380" s="3" t="s">
        <v>3</v>
      </c>
      <c r="E1380" s="3" t="s">
        <v>4</v>
      </c>
    </row>
    <row r="1381" spans="1:5" hidden="1" x14ac:dyDescent="0.25">
      <c r="A1381" s="3" t="s">
        <v>2755</v>
      </c>
      <c r="B1381" s="3" t="s">
        <v>2756</v>
      </c>
      <c r="C1381" s="3" t="s">
        <v>3</v>
      </c>
      <c r="D1381" s="3" t="s">
        <v>3</v>
      </c>
      <c r="E1381" s="3" t="s">
        <v>4</v>
      </c>
    </row>
    <row r="1382" spans="1:5" hidden="1" x14ac:dyDescent="0.25">
      <c r="A1382" s="3" t="s">
        <v>2757</v>
      </c>
      <c r="B1382" s="3" t="s">
        <v>2758</v>
      </c>
      <c r="C1382" s="3" t="s">
        <v>3</v>
      </c>
      <c r="D1382" s="3" t="s">
        <v>3</v>
      </c>
      <c r="E1382" s="3" t="s">
        <v>4</v>
      </c>
    </row>
    <row r="1383" spans="1:5" hidden="1" x14ac:dyDescent="0.25">
      <c r="A1383" s="3" t="s">
        <v>2759</v>
      </c>
      <c r="B1383" s="3" t="s">
        <v>2760</v>
      </c>
      <c r="C1383" s="3" t="s">
        <v>3</v>
      </c>
      <c r="D1383" s="3" t="s">
        <v>3</v>
      </c>
      <c r="E1383" s="3" t="s">
        <v>4</v>
      </c>
    </row>
    <row r="1384" spans="1:5" hidden="1" x14ac:dyDescent="0.25">
      <c r="A1384" s="3" t="s">
        <v>2761</v>
      </c>
      <c r="B1384" s="3" t="s">
        <v>2762</v>
      </c>
      <c r="C1384" s="3" t="s">
        <v>3</v>
      </c>
      <c r="D1384" s="3" t="s">
        <v>3</v>
      </c>
      <c r="E1384" s="3" t="s">
        <v>4</v>
      </c>
    </row>
    <row r="1385" spans="1:5" hidden="1" x14ac:dyDescent="0.25">
      <c r="A1385" s="3" t="s">
        <v>2763</v>
      </c>
      <c r="B1385" s="3" t="s">
        <v>2764</v>
      </c>
      <c r="C1385" s="3" t="s">
        <v>3</v>
      </c>
      <c r="D1385" s="3" t="s">
        <v>3</v>
      </c>
      <c r="E1385" s="3" t="s">
        <v>4</v>
      </c>
    </row>
    <row r="1386" spans="1:5" hidden="1" x14ac:dyDescent="0.25">
      <c r="A1386" s="3" t="s">
        <v>2765</v>
      </c>
      <c r="B1386" s="3" t="s">
        <v>2766</v>
      </c>
      <c r="C1386" s="3" t="s">
        <v>3</v>
      </c>
      <c r="D1386" s="3" t="s">
        <v>3</v>
      </c>
      <c r="E1386" s="3" t="s">
        <v>4</v>
      </c>
    </row>
    <row r="1387" spans="1:5" hidden="1" x14ac:dyDescent="0.25">
      <c r="A1387" s="3" t="s">
        <v>2767</v>
      </c>
      <c r="B1387" s="3" t="s">
        <v>2768</v>
      </c>
      <c r="C1387" s="3" t="s">
        <v>3</v>
      </c>
      <c r="D1387" s="3" t="s">
        <v>3</v>
      </c>
      <c r="E1387" s="3" t="s">
        <v>4</v>
      </c>
    </row>
    <row r="1388" spans="1:5" hidden="1" x14ac:dyDescent="0.25">
      <c r="A1388" s="3" t="s">
        <v>2769</v>
      </c>
      <c r="B1388" s="3" t="s">
        <v>2770</v>
      </c>
      <c r="C1388" s="3" t="s">
        <v>3</v>
      </c>
      <c r="D1388" s="3" t="s">
        <v>3</v>
      </c>
      <c r="E1388" s="3" t="s">
        <v>4</v>
      </c>
    </row>
    <row r="1389" spans="1:5" hidden="1" x14ac:dyDescent="0.25">
      <c r="A1389" s="3" t="s">
        <v>2771</v>
      </c>
      <c r="B1389" s="3" t="s">
        <v>2772</v>
      </c>
      <c r="C1389" s="3" t="s">
        <v>3</v>
      </c>
      <c r="D1389" s="3" t="s">
        <v>3</v>
      </c>
      <c r="E1389" s="3" t="s">
        <v>4</v>
      </c>
    </row>
    <row r="1390" spans="1:5" hidden="1" x14ac:dyDescent="0.25">
      <c r="A1390" s="3" t="s">
        <v>2773</v>
      </c>
      <c r="B1390" s="3" t="s">
        <v>2774</v>
      </c>
      <c r="C1390" s="3" t="s">
        <v>3</v>
      </c>
      <c r="D1390" s="3" t="s">
        <v>3</v>
      </c>
      <c r="E1390" s="3" t="s">
        <v>4</v>
      </c>
    </row>
    <row r="1391" spans="1:5" hidden="1" x14ac:dyDescent="0.25">
      <c r="A1391" s="3" t="s">
        <v>2775</v>
      </c>
      <c r="B1391" s="3" t="s">
        <v>2776</v>
      </c>
      <c r="C1391" s="3" t="s">
        <v>3</v>
      </c>
      <c r="D1391" s="3" t="s">
        <v>3</v>
      </c>
      <c r="E1391" s="3" t="s">
        <v>4</v>
      </c>
    </row>
    <row r="1392" spans="1:5" hidden="1" x14ac:dyDescent="0.25">
      <c r="A1392" s="3" t="s">
        <v>2777</v>
      </c>
      <c r="B1392" s="3" t="s">
        <v>2778</v>
      </c>
      <c r="C1392" s="3" t="s">
        <v>3</v>
      </c>
      <c r="D1392" s="3" t="s">
        <v>3</v>
      </c>
      <c r="E1392" s="3" t="s">
        <v>4</v>
      </c>
    </row>
    <row r="1393" spans="1:5" hidden="1" x14ac:dyDescent="0.25">
      <c r="A1393" s="3" t="s">
        <v>2779</v>
      </c>
      <c r="B1393" s="3" t="s">
        <v>2780</v>
      </c>
      <c r="C1393" s="3" t="s">
        <v>3</v>
      </c>
      <c r="D1393" s="3" t="s">
        <v>3</v>
      </c>
      <c r="E1393" s="3" t="s">
        <v>4</v>
      </c>
    </row>
    <row r="1394" spans="1:5" hidden="1" x14ac:dyDescent="0.25">
      <c r="A1394" s="3" t="s">
        <v>2781</v>
      </c>
      <c r="B1394" s="3" t="s">
        <v>2782</v>
      </c>
      <c r="C1394" s="3" t="s">
        <v>3</v>
      </c>
      <c r="D1394" s="3" t="s">
        <v>3</v>
      </c>
      <c r="E1394" s="3" t="s">
        <v>4</v>
      </c>
    </row>
    <row r="1395" spans="1:5" hidden="1" x14ac:dyDescent="0.25">
      <c r="A1395" s="3" t="s">
        <v>2783</v>
      </c>
      <c r="B1395" s="3" t="s">
        <v>2784</v>
      </c>
      <c r="C1395" s="3" t="s">
        <v>3</v>
      </c>
      <c r="D1395" s="3" t="s">
        <v>3</v>
      </c>
      <c r="E1395" s="3" t="s">
        <v>4</v>
      </c>
    </row>
    <row r="1396" spans="1:5" hidden="1" x14ac:dyDescent="0.25">
      <c r="A1396" s="3" t="s">
        <v>2785</v>
      </c>
      <c r="B1396" s="3" t="s">
        <v>2786</v>
      </c>
      <c r="C1396" s="3" t="s">
        <v>3</v>
      </c>
      <c r="D1396" s="3" t="s">
        <v>3</v>
      </c>
      <c r="E1396" s="3" t="s">
        <v>4</v>
      </c>
    </row>
    <row r="1397" spans="1:5" hidden="1" x14ac:dyDescent="0.25">
      <c r="A1397" s="3" t="s">
        <v>2787</v>
      </c>
      <c r="B1397" s="3" t="s">
        <v>2788</v>
      </c>
      <c r="C1397" s="3" t="s">
        <v>3</v>
      </c>
      <c r="D1397" s="3" t="s">
        <v>3</v>
      </c>
      <c r="E1397" s="3" t="s">
        <v>4</v>
      </c>
    </row>
    <row r="1398" spans="1:5" hidden="1" x14ac:dyDescent="0.25">
      <c r="A1398" s="3" t="s">
        <v>2789</v>
      </c>
      <c r="B1398" s="3" t="s">
        <v>2790</v>
      </c>
      <c r="C1398" s="3" t="s">
        <v>3</v>
      </c>
      <c r="D1398" s="3" t="s">
        <v>3</v>
      </c>
      <c r="E1398" s="3" t="s">
        <v>4</v>
      </c>
    </row>
    <row r="1399" spans="1:5" hidden="1" x14ac:dyDescent="0.25">
      <c r="A1399" s="3" t="s">
        <v>2791</v>
      </c>
      <c r="B1399" s="3" t="s">
        <v>2792</v>
      </c>
      <c r="C1399" s="3" t="s">
        <v>3</v>
      </c>
      <c r="D1399" s="3" t="s">
        <v>3</v>
      </c>
      <c r="E1399" s="3" t="s">
        <v>4</v>
      </c>
    </row>
    <row r="1400" spans="1:5" hidden="1" x14ac:dyDescent="0.25">
      <c r="A1400" s="3" t="s">
        <v>2793</v>
      </c>
      <c r="B1400" s="3" t="s">
        <v>2794</v>
      </c>
      <c r="C1400" s="3" t="s">
        <v>3</v>
      </c>
      <c r="D1400" s="3" t="s">
        <v>3</v>
      </c>
      <c r="E1400" s="3" t="s">
        <v>4</v>
      </c>
    </row>
    <row r="1401" spans="1:5" hidden="1" x14ac:dyDescent="0.25">
      <c r="A1401" s="3" t="s">
        <v>2795</v>
      </c>
      <c r="B1401" s="3" t="s">
        <v>2796</v>
      </c>
      <c r="C1401" s="3" t="s">
        <v>3</v>
      </c>
      <c r="D1401" s="3" t="s">
        <v>3</v>
      </c>
      <c r="E1401" s="3" t="s">
        <v>4</v>
      </c>
    </row>
    <row r="1402" spans="1:5" hidden="1" x14ac:dyDescent="0.25">
      <c r="A1402" s="3" t="s">
        <v>2797</v>
      </c>
      <c r="B1402" s="3" t="s">
        <v>2798</v>
      </c>
      <c r="C1402" s="3" t="s">
        <v>3</v>
      </c>
      <c r="D1402" s="3" t="s">
        <v>3</v>
      </c>
      <c r="E1402" s="3" t="s">
        <v>4</v>
      </c>
    </row>
    <row r="1403" spans="1:5" hidden="1" x14ac:dyDescent="0.25">
      <c r="A1403" s="3" t="s">
        <v>2799</v>
      </c>
      <c r="B1403" s="3" t="s">
        <v>2800</v>
      </c>
      <c r="C1403" s="3" t="s">
        <v>3</v>
      </c>
      <c r="D1403" s="3" t="s">
        <v>3</v>
      </c>
      <c r="E1403" s="3" t="s">
        <v>4</v>
      </c>
    </row>
    <row r="1404" spans="1:5" hidden="1" x14ac:dyDescent="0.25">
      <c r="A1404" s="3" t="s">
        <v>2801</v>
      </c>
      <c r="B1404" s="3" t="s">
        <v>2802</v>
      </c>
      <c r="C1404" s="3" t="s">
        <v>3</v>
      </c>
      <c r="D1404" s="3" t="s">
        <v>3</v>
      </c>
      <c r="E1404" s="3" t="s">
        <v>4</v>
      </c>
    </row>
    <row r="1405" spans="1:5" hidden="1" x14ac:dyDescent="0.25">
      <c r="A1405" s="3" t="s">
        <v>2803</v>
      </c>
      <c r="B1405" s="3" t="s">
        <v>2804</v>
      </c>
      <c r="C1405" s="3" t="s">
        <v>3</v>
      </c>
      <c r="D1405" s="3" t="s">
        <v>3</v>
      </c>
      <c r="E1405" s="3" t="s">
        <v>4</v>
      </c>
    </row>
    <row r="1406" spans="1:5" hidden="1" x14ac:dyDescent="0.25">
      <c r="A1406" s="3" t="s">
        <v>2805</v>
      </c>
      <c r="B1406" s="3" t="s">
        <v>2806</v>
      </c>
      <c r="C1406" s="3" t="s">
        <v>3</v>
      </c>
      <c r="D1406" s="3" t="s">
        <v>3</v>
      </c>
      <c r="E1406" s="3" t="s">
        <v>4</v>
      </c>
    </row>
    <row r="1407" spans="1:5" hidden="1" x14ac:dyDescent="0.25">
      <c r="A1407" s="3" t="s">
        <v>2807</v>
      </c>
      <c r="B1407" s="3" t="s">
        <v>2808</v>
      </c>
      <c r="C1407" s="3" t="s">
        <v>3</v>
      </c>
      <c r="D1407" s="3" t="s">
        <v>3</v>
      </c>
      <c r="E1407" s="3" t="s">
        <v>4</v>
      </c>
    </row>
    <row r="1408" spans="1:5" hidden="1" x14ac:dyDescent="0.25">
      <c r="A1408" s="3" t="s">
        <v>2809</v>
      </c>
      <c r="B1408" s="3" t="s">
        <v>2810</v>
      </c>
      <c r="C1408" s="3" t="s">
        <v>3</v>
      </c>
      <c r="D1408" s="3" t="s">
        <v>3</v>
      </c>
      <c r="E1408" s="3" t="s">
        <v>4</v>
      </c>
    </row>
    <row r="1409" spans="1:5" hidden="1" x14ac:dyDescent="0.25">
      <c r="A1409" s="3" t="s">
        <v>2811</v>
      </c>
      <c r="B1409" s="3" t="s">
        <v>2812</v>
      </c>
      <c r="C1409" s="3" t="s">
        <v>3</v>
      </c>
      <c r="D1409" s="3" t="s">
        <v>3</v>
      </c>
      <c r="E1409" s="3" t="s">
        <v>4</v>
      </c>
    </row>
    <row r="1410" spans="1:5" hidden="1" x14ac:dyDescent="0.25">
      <c r="A1410" s="3" t="s">
        <v>2813</v>
      </c>
      <c r="B1410" s="3" t="s">
        <v>2814</v>
      </c>
      <c r="C1410" s="3" t="s">
        <v>3</v>
      </c>
      <c r="D1410" s="3" t="s">
        <v>3</v>
      </c>
      <c r="E1410" s="3" t="s">
        <v>4</v>
      </c>
    </row>
    <row r="1411" spans="1:5" hidden="1" x14ac:dyDescent="0.25">
      <c r="A1411" s="3" t="s">
        <v>2815</v>
      </c>
      <c r="B1411" s="3" t="s">
        <v>2816</v>
      </c>
      <c r="C1411" s="3" t="s">
        <v>3</v>
      </c>
      <c r="D1411" s="3" t="s">
        <v>3</v>
      </c>
      <c r="E1411" s="3" t="s">
        <v>4</v>
      </c>
    </row>
    <row r="1412" spans="1:5" hidden="1" x14ac:dyDescent="0.25">
      <c r="A1412" s="3" t="s">
        <v>2817</v>
      </c>
      <c r="B1412" s="3" t="s">
        <v>2818</v>
      </c>
      <c r="C1412" s="3" t="s">
        <v>3</v>
      </c>
      <c r="D1412" s="3" t="s">
        <v>3</v>
      </c>
      <c r="E1412" s="3" t="s">
        <v>4</v>
      </c>
    </row>
    <row r="1413" spans="1:5" hidden="1" x14ac:dyDescent="0.25">
      <c r="A1413" s="3" t="s">
        <v>2819</v>
      </c>
      <c r="B1413" s="3" t="s">
        <v>2820</v>
      </c>
      <c r="C1413" s="3" t="s">
        <v>3</v>
      </c>
      <c r="D1413" s="3" t="s">
        <v>3</v>
      </c>
      <c r="E1413" s="3" t="s">
        <v>4</v>
      </c>
    </row>
    <row r="1414" spans="1:5" hidden="1" x14ac:dyDescent="0.25">
      <c r="A1414" s="3" t="s">
        <v>2821</v>
      </c>
      <c r="B1414" s="3" t="s">
        <v>2822</v>
      </c>
      <c r="C1414" s="3" t="s">
        <v>3</v>
      </c>
      <c r="D1414" s="3" t="s">
        <v>3</v>
      </c>
      <c r="E1414" s="3" t="s">
        <v>4</v>
      </c>
    </row>
    <row r="1415" spans="1:5" hidden="1" x14ac:dyDescent="0.25">
      <c r="A1415" s="3" t="s">
        <v>2823</v>
      </c>
      <c r="B1415" s="3" t="s">
        <v>2824</v>
      </c>
      <c r="C1415" s="3" t="s">
        <v>3</v>
      </c>
      <c r="D1415" s="3" t="s">
        <v>3</v>
      </c>
      <c r="E1415" s="3" t="s">
        <v>4</v>
      </c>
    </row>
    <row r="1416" spans="1:5" hidden="1" x14ac:dyDescent="0.25">
      <c r="A1416" s="3" t="s">
        <v>2825</v>
      </c>
      <c r="B1416" s="3" t="s">
        <v>2826</v>
      </c>
      <c r="C1416" s="3" t="s">
        <v>3</v>
      </c>
      <c r="D1416" s="3" t="s">
        <v>3</v>
      </c>
      <c r="E1416" s="3" t="s">
        <v>4</v>
      </c>
    </row>
    <row r="1417" spans="1:5" hidden="1" x14ac:dyDescent="0.25">
      <c r="A1417" s="3" t="s">
        <v>2827</v>
      </c>
      <c r="B1417" s="3" t="s">
        <v>2828</v>
      </c>
      <c r="C1417" s="3" t="s">
        <v>3</v>
      </c>
      <c r="D1417" s="3" t="s">
        <v>3</v>
      </c>
      <c r="E1417" s="3" t="s">
        <v>4</v>
      </c>
    </row>
    <row r="1418" spans="1:5" hidden="1" x14ac:dyDescent="0.25">
      <c r="A1418" s="3" t="s">
        <v>2829</v>
      </c>
      <c r="B1418" s="3" t="s">
        <v>2830</v>
      </c>
      <c r="C1418" s="3" t="s">
        <v>3</v>
      </c>
      <c r="D1418" s="3" t="s">
        <v>3</v>
      </c>
      <c r="E1418" s="3" t="s">
        <v>4</v>
      </c>
    </row>
    <row r="1419" spans="1:5" hidden="1" x14ac:dyDescent="0.25">
      <c r="A1419" s="3" t="s">
        <v>2831</v>
      </c>
      <c r="B1419" s="3" t="s">
        <v>2832</v>
      </c>
      <c r="C1419" s="3" t="s">
        <v>3</v>
      </c>
      <c r="D1419" s="3" t="s">
        <v>3</v>
      </c>
      <c r="E1419" s="3" t="s">
        <v>4</v>
      </c>
    </row>
    <row r="1420" spans="1:5" hidden="1" x14ac:dyDescent="0.25">
      <c r="A1420" s="3" t="s">
        <v>2833</v>
      </c>
      <c r="B1420" s="3" t="s">
        <v>2834</v>
      </c>
      <c r="C1420" s="3" t="s">
        <v>3</v>
      </c>
      <c r="D1420" s="3" t="s">
        <v>3</v>
      </c>
      <c r="E1420" s="3" t="s">
        <v>4</v>
      </c>
    </row>
    <row r="1421" spans="1:5" hidden="1" x14ac:dyDescent="0.25">
      <c r="A1421" s="3" t="s">
        <v>2835</v>
      </c>
      <c r="B1421" s="3" t="s">
        <v>2836</v>
      </c>
      <c r="C1421" s="3" t="s">
        <v>3</v>
      </c>
      <c r="D1421" s="3" t="s">
        <v>3</v>
      </c>
      <c r="E1421" s="3" t="s">
        <v>4</v>
      </c>
    </row>
    <row r="1422" spans="1:5" hidden="1" x14ac:dyDescent="0.25">
      <c r="A1422" s="3" t="s">
        <v>2837</v>
      </c>
      <c r="B1422" s="3" t="s">
        <v>2838</v>
      </c>
      <c r="C1422" s="3" t="s">
        <v>3</v>
      </c>
      <c r="D1422" s="3" t="s">
        <v>3</v>
      </c>
      <c r="E1422" s="3" t="s">
        <v>4</v>
      </c>
    </row>
    <row r="1423" spans="1:5" hidden="1" x14ac:dyDescent="0.25">
      <c r="A1423" s="3" t="s">
        <v>2839</v>
      </c>
      <c r="B1423" s="3" t="s">
        <v>2840</v>
      </c>
      <c r="C1423" s="3" t="s">
        <v>3</v>
      </c>
      <c r="D1423" s="3" t="s">
        <v>3</v>
      </c>
      <c r="E1423" s="3" t="s">
        <v>4</v>
      </c>
    </row>
    <row r="1424" spans="1:5" hidden="1" x14ac:dyDescent="0.25">
      <c r="A1424" s="3" t="s">
        <v>2841</v>
      </c>
      <c r="B1424" s="3" t="s">
        <v>2842</v>
      </c>
      <c r="C1424" s="3" t="s">
        <v>3</v>
      </c>
      <c r="D1424" s="3" t="s">
        <v>3</v>
      </c>
      <c r="E1424" s="3" t="s">
        <v>4</v>
      </c>
    </row>
    <row r="1425" spans="1:5" hidden="1" x14ac:dyDescent="0.25">
      <c r="A1425" s="3" t="s">
        <v>2843</v>
      </c>
      <c r="B1425" s="3" t="s">
        <v>2844</v>
      </c>
      <c r="C1425" s="3" t="s">
        <v>3</v>
      </c>
      <c r="D1425" s="3" t="s">
        <v>3</v>
      </c>
      <c r="E1425" s="3" t="s">
        <v>4</v>
      </c>
    </row>
    <row r="1426" spans="1:5" hidden="1" x14ac:dyDescent="0.25">
      <c r="A1426" s="3" t="s">
        <v>2845</v>
      </c>
      <c r="B1426" s="3" t="s">
        <v>2846</v>
      </c>
      <c r="C1426" s="3" t="s">
        <v>3</v>
      </c>
      <c r="D1426" s="3" t="s">
        <v>3</v>
      </c>
      <c r="E1426" s="3" t="s">
        <v>4</v>
      </c>
    </row>
    <row r="1427" spans="1:5" hidden="1" x14ac:dyDescent="0.25">
      <c r="A1427" s="3" t="s">
        <v>2847</v>
      </c>
      <c r="B1427" s="3" t="s">
        <v>2848</v>
      </c>
      <c r="C1427" s="3" t="s">
        <v>3</v>
      </c>
      <c r="D1427" s="3" t="s">
        <v>3</v>
      </c>
      <c r="E1427" s="3" t="s">
        <v>4</v>
      </c>
    </row>
    <row r="1428" spans="1:5" hidden="1" x14ac:dyDescent="0.25">
      <c r="A1428" s="3" t="s">
        <v>2849</v>
      </c>
      <c r="B1428" s="3" t="s">
        <v>2850</v>
      </c>
      <c r="C1428" s="3" t="s">
        <v>3</v>
      </c>
      <c r="D1428" s="3" t="s">
        <v>3</v>
      </c>
      <c r="E1428" s="3" t="s">
        <v>4</v>
      </c>
    </row>
    <row r="1429" spans="1:5" hidden="1" x14ac:dyDescent="0.25">
      <c r="A1429" s="3" t="s">
        <v>2851</v>
      </c>
      <c r="B1429" s="3" t="s">
        <v>2852</v>
      </c>
      <c r="C1429" s="3" t="s">
        <v>3</v>
      </c>
      <c r="D1429" s="3" t="s">
        <v>3</v>
      </c>
      <c r="E1429" s="3" t="s">
        <v>4</v>
      </c>
    </row>
    <row r="1430" spans="1:5" hidden="1" x14ac:dyDescent="0.25">
      <c r="A1430" s="3" t="s">
        <v>2853</v>
      </c>
      <c r="B1430" s="3" t="s">
        <v>2854</v>
      </c>
      <c r="C1430" s="3" t="s">
        <v>3</v>
      </c>
      <c r="D1430" s="3" t="s">
        <v>3</v>
      </c>
      <c r="E1430" s="3" t="s">
        <v>4</v>
      </c>
    </row>
    <row r="1431" spans="1:5" hidden="1" x14ac:dyDescent="0.25">
      <c r="A1431" s="3" t="s">
        <v>2855</v>
      </c>
      <c r="B1431" s="3" t="s">
        <v>2856</v>
      </c>
      <c r="C1431" s="3" t="s">
        <v>3</v>
      </c>
      <c r="D1431" s="3" t="s">
        <v>3</v>
      </c>
      <c r="E1431" s="3" t="s">
        <v>4</v>
      </c>
    </row>
    <row r="1432" spans="1:5" hidden="1" x14ac:dyDescent="0.25">
      <c r="A1432" s="3" t="s">
        <v>2857</v>
      </c>
      <c r="B1432" s="3" t="s">
        <v>2858</v>
      </c>
      <c r="C1432" s="3" t="s">
        <v>3</v>
      </c>
      <c r="D1432" s="3" t="s">
        <v>3</v>
      </c>
      <c r="E1432" s="3" t="s">
        <v>4</v>
      </c>
    </row>
    <row r="1433" spans="1:5" hidden="1" x14ac:dyDescent="0.25">
      <c r="A1433" s="3" t="s">
        <v>2859</v>
      </c>
      <c r="B1433" s="3" t="s">
        <v>2860</v>
      </c>
      <c r="C1433" s="3" t="s">
        <v>3</v>
      </c>
      <c r="D1433" s="3" t="s">
        <v>3</v>
      </c>
      <c r="E1433" s="3" t="s">
        <v>4</v>
      </c>
    </row>
    <row r="1434" spans="1:5" hidden="1" x14ac:dyDescent="0.25">
      <c r="A1434" s="3" t="s">
        <v>2861</v>
      </c>
      <c r="B1434" s="3" t="s">
        <v>2862</v>
      </c>
      <c r="C1434" s="3" t="s">
        <v>3</v>
      </c>
      <c r="D1434" s="3" t="s">
        <v>3</v>
      </c>
      <c r="E1434" s="3" t="s">
        <v>4</v>
      </c>
    </row>
    <row r="1435" spans="1:5" hidden="1" x14ac:dyDescent="0.25">
      <c r="A1435" s="3" t="s">
        <v>2863</v>
      </c>
      <c r="B1435" s="3" t="s">
        <v>2864</v>
      </c>
      <c r="C1435" s="3" t="s">
        <v>3</v>
      </c>
      <c r="D1435" s="3" t="s">
        <v>3</v>
      </c>
      <c r="E1435" s="3" t="s">
        <v>4</v>
      </c>
    </row>
    <row r="1436" spans="1:5" hidden="1" x14ac:dyDescent="0.25">
      <c r="A1436" s="3" t="s">
        <v>2865</v>
      </c>
      <c r="B1436" s="3" t="s">
        <v>2866</v>
      </c>
      <c r="C1436" s="3" t="s">
        <v>3</v>
      </c>
      <c r="D1436" s="3" t="s">
        <v>3</v>
      </c>
      <c r="E1436" s="3" t="s">
        <v>4</v>
      </c>
    </row>
    <row r="1437" spans="1:5" hidden="1" x14ac:dyDescent="0.25">
      <c r="A1437" s="3" t="s">
        <v>2867</v>
      </c>
      <c r="B1437" s="3" t="s">
        <v>2868</v>
      </c>
      <c r="C1437" s="3" t="s">
        <v>3</v>
      </c>
      <c r="D1437" s="3" t="s">
        <v>3</v>
      </c>
      <c r="E1437" s="3" t="s">
        <v>4</v>
      </c>
    </row>
    <row r="1438" spans="1:5" hidden="1" x14ac:dyDescent="0.25">
      <c r="A1438" s="3" t="s">
        <v>2869</v>
      </c>
      <c r="B1438" s="3" t="s">
        <v>2870</v>
      </c>
      <c r="C1438" s="3" t="s">
        <v>3</v>
      </c>
      <c r="D1438" s="3" t="s">
        <v>3</v>
      </c>
      <c r="E1438" s="3" t="s">
        <v>4</v>
      </c>
    </row>
    <row r="1439" spans="1:5" hidden="1" x14ac:dyDescent="0.25">
      <c r="A1439" s="3" t="s">
        <v>2871</v>
      </c>
      <c r="B1439" s="3" t="s">
        <v>2872</v>
      </c>
      <c r="C1439" s="3" t="s">
        <v>3</v>
      </c>
      <c r="D1439" s="3" t="s">
        <v>3</v>
      </c>
      <c r="E1439" s="3" t="s">
        <v>4</v>
      </c>
    </row>
    <row r="1440" spans="1:5" hidden="1" x14ac:dyDescent="0.25">
      <c r="A1440" s="3" t="s">
        <v>2873</v>
      </c>
      <c r="B1440" s="3" t="s">
        <v>2874</v>
      </c>
      <c r="C1440" s="3" t="s">
        <v>3</v>
      </c>
      <c r="D1440" s="3" t="s">
        <v>3</v>
      </c>
      <c r="E1440" s="3" t="s">
        <v>4</v>
      </c>
    </row>
    <row r="1441" spans="1:5" hidden="1" x14ac:dyDescent="0.25">
      <c r="A1441" s="3" t="s">
        <v>2875</v>
      </c>
      <c r="B1441" s="3" t="s">
        <v>2876</v>
      </c>
      <c r="C1441" s="3" t="s">
        <v>3</v>
      </c>
      <c r="D1441" s="3" t="s">
        <v>3</v>
      </c>
      <c r="E1441" s="3" t="s">
        <v>4</v>
      </c>
    </row>
    <row r="1442" spans="1:5" hidden="1" x14ac:dyDescent="0.25">
      <c r="A1442" s="3" t="s">
        <v>2877</v>
      </c>
      <c r="B1442" s="3" t="s">
        <v>2878</v>
      </c>
      <c r="C1442" s="3" t="s">
        <v>3</v>
      </c>
      <c r="D1442" s="3" t="s">
        <v>3</v>
      </c>
      <c r="E1442" s="3" t="s">
        <v>4</v>
      </c>
    </row>
    <row r="1443" spans="1:5" hidden="1" x14ac:dyDescent="0.25">
      <c r="A1443" s="3" t="s">
        <v>2879</v>
      </c>
      <c r="B1443" s="3" t="s">
        <v>2880</v>
      </c>
      <c r="C1443" s="3" t="s">
        <v>3</v>
      </c>
      <c r="D1443" s="3" t="s">
        <v>3</v>
      </c>
      <c r="E1443" s="3" t="s">
        <v>4</v>
      </c>
    </row>
    <row r="1444" spans="1:5" hidden="1" x14ac:dyDescent="0.25">
      <c r="A1444" s="3" t="s">
        <v>2881</v>
      </c>
      <c r="B1444" s="3" t="s">
        <v>2882</v>
      </c>
      <c r="C1444" s="3" t="s">
        <v>3</v>
      </c>
      <c r="D1444" s="3" t="s">
        <v>3</v>
      </c>
      <c r="E1444" s="3" t="s">
        <v>4</v>
      </c>
    </row>
    <row r="1445" spans="1:5" hidden="1" x14ac:dyDescent="0.25">
      <c r="A1445" s="3" t="s">
        <v>2883</v>
      </c>
      <c r="B1445" s="3" t="s">
        <v>2884</v>
      </c>
      <c r="C1445" s="3" t="s">
        <v>3</v>
      </c>
      <c r="D1445" s="3" t="s">
        <v>3</v>
      </c>
      <c r="E1445" s="3" t="s">
        <v>4</v>
      </c>
    </row>
    <row r="1446" spans="1:5" hidden="1" x14ac:dyDescent="0.25">
      <c r="A1446" s="3" t="s">
        <v>2885</v>
      </c>
      <c r="B1446" s="3" t="s">
        <v>2886</v>
      </c>
      <c r="C1446" s="3" t="s">
        <v>3</v>
      </c>
      <c r="D1446" s="3" t="s">
        <v>3</v>
      </c>
      <c r="E1446" s="3" t="s">
        <v>4</v>
      </c>
    </row>
    <row r="1447" spans="1:5" hidden="1" x14ac:dyDescent="0.25">
      <c r="A1447" s="3" t="s">
        <v>2887</v>
      </c>
      <c r="B1447" s="3" t="s">
        <v>2888</v>
      </c>
      <c r="C1447" s="3" t="s">
        <v>3</v>
      </c>
      <c r="D1447" s="3" t="s">
        <v>3</v>
      </c>
      <c r="E1447" s="3" t="s">
        <v>4</v>
      </c>
    </row>
    <row r="1448" spans="1:5" hidden="1" x14ac:dyDescent="0.25">
      <c r="A1448" s="3" t="s">
        <v>2889</v>
      </c>
      <c r="B1448" s="3" t="s">
        <v>2890</v>
      </c>
      <c r="C1448" s="3" t="s">
        <v>3</v>
      </c>
      <c r="D1448" s="3" t="s">
        <v>3</v>
      </c>
      <c r="E1448" s="3" t="s">
        <v>4</v>
      </c>
    </row>
    <row r="1449" spans="1:5" hidden="1" x14ac:dyDescent="0.25">
      <c r="A1449" s="3" t="s">
        <v>2891</v>
      </c>
      <c r="B1449" s="3" t="s">
        <v>2892</v>
      </c>
      <c r="C1449" s="3" t="s">
        <v>3</v>
      </c>
      <c r="D1449" s="3" t="s">
        <v>3</v>
      </c>
      <c r="E1449" s="3" t="s">
        <v>4</v>
      </c>
    </row>
    <row r="1450" spans="1:5" hidden="1" x14ac:dyDescent="0.25">
      <c r="A1450" s="3" t="s">
        <v>2893</v>
      </c>
      <c r="B1450" s="3" t="s">
        <v>2894</v>
      </c>
      <c r="C1450" s="3" t="s">
        <v>3</v>
      </c>
      <c r="D1450" s="3" t="s">
        <v>3</v>
      </c>
      <c r="E1450" s="3" t="s">
        <v>4</v>
      </c>
    </row>
    <row r="1451" spans="1:5" hidden="1" x14ac:dyDescent="0.25">
      <c r="A1451" s="3" t="s">
        <v>2895</v>
      </c>
      <c r="B1451" s="3" t="s">
        <v>2896</v>
      </c>
      <c r="C1451" s="3" t="s">
        <v>3</v>
      </c>
      <c r="D1451" s="3" t="s">
        <v>3</v>
      </c>
      <c r="E1451" s="3" t="s">
        <v>4</v>
      </c>
    </row>
    <row r="1452" spans="1:5" hidden="1" x14ac:dyDescent="0.25">
      <c r="A1452" s="3" t="s">
        <v>2897</v>
      </c>
      <c r="B1452" s="3" t="s">
        <v>2898</v>
      </c>
      <c r="C1452" s="3" t="s">
        <v>3</v>
      </c>
      <c r="D1452" s="3" t="s">
        <v>3</v>
      </c>
      <c r="E1452" s="3" t="s">
        <v>4</v>
      </c>
    </row>
    <row r="1453" spans="1:5" hidden="1" x14ac:dyDescent="0.25">
      <c r="A1453" s="3" t="s">
        <v>2899</v>
      </c>
      <c r="B1453" s="3" t="s">
        <v>2900</v>
      </c>
      <c r="C1453" s="3" t="s">
        <v>3</v>
      </c>
      <c r="D1453" s="3" t="s">
        <v>3</v>
      </c>
      <c r="E1453" s="3" t="s">
        <v>4</v>
      </c>
    </row>
    <row r="1454" spans="1:5" hidden="1" x14ac:dyDescent="0.25">
      <c r="A1454" s="3" t="s">
        <v>2901</v>
      </c>
      <c r="B1454" s="3" t="s">
        <v>2902</v>
      </c>
      <c r="C1454" s="3" t="s">
        <v>3</v>
      </c>
      <c r="D1454" s="3" t="s">
        <v>3</v>
      </c>
      <c r="E1454" s="3" t="s">
        <v>4</v>
      </c>
    </row>
    <row r="1455" spans="1:5" hidden="1" x14ac:dyDescent="0.25">
      <c r="A1455" s="3" t="s">
        <v>2903</v>
      </c>
      <c r="B1455" s="3" t="s">
        <v>2904</v>
      </c>
      <c r="C1455" s="3" t="s">
        <v>3</v>
      </c>
      <c r="D1455" s="3" t="s">
        <v>3</v>
      </c>
      <c r="E1455" s="3" t="s">
        <v>4</v>
      </c>
    </row>
    <row r="1456" spans="1:5" hidden="1" x14ac:dyDescent="0.25">
      <c r="A1456" s="3" t="s">
        <v>2905</v>
      </c>
      <c r="B1456" s="3" t="s">
        <v>2906</v>
      </c>
      <c r="C1456" s="3" t="s">
        <v>3</v>
      </c>
      <c r="D1456" s="3" t="s">
        <v>3</v>
      </c>
      <c r="E1456" s="3" t="s">
        <v>4</v>
      </c>
    </row>
    <row r="1457" spans="1:5" hidden="1" x14ac:dyDescent="0.25">
      <c r="A1457" s="3" t="s">
        <v>2907</v>
      </c>
      <c r="B1457" s="3" t="s">
        <v>2908</v>
      </c>
      <c r="C1457" s="3" t="s">
        <v>3</v>
      </c>
      <c r="D1457" s="3" t="s">
        <v>3</v>
      </c>
      <c r="E1457" s="3" t="s">
        <v>4</v>
      </c>
    </row>
    <row r="1458" spans="1:5" hidden="1" x14ac:dyDescent="0.25">
      <c r="A1458" s="3" t="s">
        <v>2909</v>
      </c>
      <c r="B1458" s="3" t="s">
        <v>2910</v>
      </c>
      <c r="C1458" s="3" t="s">
        <v>3</v>
      </c>
      <c r="D1458" s="3" t="s">
        <v>3</v>
      </c>
      <c r="E1458" s="3" t="s">
        <v>4</v>
      </c>
    </row>
    <row r="1459" spans="1:5" hidden="1" x14ac:dyDescent="0.25">
      <c r="A1459" s="3" t="s">
        <v>2911</v>
      </c>
      <c r="B1459" s="3" t="s">
        <v>2912</v>
      </c>
      <c r="C1459" s="3" t="s">
        <v>3</v>
      </c>
      <c r="D1459" s="3" t="s">
        <v>3</v>
      </c>
      <c r="E1459" s="3" t="s">
        <v>4</v>
      </c>
    </row>
    <row r="1460" spans="1:5" hidden="1" x14ac:dyDescent="0.25">
      <c r="A1460" s="3" t="s">
        <v>2913</v>
      </c>
      <c r="B1460" s="3" t="s">
        <v>2914</v>
      </c>
      <c r="C1460" s="3" t="s">
        <v>3</v>
      </c>
      <c r="D1460" s="3" t="s">
        <v>3</v>
      </c>
      <c r="E1460" s="3" t="s">
        <v>4</v>
      </c>
    </row>
    <row r="1461" spans="1:5" hidden="1" x14ac:dyDescent="0.25">
      <c r="A1461" s="3" t="s">
        <v>2915</v>
      </c>
      <c r="B1461" s="3" t="s">
        <v>2916</v>
      </c>
      <c r="C1461" s="3" t="s">
        <v>3</v>
      </c>
      <c r="D1461" s="3" t="s">
        <v>3</v>
      </c>
      <c r="E1461" s="3" t="s">
        <v>4</v>
      </c>
    </row>
    <row r="1462" spans="1:5" hidden="1" x14ac:dyDescent="0.25">
      <c r="A1462" s="3" t="s">
        <v>2917</v>
      </c>
      <c r="B1462" s="3" t="s">
        <v>2918</v>
      </c>
      <c r="C1462" s="3" t="s">
        <v>3</v>
      </c>
      <c r="D1462" s="3" t="s">
        <v>3</v>
      </c>
      <c r="E1462" s="3" t="s">
        <v>4</v>
      </c>
    </row>
    <row r="1463" spans="1:5" hidden="1" x14ac:dyDescent="0.25">
      <c r="A1463" s="3" t="s">
        <v>2919</v>
      </c>
      <c r="B1463" s="3" t="s">
        <v>2920</v>
      </c>
      <c r="C1463" s="3" t="s">
        <v>3</v>
      </c>
      <c r="D1463" s="3" t="s">
        <v>3</v>
      </c>
      <c r="E1463" s="3" t="s">
        <v>4</v>
      </c>
    </row>
    <row r="1464" spans="1:5" hidden="1" x14ac:dyDescent="0.25">
      <c r="A1464" s="3" t="s">
        <v>2921</v>
      </c>
      <c r="B1464" s="3" t="s">
        <v>2922</v>
      </c>
      <c r="C1464" s="3" t="s">
        <v>3</v>
      </c>
      <c r="D1464" s="3" t="s">
        <v>3</v>
      </c>
      <c r="E1464" s="3" t="s">
        <v>4</v>
      </c>
    </row>
    <row r="1465" spans="1:5" hidden="1" x14ac:dyDescent="0.25">
      <c r="A1465" s="3" t="s">
        <v>2923</v>
      </c>
      <c r="B1465" s="3" t="s">
        <v>2924</v>
      </c>
      <c r="C1465" s="3" t="s">
        <v>3</v>
      </c>
      <c r="D1465" s="3" t="s">
        <v>3</v>
      </c>
      <c r="E1465" s="3" t="s">
        <v>4</v>
      </c>
    </row>
    <row r="1466" spans="1:5" hidden="1" x14ac:dyDescent="0.25">
      <c r="A1466" s="3" t="s">
        <v>2925</v>
      </c>
      <c r="B1466" s="3" t="s">
        <v>2926</v>
      </c>
      <c r="C1466" s="3" t="s">
        <v>3</v>
      </c>
      <c r="D1466" s="3" t="s">
        <v>3</v>
      </c>
      <c r="E1466" s="3" t="s">
        <v>4</v>
      </c>
    </row>
    <row r="1467" spans="1:5" hidden="1" x14ac:dyDescent="0.25">
      <c r="A1467" s="3" t="s">
        <v>2927</v>
      </c>
      <c r="B1467" s="3" t="s">
        <v>2928</v>
      </c>
      <c r="C1467" s="3" t="s">
        <v>3</v>
      </c>
      <c r="D1467" s="3" t="s">
        <v>3</v>
      </c>
      <c r="E1467" s="3" t="s">
        <v>4</v>
      </c>
    </row>
    <row r="1468" spans="1:5" hidden="1" x14ac:dyDescent="0.25">
      <c r="A1468" s="3" t="s">
        <v>2929</v>
      </c>
      <c r="B1468" s="3" t="s">
        <v>2930</v>
      </c>
      <c r="C1468" s="3" t="s">
        <v>3</v>
      </c>
      <c r="D1468" s="3" t="s">
        <v>3</v>
      </c>
      <c r="E1468" s="3" t="s">
        <v>4</v>
      </c>
    </row>
    <row r="1469" spans="1:5" hidden="1" x14ac:dyDescent="0.25">
      <c r="A1469" s="3" t="s">
        <v>2931</v>
      </c>
      <c r="B1469" s="3" t="s">
        <v>2932</v>
      </c>
      <c r="C1469" s="3" t="s">
        <v>3</v>
      </c>
      <c r="D1469" s="3" t="s">
        <v>3</v>
      </c>
      <c r="E1469" s="3" t="s">
        <v>4</v>
      </c>
    </row>
    <row r="1470" spans="1:5" hidden="1" x14ac:dyDescent="0.25">
      <c r="A1470" s="3" t="s">
        <v>2933</v>
      </c>
      <c r="B1470" s="3" t="s">
        <v>2934</v>
      </c>
      <c r="C1470" s="3" t="s">
        <v>3</v>
      </c>
      <c r="D1470" s="3" t="s">
        <v>3</v>
      </c>
      <c r="E1470" s="3" t="s">
        <v>4</v>
      </c>
    </row>
    <row r="1471" spans="1:5" hidden="1" x14ac:dyDescent="0.25">
      <c r="A1471" s="3" t="s">
        <v>2935</v>
      </c>
      <c r="B1471" s="3" t="s">
        <v>2936</v>
      </c>
      <c r="C1471" s="3" t="s">
        <v>3</v>
      </c>
      <c r="D1471" s="3" t="s">
        <v>3</v>
      </c>
      <c r="E1471" s="3" t="s">
        <v>4</v>
      </c>
    </row>
    <row r="1472" spans="1:5" hidden="1" x14ac:dyDescent="0.25">
      <c r="A1472" s="3" t="s">
        <v>2937</v>
      </c>
      <c r="B1472" s="3" t="s">
        <v>2938</v>
      </c>
      <c r="C1472" s="3" t="s">
        <v>3</v>
      </c>
      <c r="D1472" s="3" t="s">
        <v>3</v>
      </c>
      <c r="E1472" s="3" t="s">
        <v>4</v>
      </c>
    </row>
    <row r="1473" spans="1:5" hidden="1" x14ac:dyDescent="0.25">
      <c r="A1473" s="3" t="s">
        <v>2939</v>
      </c>
      <c r="B1473" s="3" t="s">
        <v>2940</v>
      </c>
      <c r="C1473" s="3" t="s">
        <v>3</v>
      </c>
      <c r="D1473" s="3" t="s">
        <v>3</v>
      </c>
      <c r="E1473" s="3" t="s">
        <v>4</v>
      </c>
    </row>
    <row r="1474" spans="1:5" hidden="1" x14ac:dyDescent="0.25">
      <c r="A1474" s="3" t="s">
        <v>2941</v>
      </c>
      <c r="B1474" s="3" t="s">
        <v>2942</v>
      </c>
      <c r="C1474" s="3" t="s">
        <v>3</v>
      </c>
      <c r="D1474" s="3" t="s">
        <v>3</v>
      </c>
      <c r="E1474" s="3" t="s">
        <v>4</v>
      </c>
    </row>
    <row r="1475" spans="1:5" hidden="1" x14ac:dyDescent="0.25">
      <c r="A1475" s="3" t="s">
        <v>2943</v>
      </c>
      <c r="B1475" s="3" t="s">
        <v>2944</v>
      </c>
      <c r="C1475" s="3" t="s">
        <v>3</v>
      </c>
      <c r="D1475" s="3" t="s">
        <v>3</v>
      </c>
      <c r="E1475" s="3" t="s">
        <v>4</v>
      </c>
    </row>
    <row r="1476" spans="1:5" hidden="1" x14ac:dyDescent="0.25">
      <c r="A1476" s="3" t="s">
        <v>2945</v>
      </c>
      <c r="B1476" s="3" t="s">
        <v>2946</v>
      </c>
      <c r="C1476" s="3" t="s">
        <v>3</v>
      </c>
      <c r="D1476" s="3" t="s">
        <v>3</v>
      </c>
      <c r="E1476" s="3" t="s">
        <v>4</v>
      </c>
    </row>
    <row r="1477" spans="1:5" hidden="1" x14ac:dyDescent="0.25">
      <c r="A1477" s="3" t="s">
        <v>2947</v>
      </c>
      <c r="B1477" s="3" t="s">
        <v>2948</v>
      </c>
      <c r="C1477" s="3" t="s">
        <v>3</v>
      </c>
      <c r="D1477" s="3" t="s">
        <v>3</v>
      </c>
      <c r="E1477" s="3" t="s">
        <v>4</v>
      </c>
    </row>
    <row r="1478" spans="1:5" hidden="1" x14ac:dyDescent="0.25">
      <c r="A1478" s="3" t="s">
        <v>2949</v>
      </c>
      <c r="B1478" s="3" t="s">
        <v>2950</v>
      </c>
      <c r="C1478" s="3" t="s">
        <v>3</v>
      </c>
      <c r="D1478" s="3" t="s">
        <v>3</v>
      </c>
      <c r="E1478" s="3" t="s">
        <v>4</v>
      </c>
    </row>
    <row r="1479" spans="1:5" hidden="1" x14ac:dyDescent="0.25">
      <c r="A1479" s="3" t="s">
        <v>2951</v>
      </c>
      <c r="B1479" s="3" t="s">
        <v>2952</v>
      </c>
      <c r="C1479" s="3" t="s">
        <v>3</v>
      </c>
      <c r="D1479" s="3" t="s">
        <v>3</v>
      </c>
      <c r="E1479" s="3" t="s">
        <v>4</v>
      </c>
    </row>
    <row r="1480" spans="1:5" hidden="1" x14ac:dyDescent="0.25">
      <c r="A1480" s="3" t="s">
        <v>2953</v>
      </c>
      <c r="B1480" s="3" t="s">
        <v>2954</v>
      </c>
      <c r="C1480" s="3" t="s">
        <v>3</v>
      </c>
      <c r="D1480" s="3" t="s">
        <v>3</v>
      </c>
      <c r="E1480" s="3" t="s">
        <v>4</v>
      </c>
    </row>
    <row r="1481" spans="1:5" hidden="1" x14ac:dyDescent="0.25">
      <c r="A1481" s="3" t="s">
        <v>2955</v>
      </c>
      <c r="B1481" s="3" t="s">
        <v>2956</v>
      </c>
      <c r="C1481" s="3" t="s">
        <v>3</v>
      </c>
      <c r="D1481" s="3" t="s">
        <v>3</v>
      </c>
      <c r="E1481" s="3" t="s">
        <v>4</v>
      </c>
    </row>
    <row r="1482" spans="1:5" hidden="1" x14ac:dyDescent="0.25">
      <c r="A1482" s="3" t="s">
        <v>2957</v>
      </c>
      <c r="B1482" s="3" t="s">
        <v>2958</v>
      </c>
      <c r="C1482" s="3" t="s">
        <v>3</v>
      </c>
      <c r="D1482" s="3" t="s">
        <v>3</v>
      </c>
      <c r="E1482" s="3" t="s">
        <v>4</v>
      </c>
    </row>
    <row r="1483" spans="1:5" hidden="1" x14ac:dyDescent="0.25">
      <c r="A1483" s="3" t="s">
        <v>2959</v>
      </c>
      <c r="B1483" s="3" t="s">
        <v>2960</v>
      </c>
      <c r="C1483" s="3" t="s">
        <v>3</v>
      </c>
      <c r="D1483" s="3" t="s">
        <v>3</v>
      </c>
      <c r="E1483" s="3" t="s">
        <v>4</v>
      </c>
    </row>
    <row r="1484" spans="1:5" hidden="1" x14ac:dyDescent="0.25">
      <c r="A1484" s="3" t="s">
        <v>2961</v>
      </c>
      <c r="B1484" s="3" t="s">
        <v>2962</v>
      </c>
      <c r="C1484" s="3" t="s">
        <v>3</v>
      </c>
      <c r="D1484" s="3" t="s">
        <v>3</v>
      </c>
      <c r="E1484" s="3" t="s">
        <v>4</v>
      </c>
    </row>
    <row r="1485" spans="1:5" hidden="1" x14ac:dyDescent="0.25">
      <c r="A1485" s="3" t="s">
        <v>2963</v>
      </c>
      <c r="B1485" s="3" t="s">
        <v>2964</v>
      </c>
      <c r="C1485" s="3" t="s">
        <v>3</v>
      </c>
      <c r="D1485" s="3" t="s">
        <v>3</v>
      </c>
      <c r="E1485" s="3" t="s">
        <v>4</v>
      </c>
    </row>
    <row r="1486" spans="1:5" hidden="1" x14ac:dyDescent="0.25">
      <c r="A1486" s="3" t="s">
        <v>2965</v>
      </c>
      <c r="B1486" s="3" t="s">
        <v>2966</v>
      </c>
      <c r="C1486" s="3" t="s">
        <v>3</v>
      </c>
      <c r="D1486" s="3" t="s">
        <v>3</v>
      </c>
      <c r="E1486" s="3" t="s">
        <v>4</v>
      </c>
    </row>
    <row r="1487" spans="1:5" hidden="1" x14ac:dyDescent="0.25">
      <c r="A1487" s="3" t="s">
        <v>2967</v>
      </c>
      <c r="B1487" s="3" t="s">
        <v>2968</v>
      </c>
      <c r="C1487" s="3" t="s">
        <v>3</v>
      </c>
      <c r="D1487" s="3" t="s">
        <v>3</v>
      </c>
      <c r="E1487" s="3" t="s">
        <v>4</v>
      </c>
    </row>
    <row r="1488" spans="1:5" hidden="1" x14ac:dyDescent="0.25">
      <c r="A1488" s="3" t="s">
        <v>2969</v>
      </c>
      <c r="B1488" s="3" t="s">
        <v>2970</v>
      </c>
      <c r="C1488" s="3" t="s">
        <v>3</v>
      </c>
      <c r="D1488" s="3" t="s">
        <v>3</v>
      </c>
      <c r="E1488" s="3" t="s">
        <v>4</v>
      </c>
    </row>
    <row r="1489" spans="1:5" hidden="1" x14ac:dyDescent="0.25">
      <c r="A1489" s="3" t="s">
        <v>2971</v>
      </c>
      <c r="B1489" s="3" t="s">
        <v>2972</v>
      </c>
      <c r="C1489" s="3" t="s">
        <v>3</v>
      </c>
      <c r="D1489" s="3" t="s">
        <v>3</v>
      </c>
      <c r="E1489" s="3" t="s">
        <v>4</v>
      </c>
    </row>
    <row r="1490" spans="1:5" hidden="1" x14ac:dyDescent="0.25">
      <c r="A1490" s="3" t="s">
        <v>2973</v>
      </c>
      <c r="B1490" s="3" t="s">
        <v>2974</v>
      </c>
      <c r="C1490" s="3" t="s">
        <v>3</v>
      </c>
      <c r="D1490" s="3" t="s">
        <v>3</v>
      </c>
      <c r="E1490" s="3" t="s">
        <v>4</v>
      </c>
    </row>
    <row r="1491" spans="1:5" hidden="1" x14ac:dyDescent="0.25">
      <c r="A1491" s="3" t="s">
        <v>2975</v>
      </c>
      <c r="B1491" s="3" t="s">
        <v>2976</v>
      </c>
      <c r="C1491" s="3" t="s">
        <v>3</v>
      </c>
      <c r="D1491" s="3" t="s">
        <v>3</v>
      </c>
      <c r="E1491" s="3" t="s">
        <v>4</v>
      </c>
    </row>
    <row r="1492" spans="1:5" hidden="1" x14ac:dyDescent="0.25">
      <c r="A1492" s="3" t="s">
        <v>2977</v>
      </c>
      <c r="B1492" s="3" t="s">
        <v>2978</v>
      </c>
      <c r="C1492" s="3" t="s">
        <v>3</v>
      </c>
      <c r="D1492" s="3" t="s">
        <v>3</v>
      </c>
      <c r="E1492" s="3" t="s">
        <v>4</v>
      </c>
    </row>
    <row r="1493" spans="1:5" hidden="1" x14ac:dyDescent="0.25">
      <c r="A1493" s="3" t="s">
        <v>2979</v>
      </c>
      <c r="B1493" s="3" t="s">
        <v>2980</v>
      </c>
      <c r="C1493" s="3" t="s">
        <v>3</v>
      </c>
      <c r="D1493" s="3" t="s">
        <v>3</v>
      </c>
      <c r="E1493" s="3" t="s">
        <v>4</v>
      </c>
    </row>
    <row r="1494" spans="1:5" hidden="1" x14ac:dyDescent="0.25">
      <c r="A1494" s="3" t="s">
        <v>2981</v>
      </c>
      <c r="B1494" s="3" t="s">
        <v>2982</v>
      </c>
      <c r="C1494" s="3" t="s">
        <v>3</v>
      </c>
      <c r="D1494" s="3" t="s">
        <v>3</v>
      </c>
      <c r="E1494" s="3" t="s">
        <v>4</v>
      </c>
    </row>
    <row r="1495" spans="1:5" hidden="1" x14ac:dyDescent="0.25">
      <c r="A1495" s="3" t="s">
        <v>2983</v>
      </c>
      <c r="B1495" s="3" t="s">
        <v>2984</v>
      </c>
      <c r="C1495" s="3" t="s">
        <v>3</v>
      </c>
      <c r="D1495" s="3" t="s">
        <v>3</v>
      </c>
      <c r="E1495" s="3" t="s">
        <v>4</v>
      </c>
    </row>
    <row r="1496" spans="1:5" hidden="1" x14ac:dyDescent="0.25">
      <c r="A1496" s="3" t="s">
        <v>2985</v>
      </c>
      <c r="B1496" s="3" t="s">
        <v>2986</v>
      </c>
      <c r="C1496" s="3" t="s">
        <v>3</v>
      </c>
      <c r="D1496" s="3" t="s">
        <v>3</v>
      </c>
      <c r="E1496" s="3" t="s">
        <v>4</v>
      </c>
    </row>
    <row r="1497" spans="1:5" hidden="1" x14ac:dyDescent="0.25">
      <c r="A1497" s="3" t="s">
        <v>2987</v>
      </c>
      <c r="B1497" s="3" t="s">
        <v>2988</v>
      </c>
      <c r="C1497" s="3" t="s">
        <v>3</v>
      </c>
      <c r="D1497" s="3" t="s">
        <v>3</v>
      </c>
      <c r="E1497" s="3" t="s">
        <v>4</v>
      </c>
    </row>
    <row r="1498" spans="1:5" hidden="1" x14ac:dyDescent="0.25">
      <c r="A1498" s="3" t="s">
        <v>2989</v>
      </c>
      <c r="B1498" s="3" t="s">
        <v>2990</v>
      </c>
      <c r="C1498" s="3" t="s">
        <v>3</v>
      </c>
      <c r="D1498" s="3" t="s">
        <v>3</v>
      </c>
      <c r="E1498" s="3" t="s">
        <v>4</v>
      </c>
    </row>
    <row r="1499" spans="1:5" hidden="1" x14ac:dyDescent="0.25">
      <c r="A1499" s="3" t="s">
        <v>2991</v>
      </c>
      <c r="B1499" s="3" t="s">
        <v>2992</v>
      </c>
      <c r="C1499" s="3" t="s">
        <v>3</v>
      </c>
      <c r="D1499" s="3" t="s">
        <v>3</v>
      </c>
      <c r="E1499" s="3" t="s">
        <v>4</v>
      </c>
    </row>
    <row r="1500" spans="1:5" hidden="1" x14ac:dyDescent="0.25">
      <c r="A1500" s="3" t="s">
        <v>2993</v>
      </c>
      <c r="B1500" s="3" t="s">
        <v>2994</v>
      </c>
      <c r="C1500" s="3" t="s">
        <v>3</v>
      </c>
      <c r="D1500" s="3" t="s">
        <v>3</v>
      </c>
      <c r="E1500" s="3" t="s">
        <v>4</v>
      </c>
    </row>
    <row r="1501" spans="1:5" hidden="1" x14ac:dyDescent="0.25">
      <c r="A1501" s="3" t="s">
        <v>2995</v>
      </c>
      <c r="B1501" s="3" t="s">
        <v>2996</v>
      </c>
      <c r="C1501" s="3" t="s">
        <v>3</v>
      </c>
      <c r="D1501" s="3" t="s">
        <v>3</v>
      </c>
      <c r="E1501" s="3" t="s">
        <v>4</v>
      </c>
    </row>
    <row r="1502" spans="1:5" hidden="1" x14ac:dyDescent="0.25">
      <c r="A1502" s="3" t="s">
        <v>2997</v>
      </c>
      <c r="B1502" s="3" t="s">
        <v>2998</v>
      </c>
      <c r="C1502" s="3" t="s">
        <v>3</v>
      </c>
      <c r="D1502" s="3" t="s">
        <v>3</v>
      </c>
      <c r="E1502" s="3" t="s">
        <v>4</v>
      </c>
    </row>
    <row r="1503" spans="1:5" hidden="1" x14ac:dyDescent="0.25">
      <c r="A1503" s="3" t="s">
        <v>2999</v>
      </c>
      <c r="B1503" s="3" t="s">
        <v>3000</v>
      </c>
      <c r="C1503" s="3" t="s">
        <v>3</v>
      </c>
      <c r="D1503" s="3" t="s">
        <v>3</v>
      </c>
      <c r="E1503" s="3" t="s">
        <v>4</v>
      </c>
    </row>
    <row r="1504" spans="1:5" hidden="1" x14ac:dyDescent="0.25">
      <c r="A1504" s="3" t="s">
        <v>3001</v>
      </c>
      <c r="B1504" s="3" t="s">
        <v>3002</v>
      </c>
      <c r="C1504" s="3" t="s">
        <v>3</v>
      </c>
      <c r="D1504" s="3" t="s">
        <v>3</v>
      </c>
      <c r="E1504" s="3" t="s">
        <v>4</v>
      </c>
    </row>
    <row r="1505" spans="1:5" hidden="1" x14ac:dyDescent="0.25">
      <c r="A1505" s="3" t="s">
        <v>3003</v>
      </c>
      <c r="B1505" s="3" t="s">
        <v>3004</v>
      </c>
      <c r="C1505" s="3" t="s">
        <v>3</v>
      </c>
      <c r="D1505" s="3" t="s">
        <v>3</v>
      </c>
      <c r="E1505" s="3" t="s">
        <v>4</v>
      </c>
    </row>
    <row r="1506" spans="1:5" hidden="1" x14ac:dyDescent="0.25">
      <c r="A1506" s="3" t="s">
        <v>3005</v>
      </c>
      <c r="B1506" s="3" t="s">
        <v>3006</v>
      </c>
      <c r="C1506" s="3" t="s">
        <v>3</v>
      </c>
      <c r="D1506" s="3" t="s">
        <v>3</v>
      </c>
      <c r="E1506" s="3" t="s">
        <v>4</v>
      </c>
    </row>
    <row r="1507" spans="1:5" hidden="1" x14ac:dyDescent="0.25">
      <c r="A1507" s="3" t="s">
        <v>3007</v>
      </c>
      <c r="B1507" s="3" t="s">
        <v>3008</v>
      </c>
      <c r="C1507" s="3" t="s">
        <v>3</v>
      </c>
      <c r="D1507" s="3" t="s">
        <v>3</v>
      </c>
      <c r="E1507" s="3" t="s">
        <v>4</v>
      </c>
    </row>
    <row r="1508" spans="1:5" hidden="1" x14ac:dyDescent="0.25">
      <c r="A1508" s="3" t="s">
        <v>3009</v>
      </c>
      <c r="B1508" s="3" t="s">
        <v>3010</v>
      </c>
      <c r="C1508" s="3" t="s">
        <v>3</v>
      </c>
      <c r="D1508" s="3" t="s">
        <v>3</v>
      </c>
      <c r="E1508" s="3" t="s">
        <v>4</v>
      </c>
    </row>
    <row r="1509" spans="1:5" hidden="1" x14ac:dyDescent="0.25">
      <c r="A1509" s="3" t="s">
        <v>3011</v>
      </c>
      <c r="B1509" s="3" t="s">
        <v>3012</v>
      </c>
      <c r="C1509" s="3" t="s">
        <v>3</v>
      </c>
      <c r="D1509" s="3" t="s">
        <v>3</v>
      </c>
      <c r="E1509" s="3" t="s">
        <v>4</v>
      </c>
    </row>
    <row r="1510" spans="1:5" hidden="1" x14ac:dyDescent="0.25">
      <c r="A1510" s="3" t="s">
        <v>3013</v>
      </c>
      <c r="B1510" s="3" t="s">
        <v>3014</v>
      </c>
      <c r="C1510" s="3" t="s">
        <v>3</v>
      </c>
      <c r="D1510" s="3" t="s">
        <v>3</v>
      </c>
      <c r="E1510" s="3" t="s">
        <v>4</v>
      </c>
    </row>
    <row r="1511" spans="1:5" hidden="1" x14ac:dyDescent="0.25">
      <c r="A1511" s="3" t="s">
        <v>3015</v>
      </c>
      <c r="B1511" s="3" t="s">
        <v>3016</v>
      </c>
      <c r="C1511" s="3" t="s">
        <v>3</v>
      </c>
      <c r="D1511" s="3" t="s">
        <v>3</v>
      </c>
      <c r="E1511" s="3" t="s">
        <v>4</v>
      </c>
    </row>
    <row r="1512" spans="1:5" hidden="1" x14ac:dyDescent="0.25">
      <c r="A1512" s="3" t="s">
        <v>3017</v>
      </c>
      <c r="B1512" s="3" t="s">
        <v>3018</v>
      </c>
      <c r="C1512" s="3" t="s">
        <v>3</v>
      </c>
      <c r="D1512" s="3" t="s">
        <v>3</v>
      </c>
      <c r="E1512" s="3" t="s">
        <v>4</v>
      </c>
    </row>
    <row r="1513" spans="1:5" hidden="1" x14ac:dyDescent="0.25">
      <c r="A1513" s="3" t="s">
        <v>3019</v>
      </c>
      <c r="B1513" s="3" t="s">
        <v>3020</v>
      </c>
      <c r="C1513" s="3" t="s">
        <v>3</v>
      </c>
      <c r="D1513" s="3" t="s">
        <v>3</v>
      </c>
      <c r="E1513" s="3" t="s">
        <v>4</v>
      </c>
    </row>
    <row r="1514" spans="1:5" hidden="1" x14ac:dyDescent="0.25">
      <c r="A1514" s="3" t="s">
        <v>3021</v>
      </c>
      <c r="B1514" s="3" t="s">
        <v>3022</v>
      </c>
      <c r="C1514" s="3" t="s">
        <v>3</v>
      </c>
      <c r="D1514" s="3" t="s">
        <v>3</v>
      </c>
      <c r="E1514" s="3" t="s">
        <v>4</v>
      </c>
    </row>
    <row r="1515" spans="1:5" hidden="1" x14ac:dyDescent="0.25">
      <c r="A1515" s="3" t="s">
        <v>3023</v>
      </c>
      <c r="B1515" s="3" t="s">
        <v>3024</v>
      </c>
      <c r="C1515" s="3" t="s">
        <v>3</v>
      </c>
      <c r="D1515" s="3" t="s">
        <v>3</v>
      </c>
      <c r="E1515" s="3" t="s">
        <v>4</v>
      </c>
    </row>
    <row r="1516" spans="1:5" hidden="1" x14ac:dyDescent="0.25">
      <c r="A1516" s="3" t="s">
        <v>3025</v>
      </c>
      <c r="B1516" s="3" t="s">
        <v>3026</v>
      </c>
      <c r="C1516" s="3" t="s">
        <v>3</v>
      </c>
      <c r="D1516" s="3" t="s">
        <v>3</v>
      </c>
      <c r="E1516" s="3" t="s">
        <v>4</v>
      </c>
    </row>
    <row r="1517" spans="1:5" hidden="1" x14ac:dyDescent="0.25">
      <c r="A1517" s="3" t="s">
        <v>3027</v>
      </c>
      <c r="B1517" s="3" t="s">
        <v>3028</v>
      </c>
      <c r="C1517" s="3" t="s">
        <v>3</v>
      </c>
      <c r="D1517" s="3" t="s">
        <v>3</v>
      </c>
      <c r="E1517" s="3" t="s">
        <v>4</v>
      </c>
    </row>
    <row r="1518" spans="1:5" hidden="1" x14ac:dyDescent="0.25">
      <c r="A1518" s="3" t="s">
        <v>3029</v>
      </c>
      <c r="B1518" s="3" t="s">
        <v>3030</v>
      </c>
      <c r="C1518" s="3" t="s">
        <v>3</v>
      </c>
      <c r="D1518" s="3" t="s">
        <v>3</v>
      </c>
      <c r="E1518" s="3" t="s">
        <v>4</v>
      </c>
    </row>
    <row r="1519" spans="1:5" hidden="1" x14ac:dyDescent="0.25">
      <c r="A1519" s="3" t="s">
        <v>3031</v>
      </c>
      <c r="B1519" s="3" t="s">
        <v>3032</v>
      </c>
      <c r="C1519" s="3" t="s">
        <v>3</v>
      </c>
      <c r="D1519" s="3" t="s">
        <v>3</v>
      </c>
      <c r="E1519" s="3" t="s">
        <v>4</v>
      </c>
    </row>
    <row r="1520" spans="1:5" hidden="1" x14ac:dyDescent="0.25">
      <c r="A1520" s="3" t="s">
        <v>3033</v>
      </c>
      <c r="B1520" s="3" t="s">
        <v>3034</v>
      </c>
      <c r="C1520" s="3" t="s">
        <v>3</v>
      </c>
      <c r="D1520" s="3" t="s">
        <v>3</v>
      </c>
      <c r="E1520" s="3" t="s">
        <v>4</v>
      </c>
    </row>
    <row r="1521" spans="1:5" hidden="1" x14ac:dyDescent="0.25">
      <c r="A1521" s="3" t="s">
        <v>3035</v>
      </c>
      <c r="B1521" s="3" t="s">
        <v>3036</v>
      </c>
      <c r="C1521" s="3" t="s">
        <v>3</v>
      </c>
      <c r="D1521" s="3" t="s">
        <v>3</v>
      </c>
      <c r="E1521" s="3" t="s">
        <v>4</v>
      </c>
    </row>
    <row r="1522" spans="1:5" hidden="1" x14ac:dyDescent="0.25">
      <c r="A1522" s="3" t="s">
        <v>3037</v>
      </c>
      <c r="B1522" s="3" t="s">
        <v>3038</v>
      </c>
      <c r="C1522" s="3" t="s">
        <v>3</v>
      </c>
      <c r="D1522" s="3" t="s">
        <v>3</v>
      </c>
      <c r="E1522" s="3" t="s">
        <v>4</v>
      </c>
    </row>
    <row r="1523" spans="1:5" hidden="1" x14ac:dyDescent="0.25">
      <c r="A1523" s="3" t="s">
        <v>3039</v>
      </c>
      <c r="B1523" s="3" t="s">
        <v>3040</v>
      </c>
      <c r="C1523" s="3" t="s">
        <v>3</v>
      </c>
      <c r="D1523" s="3" t="s">
        <v>3</v>
      </c>
      <c r="E1523" s="3" t="s">
        <v>4</v>
      </c>
    </row>
    <row r="1524" spans="1:5" hidden="1" x14ac:dyDescent="0.25">
      <c r="A1524" s="3" t="s">
        <v>3041</v>
      </c>
      <c r="B1524" s="3" t="s">
        <v>3042</v>
      </c>
      <c r="C1524" s="3" t="s">
        <v>3</v>
      </c>
      <c r="D1524" s="3" t="s">
        <v>3</v>
      </c>
      <c r="E1524" s="3" t="s">
        <v>4</v>
      </c>
    </row>
    <row r="1525" spans="1:5" hidden="1" x14ac:dyDescent="0.25">
      <c r="A1525" s="3" t="s">
        <v>3043</v>
      </c>
      <c r="B1525" s="3" t="s">
        <v>3044</v>
      </c>
      <c r="C1525" s="3" t="s">
        <v>3</v>
      </c>
      <c r="D1525" s="3" t="s">
        <v>3</v>
      </c>
      <c r="E1525" s="3" t="s">
        <v>4</v>
      </c>
    </row>
    <row r="1526" spans="1:5" hidden="1" x14ac:dyDescent="0.25">
      <c r="A1526" s="3" t="s">
        <v>3045</v>
      </c>
      <c r="B1526" s="3" t="s">
        <v>3046</v>
      </c>
      <c r="C1526" s="3" t="s">
        <v>3</v>
      </c>
      <c r="D1526" s="3" t="s">
        <v>3</v>
      </c>
      <c r="E1526" s="3" t="s">
        <v>4</v>
      </c>
    </row>
    <row r="1527" spans="1:5" hidden="1" x14ac:dyDescent="0.25">
      <c r="A1527" s="3" t="s">
        <v>3047</v>
      </c>
      <c r="B1527" s="3" t="s">
        <v>3048</v>
      </c>
      <c r="C1527" s="3" t="s">
        <v>3</v>
      </c>
      <c r="D1527" s="3" t="s">
        <v>3</v>
      </c>
      <c r="E1527" s="3" t="s">
        <v>4</v>
      </c>
    </row>
    <row r="1528" spans="1:5" hidden="1" x14ac:dyDescent="0.25">
      <c r="A1528" s="3" t="s">
        <v>3049</v>
      </c>
      <c r="B1528" s="3" t="s">
        <v>3050</v>
      </c>
      <c r="C1528" s="3" t="s">
        <v>3</v>
      </c>
      <c r="D1528" s="3" t="s">
        <v>3</v>
      </c>
      <c r="E1528" s="3" t="s">
        <v>4</v>
      </c>
    </row>
    <row r="1529" spans="1:5" hidden="1" x14ac:dyDescent="0.25">
      <c r="A1529" s="3" t="s">
        <v>3051</v>
      </c>
      <c r="B1529" s="3" t="s">
        <v>3052</v>
      </c>
      <c r="C1529" s="3" t="s">
        <v>3</v>
      </c>
      <c r="D1529" s="3" t="s">
        <v>3</v>
      </c>
      <c r="E1529" s="3" t="s">
        <v>4</v>
      </c>
    </row>
    <row r="1530" spans="1:5" hidden="1" x14ac:dyDescent="0.25">
      <c r="A1530" s="3" t="s">
        <v>3053</v>
      </c>
      <c r="B1530" s="3" t="s">
        <v>3054</v>
      </c>
      <c r="C1530" s="3" t="s">
        <v>3</v>
      </c>
      <c r="D1530" s="3" t="s">
        <v>3</v>
      </c>
      <c r="E1530" s="3" t="s">
        <v>4</v>
      </c>
    </row>
    <row r="1531" spans="1:5" hidden="1" x14ac:dyDescent="0.25">
      <c r="A1531" s="3" t="s">
        <v>3055</v>
      </c>
      <c r="B1531" s="3" t="s">
        <v>3056</v>
      </c>
      <c r="C1531" s="3" t="s">
        <v>3</v>
      </c>
      <c r="D1531" s="3" t="s">
        <v>3</v>
      </c>
      <c r="E1531" s="3" t="s">
        <v>4</v>
      </c>
    </row>
    <row r="1532" spans="1:5" hidden="1" x14ac:dyDescent="0.25">
      <c r="A1532" s="3" t="s">
        <v>3057</v>
      </c>
      <c r="B1532" s="3" t="s">
        <v>3058</v>
      </c>
      <c r="C1532" s="3" t="s">
        <v>3</v>
      </c>
      <c r="D1532" s="3" t="s">
        <v>3</v>
      </c>
      <c r="E1532" s="3" t="s">
        <v>4</v>
      </c>
    </row>
    <row r="1533" spans="1:5" hidden="1" x14ac:dyDescent="0.25">
      <c r="A1533" s="3" t="s">
        <v>3059</v>
      </c>
      <c r="B1533" s="3" t="s">
        <v>3060</v>
      </c>
      <c r="C1533" s="3" t="s">
        <v>3</v>
      </c>
      <c r="D1533" s="3" t="s">
        <v>3</v>
      </c>
      <c r="E1533" s="3" t="s">
        <v>4</v>
      </c>
    </row>
    <row r="1534" spans="1:5" hidden="1" x14ac:dyDescent="0.25">
      <c r="A1534" s="3" t="s">
        <v>3061</v>
      </c>
      <c r="B1534" s="3" t="s">
        <v>3062</v>
      </c>
      <c r="C1534" s="3" t="s">
        <v>3</v>
      </c>
      <c r="D1534" s="3" t="s">
        <v>3</v>
      </c>
      <c r="E1534" s="3" t="s">
        <v>4</v>
      </c>
    </row>
    <row r="1535" spans="1:5" hidden="1" x14ac:dyDescent="0.25">
      <c r="A1535" s="3" t="s">
        <v>3063</v>
      </c>
      <c r="B1535" s="3" t="s">
        <v>3064</v>
      </c>
      <c r="C1535" s="3" t="s">
        <v>3</v>
      </c>
      <c r="D1535" s="3" t="s">
        <v>3</v>
      </c>
      <c r="E1535" s="3" t="s">
        <v>4</v>
      </c>
    </row>
    <row r="1536" spans="1:5" hidden="1" x14ac:dyDescent="0.25">
      <c r="A1536" s="3" t="s">
        <v>3065</v>
      </c>
      <c r="B1536" s="3" t="s">
        <v>3066</v>
      </c>
      <c r="C1536" s="3" t="s">
        <v>3</v>
      </c>
      <c r="D1536" s="3" t="s">
        <v>3</v>
      </c>
      <c r="E1536" s="3" t="s">
        <v>4</v>
      </c>
    </row>
    <row r="1537" spans="1:5" hidden="1" x14ac:dyDescent="0.25">
      <c r="A1537" s="3" t="s">
        <v>3067</v>
      </c>
      <c r="B1537" s="3" t="s">
        <v>3068</v>
      </c>
      <c r="C1537" s="3" t="s">
        <v>3</v>
      </c>
      <c r="D1537" s="3" t="s">
        <v>3</v>
      </c>
      <c r="E1537" s="3" t="s">
        <v>4</v>
      </c>
    </row>
    <row r="1538" spans="1:5" hidden="1" x14ac:dyDescent="0.25">
      <c r="A1538" s="3" t="s">
        <v>3069</v>
      </c>
      <c r="B1538" s="3" t="s">
        <v>3070</v>
      </c>
      <c r="C1538" s="3" t="s">
        <v>3</v>
      </c>
      <c r="D1538" s="3" t="s">
        <v>3</v>
      </c>
      <c r="E1538" s="3" t="s">
        <v>4</v>
      </c>
    </row>
    <row r="1539" spans="1:5" hidden="1" x14ac:dyDescent="0.25">
      <c r="A1539" s="3" t="s">
        <v>3071</v>
      </c>
      <c r="B1539" s="3" t="s">
        <v>3072</v>
      </c>
      <c r="C1539" s="3" t="s">
        <v>3</v>
      </c>
      <c r="D1539" s="3" t="s">
        <v>3</v>
      </c>
      <c r="E1539" s="3" t="s">
        <v>4</v>
      </c>
    </row>
    <row r="1540" spans="1:5" hidden="1" x14ac:dyDescent="0.25">
      <c r="A1540" s="3" t="s">
        <v>3073</v>
      </c>
      <c r="B1540" s="3" t="s">
        <v>3074</v>
      </c>
      <c r="C1540" s="3" t="s">
        <v>3</v>
      </c>
      <c r="D1540" s="3" t="s">
        <v>3</v>
      </c>
      <c r="E1540" s="3" t="s">
        <v>4</v>
      </c>
    </row>
    <row r="1541" spans="1:5" hidden="1" x14ac:dyDescent="0.25">
      <c r="A1541" s="3" t="s">
        <v>3075</v>
      </c>
      <c r="B1541" s="3" t="s">
        <v>3076</v>
      </c>
      <c r="C1541" s="3" t="s">
        <v>3</v>
      </c>
      <c r="D1541" s="3" t="s">
        <v>3</v>
      </c>
      <c r="E1541" s="3" t="s">
        <v>4</v>
      </c>
    </row>
    <row r="1542" spans="1:5" hidden="1" x14ac:dyDescent="0.25">
      <c r="A1542" s="3" t="s">
        <v>3077</v>
      </c>
      <c r="B1542" s="3" t="s">
        <v>3078</v>
      </c>
      <c r="C1542" s="3" t="s">
        <v>3</v>
      </c>
      <c r="D1542" s="3" t="s">
        <v>3</v>
      </c>
      <c r="E1542" s="3" t="s">
        <v>4</v>
      </c>
    </row>
    <row r="1543" spans="1:5" hidden="1" x14ac:dyDescent="0.25">
      <c r="A1543" s="3" t="s">
        <v>3079</v>
      </c>
      <c r="B1543" s="3" t="s">
        <v>3080</v>
      </c>
      <c r="C1543" s="3" t="s">
        <v>3</v>
      </c>
      <c r="D1543" s="3" t="s">
        <v>3</v>
      </c>
      <c r="E1543" s="3" t="s">
        <v>4</v>
      </c>
    </row>
    <row r="1544" spans="1:5" hidden="1" x14ac:dyDescent="0.25">
      <c r="A1544" s="3" t="s">
        <v>3081</v>
      </c>
      <c r="B1544" s="3" t="s">
        <v>3082</v>
      </c>
      <c r="C1544" s="3" t="s">
        <v>3</v>
      </c>
      <c r="D1544" s="3" t="s">
        <v>3</v>
      </c>
      <c r="E1544" s="3" t="s">
        <v>4</v>
      </c>
    </row>
    <row r="1545" spans="1:5" hidden="1" x14ac:dyDescent="0.25">
      <c r="A1545" s="3" t="s">
        <v>3083</v>
      </c>
      <c r="B1545" s="3" t="s">
        <v>3084</v>
      </c>
      <c r="C1545" s="3" t="s">
        <v>3</v>
      </c>
      <c r="D1545" s="3" t="s">
        <v>3</v>
      </c>
      <c r="E1545" s="3" t="s">
        <v>4</v>
      </c>
    </row>
    <row r="1546" spans="1:5" hidden="1" x14ac:dyDescent="0.25">
      <c r="A1546" s="3" t="s">
        <v>3085</v>
      </c>
      <c r="B1546" s="3" t="s">
        <v>3086</v>
      </c>
      <c r="C1546" s="3" t="s">
        <v>3</v>
      </c>
      <c r="D1546" s="3" t="s">
        <v>3</v>
      </c>
      <c r="E1546" s="3" t="s">
        <v>4</v>
      </c>
    </row>
    <row r="1547" spans="1:5" hidden="1" x14ac:dyDescent="0.25">
      <c r="A1547" s="3" t="s">
        <v>3087</v>
      </c>
      <c r="B1547" s="3" t="s">
        <v>3088</v>
      </c>
      <c r="C1547" s="3" t="s">
        <v>3</v>
      </c>
      <c r="D1547" s="3" t="s">
        <v>3</v>
      </c>
      <c r="E1547" s="3" t="s">
        <v>4</v>
      </c>
    </row>
    <row r="1548" spans="1:5" hidden="1" x14ac:dyDescent="0.25">
      <c r="A1548" s="3" t="s">
        <v>3089</v>
      </c>
      <c r="B1548" s="3" t="s">
        <v>3090</v>
      </c>
      <c r="C1548" s="3" t="s">
        <v>3</v>
      </c>
      <c r="D1548" s="3" t="s">
        <v>3</v>
      </c>
      <c r="E1548" s="3" t="s">
        <v>4</v>
      </c>
    </row>
    <row r="1549" spans="1:5" hidden="1" x14ac:dyDescent="0.25">
      <c r="A1549" s="3" t="s">
        <v>3091</v>
      </c>
      <c r="B1549" s="3" t="s">
        <v>3092</v>
      </c>
      <c r="C1549" s="3" t="s">
        <v>3</v>
      </c>
      <c r="D1549" s="3" t="s">
        <v>3</v>
      </c>
      <c r="E1549" s="3" t="s">
        <v>4</v>
      </c>
    </row>
    <row r="1550" spans="1:5" hidden="1" x14ac:dyDescent="0.25">
      <c r="A1550" s="3" t="s">
        <v>3093</v>
      </c>
      <c r="B1550" s="3" t="s">
        <v>3094</v>
      </c>
      <c r="C1550" s="3" t="s">
        <v>3</v>
      </c>
      <c r="D1550" s="3" t="s">
        <v>3</v>
      </c>
      <c r="E1550" s="3" t="s">
        <v>4</v>
      </c>
    </row>
    <row r="1551" spans="1:5" hidden="1" x14ac:dyDescent="0.25">
      <c r="A1551" s="3" t="s">
        <v>3095</v>
      </c>
      <c r="B1551" s="3" t="s">
        <v>3096</v>
      </c>
      <c r="C1551" s="3" t="s">
        <v>3</v>
      </c>
      <c r="D1551" s="3" t="s">
        <v>3</v>
      </c>
      <c r="E1551" s="3" t="s">
        <v>4</v>
      </c>
    </row>
    <row r="1552" spans="1:5" hidden="1" x14ac:dyDescent="0.25">
      <c r="A1552" s="3" t="s">
        <v>3097</v>
      </c>
      <c r="B1552" s="3" t="s">
        <v>3098</v>
      </c>
      <c r="C1552" s="3" t="s">
        <v>3</v>
      </c>
      <c r="D1552" s="3" t="s">
        <v>3</v>
      </c>
      <c r="E1552" s="3" t="s">
        <v>4</v>
      </c>
    </row>
    <row r="1553" spans="1:5" hidden="1" x14ac:dyDescent="0.25">
      <c r="A1553" s="3" t="s">
        <v>3099</v>
      </c>
      <c r="B1553" s="3" t="s">
        <v>3100</v>
      </c>
      <c r="C1553" s="3" t="s">
        <v>3</v>
      </c>
      <c r="D1553" s="3" t="s">
        <v>3</v>
      </c>
      <c r="E1553" s="3" t="s">
        <v>4</v>
      </c>
    </row>
    <row r="1554" spans="1:5" hidden="1" x14ac:dyDescent="0.25">
      <c r="A1554" s="3" t="s">
        <v>3101</v>
      </c>
      <c r="B1554" s="3" t="s">
        <v>3102</v>
      </c>
      <c r="C1554" s="3" t="s">
        <v>3</v>
      </c>
      <c r="D1554" s="3" t="s">
        <v>3</v>
      </c>
      <c r="E1554" s="3" t="s">
        <v>4</v>
      </c>
    </row>
    <row r="1555" spans="1:5" hidden="1" x14ac:dyDescent="0.25">
      <c r="A1555" s="3" t="s">
        <v>3103</v>
      </c>
      <c r="B1555" s="3" t="s">
        <v>3104</v>
      </c>
      <c r="C1555" s="3" t="s">
        <v>3</v>
      </c>
      <c r="D1555" s="3" t="s">
        <v>3</v>
      </c>
      <c r="E1555" s="3" t="s">
        <v>4</v>
      </c>
    </row>
    <row r="1556" spans="1:5" hidden="1" x14ac:dyDescent="0.25">
      <c r="A1556" s="3" t="s">
        <v>3105</v>
      </c>
      <c r="B1556" s="3" t="s">
        <v>3106</v>
      </c>
      <c r="C1556" s="3" t="s">
        <v>3</v>
      </c>
      <c r="D1556" s="3" t="s">
        <v>3</v>
      </c>
      <c r="E1556" s="3" t="s">
        <v>4</v>
      </c>
    </row>
    <row r="1557" spans="1:5" hidden="1" x14ac:dyDescent="0.25">
      <c r="A1557" s="3" t="s">
        <v>3107</v>
      </c>
      <c r="B1557" s="3" t="s">
        <v>3108</v>
      </c>
      <c r="C1557" s="3" t="s">
        <v>3</v>
      </c>
      <c r="D1557" s="3" t="s">
        <v>3</v>
      </c>
      <c r="E1557" s="3" t="s">
        <v>4</v>
      </c>
    </row>
    <row r="1558" spans="1:5" hidden="1" x14ac:dyDescent="0.25">
      <c r="A1558" s="3" t="s">
        <v>3109</v>
      </c>
      <c r="B1558" s="3" t="s">
        <v>3110</v>
      </c>
      <c r="C1558" s="3" t="s">
        <v>3</v>
      </c>
      <c r="D1558" s="3" t="s">
        <v>3</v>
      </c>
      <c r="E1558" s="3" t="s">
        <v>4</v>
      </c>
    </row>
    <row r="1559" spans="1:5" hidden="1" x14ac:dyDescent="0.25">
      <c r="A1559" s="3" t="s">
        <v>3111</v>
      </c>
      <c r="B1559" s="3" t="s">
        <v>3112</v>
      </c>
      <c r="C1559" s="3" t="s">
        <v>3</v>
      </c>
      <c r="D1559" s="3" t="s">
        <v>3</v>
      </c>
      <c r="E1559" s="3" t="s">
        <v>4</v>
      </c>
    </row>
    <row r="1560" spans="1:5" hidden="1" x14ac:dyDescent="0.25">
      <c r="A1560" s="3" t="s">
        <v>3113</v>
      </c>
      <c r="B1560" s="3" t="s">
        <v>3114</v>
      </c>
      <c r="C1560" s="3" t="s">
        <v>3</v>
      </c>
      <c r="D1560" s="3" t="s">
        <v>3</v>
      </c>
      <c r="E1560" s="3" t="s">
        <v>4</v>
      </c>
    </row>
    <row r="1561" spans="1:5" hidden="1" x14ac:dyDescent="0.25">
      <c r="A1561" s="3" t="s">
        <v>3115</v>
      </c>
      <c r="B1561" s="3" t="s">
        <v>3116</v>
      </c>
      <c r="C1561" s="3" t="s">
        <v>3</v>
      </c>
      <c r="D1561" s="3" t="s">
        <v>3</v>
      </c>
      <c r="E1561" s="3" t="s">
        <v>4</v>
      </c>
    </row>
    <row r="1562" spans="1:5" hidden="1" x14ac:dyDescent="0.25">
      <c r="A1562" s="3" t="s">
        <v>3117</v>
      </c>
      <c r="B1562" s="3" t="s">
        <v>3118</v>
      </c>
      <c r="C1562" s="3" t="s">
        <v>3</v>
      </c>
      <c r="D1562" s="3" t="s">
        <v>3</v>
      </c>
      <c r="E1562" s="3" t="s">
        <v>4</v>
      </c>
    </row>
    <row r="1563" spans="1:5" hidden="1" x14ac:dyDescent="0.25">
      <c r="A1563" s="3" t="s">
        <v>3119</v>
      </c>
      <c r="B1563" s="3" t="s">
        <v>3120</v>
      </c>
      <c r="C1563" s="3" t="s">
        <v>3</v>
      </c>
      <c r="D1563" s="3" t="s">
        <v>3</v>
      </c>
      <c r="E1563" s="3" t="s">
        <v>4</v>
      </c>
    </row>
    <row r="1564" spans="1:5" hidden="1" x14ac:dyDescent="0.25">
      <c r="A1564" s="3" t="s">
        <v>3121</v>
      </c>
      <c r="B1564" s="3" t="s">
        <v>3122</v>
      </c>
      <c r="C1564" s="3" t="s">
        <v>3</v>
      </c>
      <c r="D1564" s="3" t="s">
        <v>3</v>
      </c>
      <c r="E1564" s="3" t="s">
        <v>4</v>
      </c>
    </row>
    <row r="1565" spans="1:5" hidden="1" x14ac:dyDescent="0.25">
      <c r="A1565" s="3" t="s">
        <v>3123</v>
      </c>
      <c r="B1565" s="3" t="s">
        <v>3124</v>
      </c>
      <c r="C1565" s="3" t="s">
        <v>3</v>
      </c>
      <c r="D1565" s="3" t="s">
        <v>3</v>
      </c>
      <c r="E1565" s="3" t="s">
        <v>4</v>
      </c>
    </row>
    <row r="1566" spans="1:5" hidden="1" x14ac:dyDescent="0.25">
      <c r="A1566" s="3" t="s">
        <v>3125</v>
      </c>
      <c r="B1566" s="3" t="s">
        <v>3126</v>
      </c>
      <c r="C1566" s="3" t="s">
        <v>3</v>
      </c>
      <c r="D1566" s="3" t="s">
        <v>3</v>
      </c>
      <c r="E1566" s="3" t="s">
        <v>4</v>
      </c>
    </row>
    <row r="1567" spans="1:5" hidden="1" x14ac:dyDescent="0.25">
      <c r="A1567" s="3" t="s">
        <v>3127</v>
      </c>
      <c r="B1567" s="3" t="s">
        <v>3128</v>
      </c>
      <c r="C1567" s="3" t="s">
        <v>3</v>
      </c>
      <c r="D1567" s="3" t="s">
        <v>3</v>
      </c>
      <c r="E1567" s="3" t="s">
        <v>4</v>
      </c>
    </row>
    <row r="1568" spans="1:5" hidden="1" x14ac:dyDescent="0.25">
      <c r="A1568" s="3" t="s">
        <v>3129</v>
      </c>
      <c r="B1568" s="3" t="s">
        <v>3130</v>
      </c>
      <c r="C1568" s="3" t="s">
        <v>3</v>
      </c>
      <c r="D1568" s="3" t="s">
        <v>3</v>
      </c>
      <c r="E1568" s="3" t="s">
        <v>4</v>
      </c>
    </row>
    <row r="1569" spans="1:5" hidden="1" x14ac:dyDescent="0.25">
      <c r="A1569" s="3" t="s">
        <v>3131</v>
      </c>
      <c r="B1569" s="3" t="s">
        <v>3132</v>
      </c>
      <c r="C1569" s="3" t="s">
        <v>3</v>
      </c>
      <c r="D1569" s="3" t="s">
        <v>3</v>
      </c>
      <c r="E1569" s="3" t="s">
        <v>4</v>
      </c>
    </row>
    <row r="1570" spans="1:5" hidden="1" x14ac:dyDescent="0.25">
      <c r="A1570" s="3" t="s">
        <v>3133</v>
      </c>
      <c r="B1570" s="3" t="s">
        <v>3134</v>
      </c>
      <c r="C1570" s="3" t="s">
        <v>3</v>
      </c>
      <c r="D1570" s="3" t="s">
        <v>3</v>
      </c>
      <c r="E1570" s="3" t="s">
        <v>4</v>
      </c>
    </row>
    <row r="1571" spans="1:5" hidden="1" x14ac:dyDescent="0.25">
      <c r="A1571" s="3" t="s">
        <v>3135</v>
      </c>
      <c r="B1571" s="3" t="s">
        <v>3136</v>
      </c>
      <c r="C1571" s="3" t="s">
        <v>3</v>
      </c>
      <c r="D1571" s="3" t="s">
        <v>3</v>
      </c>
      <c r="E1571" s="3" t="s">
        <v>4</v>
      </c>
    </row>
    <row r="1572" spans="1:5" hidden="1" x14ac:dyDescent="0.25">
      <c r="A1572" s="3" t="s">
        <v>3137</v>
      </c>
      <c r="B1572" s="3" t="s">
        <v>3138</v>
      </c>
      <c r="C1572" s="3" t="s">
        <v>3</v>
      </c>
      <c r="D1572" s="3" t="s">
        <v>3</v>
      </c>
      <c r="E1572" s="3" t="s">
        <v>4</v>
      </c>
    </row>
    <row r="1573" spans="1:5" hidden="1" x14ac:dyDescent="0.25">
      <c r="A1573" s="3" t="s">
        <v>3139</v>
      </c>
      <c r="B1573" s="3" t="s">
        <v>3140</v>
      </c>
      <c r="C1573" s="3" t="s">
        <v>3</v>
      </c>
      <c r="D1573" s="3" t="s">
        <v>3</v>
      </c>
      <c r="E1573" s="3" t="s">
        <v>4</v>
      </c>
    </row>
    <row r="1574" spans="1:5" hidden="1" x14ac:dyDescent="0.25">
      <c r="A1574" s="3" t="s">
        <v>3141</v>
      </c>
      <c r="B1574" s="3" t="s">
        <v>3142</v>
      </c>
      <c r="C1574" s="3" t="s">
        <v>3</v>
      </c>
      <c r="D1574" s="3" t="s">
        <v>3</v>
      </c>
      <c r="E1574" s="3" t="s">
        <v>4</v>
      </c>
    </row>
    <row r="1575" spans="1:5" hidden="1" x14ac:dyDescent="0.25">
      <c r="A1575" s="3" t="s">
        <v>3143</v>
      </c>
      <c r="B1575" s="3" t="s">
        <v>3144</v>
      </c>
      <c r="C1575" s="3" t="s">
        <v>3</v>
      </c>
      <c r="D1575" s="3" t="s">
        <v>3</v>
      </c>
      <c r="E1575" s="3" t="s">
        <v>4</v>
      </c>
    </row>
    <row r="1576" spans="1:5" hidden="1" x14ac:dyDescent="0.25">
      <c r="A1576" s="3" t="s">
        <v>3145</v>
      </c>
      <c r="B1576" s="3" t="s">
        <v>3146</v>
      </c>
      <c r="C1576" s="3" t="s">
        <v>3</v>
      </c>
      <c r="D1576" s="3" t="s">
        <v>3</v>
      </c>
      <c r="E1576" s="3" t="s">
        <v>4</v>
      </c>
    </row>
    <row r="1577" spans="1:5" hidden="1" x14ac:dyDescent="0.25">
      <c r="A1577" s="3" t="s">
        <v>3147</v>
      </c>
      <c r="B1577" s="3" t="s">
        <v>3148</v>
      </c>
      <c r="C1577" s="3" t="s">
        <v>3</v>
      </c>
      <c r="D1577" s="3" t="s">
        <v>3</v>
      </c>
      <c r="E1577" s="3" t="s">
        <v>4</v>
      </c>
    </row>
    <row r="1578" spans="1:5" hidden="1" x14ac:dyDescent="0.25">
      <c r="A1578" s="3" t="s">
        <v>3149</v>
      </c>
      <c r="B1578" s="3" t="s">
        <v>3150</v>
      </c>
      <c r="C1578" s="3" t="s">
        <v>3</v>
      </c>
      <c r="D1578" s="3" t="s">
        <v>3</v>
      </c>
      <c r="E1578" s="3" t="s">
        <v>4</v>
      </c>
    </row>
    <row r="1579" spans="1:5" hidden="1" x14ac:dyDescent="0.25">
      <c r="A1579" s="3" t="s">
        <v>3151</v>
      </c>
      <c r="B1579" s="3" t="s">
        <v>3152</v>
      </c>
      <c r="C1579" s="3" t="s">
        <v>3</v>
      </c>
      <c r="D1579" s="3" t="s">
        <v>3</v>
      </c>
      <c r="E1579" s="3" t="s">
        <v>4</v>
      </c>
    </row>
    <row r="1580" spans="1:5" hidden="1" x14ac:dyDescent="0.25">
      <c r="A1580" s="3" t="s">
        <v>3153</v>
      </c>
      <c r="B1580" s="3" t="s">
        <v>3154</v>
      </c>
      <c r="C1580" s="3" t="s">
        <v>3</v>
      </c>
      <c r="D1580" s="3" t="s">
        <v>3</v>
      </c>
      <c r="E1580" s="3" t="s">
        <v>4</v>
      </c>
    </row>
    <row r="1581" spans="1:5" hidden="1" x14ac:dyDescent="0.25">
      <c r="A1581" s="3" t="s">
        <v>3155</v>
      </c>
      <c r="B1581" s="3" t="s">
        <v>3156</v>
      </c>
      <c r="C1581" s="3" t="s">
        <v>3</v>
      </c>
      <c r="D1581" s="3" t="s">
        <v>3</v>
      </c>
      <c r="E1581" s="3" t="s">
        <v>4</v>
      </c>
    </row>
    <row r="1582" spans="1:5" hidden="1" x14ac:dyDescent="0.25">
      <c r="A1582" s="3" t="s">
        <v>3157</v>
      </c>
      <c r="B1582" s="3" t="s">
        <v>3158</v>
      </c>
      <c r="C1582" s="3" t="s">
        <v>3</v>
      </c>
      <c r="D1582" s="3" t="s">
        <v>3</v>
      </c>
      <c r="E1582" s="3" t="s">
        <v>4</v>
      </c>
    </row>
    <row r="1583" spans="1:5" hidden="1" x14ac:dyDescent="0.25">
      <c r="A1583" s="3" t="s">
        <v>3159</v>
      </c>
      <c r="B1583" s="3" t="s">
        <v>3160</v>
      </c>
      <c r="C1583" s="3" t="s">
        <v>3</v>
      </c>
      <c r="D1583" s="3" t="s">
        <v>3</v>
      </c>
      <c r="E1583" s="3" t="s">
        <v>4</v>
      </c>
    </row>
    <row r="1584" spans="1:5" hidden="1" x14ac:dyDescent="0.25">
      <c r="A1584" s="3" t="s">
        <v>3161</v>
      </c>
      <c r="B1584" s="3" t="s">
        <v>3162</v>
      </c>
      <c r="C1584" s="3" t="s">
        <v>3</v>
      </c>
      <c r="D1584" s="3" t="s">
        <v>3</v>
      </c>
      <c r="E1584" s="3" t="s">
        <v>4</v>
      </c>
    </row>
    <row r="1585" spans="1:5" hidden="1" x14ac:dyDescent="0.25">
      <c r="A1585" s="3" t="s">
        <v>3163</v>
      </c>
      <c r="B1585" s="3" t="s">
        <v>3164</v>
      </c>
      <c r="C1585" s="3" t="s">
        <v>3</v>
      </c>
      <c r="D1585" s="3" t="s">
        <v>3</v>
      </c>
      <c r="E1585" s="3" t="s">
        <v>4</v>
      </c>
    </row>
    <row r="1586" spans="1:5" hidden="1" x14ac:dyDescent="0.25">
      <c r="A1586" s="3" t="s">
        <v>3165</v>
      </c>
      <c r="B1586" s="3" t="s">
        <v>2972</v>
      </c>
      <c r="C1586" s="3" t="s">
        <v>3</v>
      </c>
      <c r="D1586" s="3" t="s">
        <v>3</v>
      </c>
      <c r="E1586" s="3" t="s">
        <v>4</v>
      </c>
    </row>
    <row r="1587" spans="1:5" hidden="1" x14ac:dyDescent="0.25">
      <c r="A1587" s="3" t="s">
        <v>3166</v>
      </c>
      <c r="B1587" s="3" t="s">
        <v>3167</v>
      </c>
      <c r="C1587" s="3" t="s">
        <v>3</v>
      </c>
      <c r="D1587" s="3" t="s">
        <v>3</v>
      </c>
      <c r="E1587" s="3" t="s">
        <v>4</v>
      </c>
    </row>
    <row r="1588" spans="1:5" hidden="1" x14ac:dyDescent="0.25">
      <c r="A1588" s="3" t="s">
        <v>3168</v>
      </c>
      <c r="B1588" s="3" t="s">
        <v>3169</v>
      </c>
      <c r="C1588" s="3" t="s">
        <v>3</v>
      </c>
      <c r="D1588" s="3" t="s">
        <v>3</v>
      </c>
      <c r="E1588" s="3" t="s">
        <v>4</v>
      </c>
    </row>
    <row r="1589" spans="1:5" hidden="1" x14ac:dyDescent="0.25">
      <c r="A1589" s="3" t="s">
        <v>3170</v>
      </c>
      <c r="B1589" s="3" t="s">
        <v>3171</v>
      </c>
      <c r="C1589" s="3" t="s">
        <v>3</v>
      </c>
      <c r="D1589" s="3" t="s">
        <v>3</v>
      </c>
      <c r="E1589" s="3" t="s">
        <v>4</v>
      </c>
    </row>
    <row r="1590" spans="1:5" hidden="1" x14ac:dyDescent="0.25">
      <c r="A1590" s="3" t="s">
        <v>3172</v>
      </c>
      <c r="B1590" s="3" t="s">
        <v>3173</v>
      </c>
      <c r="C1590" s="3" t="s">
        <v>3</v>
      </c>
      <c r="D1590" s="3" t="s">
        <v>3</v>
      </c>
      <c r="E1590" s="3" t="s">
        <v>4</v>
      </c>
    </row>
    <row r="1591" spans="1:5" hidden="1" x14ac:dyDescent="0.25">
      <c r="A1591" s="3" t="s">
        <v>3174</v>
      </c>
      <c r="B1591" s="3" t="s">
        <v>3175</v>
      </c>
      <c r="C1591" s="3" t="s">
        <v>3</v>
      </c>
      <c r="D1591" s="3" t="s">
        <v>3</v>
      </c>
      <c r="E1591" s="3" t="s">
        <v>4</v>
      </c>
    </row>
    <row r="1592" spans="1:5" hidden="1" x14ac:dyDescent="0.25">
      <c r="A1592" s="3" t="s">
        <v>3176</v>
      </c>
      <c r="B1592" s="3" t="s">
        <v>3177</v>
      </c>
      <c r="C1592" s="3" t="s">
        <v>3</v>
      </c>
      <c r="D1592" s="3" t="s">
        <v>3</v>
      </c>
      <c r="E1592" s="3" t="s">
        <v>4</v>
      </c>
    </row>
    <row r="1593" spans="1:5" hidden="1" x14ac:dyDescent="0.25">
      <c r="A1593" s="3" t="s">
        <v>3178</v>
      </c>
      <c r="B1593" s="3" t="s">
        <v>3179</v>
      </c>
      <c r="C1593" s="3" t="s">
        <v>3</v>
      </c>
      <c r="D1593" s="3" t="s">
        <v>3</v>
      </c>
      <c r="E1593" s="3" t="s">
        <v>4</v>
      </c>
    </row>
    <row r="1594" spans="1:5" hidden="1" x14ac:dyDescent="0.25">
      <c r="A1594" s="3" t="s">
        <v>3180</v>
      </c>
      <c r="B1594" s="3" t="s">
        <v>3181</v>
      </c>
      <c r="C1594" s="3" t="s">
        <v>3</v>
      </c>
      <c r="D1594" s="3" t="s">
        <v>3</v>
      </c>
      <c r="E1594" s="3" t="s">
        <v>4</v>
      </c>
    </row>
    <row r="1595" spans="1:5" hidden="1" x14ac:dyDescent="0.25">
      <c r="A1595" s="3" t="s">
        <v>3182</v>
      </c>
      <c r="B1595" s="3" t="s">
        <v>3183</v>
      </c>
      <c r="C1595" s="3" t="s">
        <v>3</v>
      </c>
      <c r="D1595" s="3" t="s">
        <v>3</v>
      </c>
      <c r="E1595" s="3" t="s">
        <v>4</v>
      </c>
    </row>
    <row r="1596" spans="1:5" hidden="1" x14ac:dyDescent="0.25">
      <c r="A1596" s="3" t="s">
        <v>3184</v>
      </c>
      <c r="B1596" s="3" t="s">
        <v>3185</v>
      </c>
      <c r="C1596" s="3" t="s">
        <v>3</v>
      </c>
      <c r="D1596" s="3" t="s">
        <v>3</v>
      </c>
      <c r="E1596" s="3" t="s">
        <v>4</v>
      </c>
    </row>
    <row r="1597" spans="1:5" hidden="1" x14ac:dyDescent="0.25">
      <c r="A1597" s="3" t="s">
        <v>3186</v>
      </c>
      <c r="B1597" s="3" t="s">
        <v>3187</v>
      </c>
      <c r="C1597" s="3" t="s">
        <v>3</v>
      </c>
      <c r="D1597" s="3" t="s">
        <v>3</v>
      </c>
      <c r="E1597" s="3" t="s">
        <v>4</v>
      </c>
    </row>
    <row r="1598" spans="1:5" hidden="1" x14ac:dyDescent="0.25">
      <c r="A1598" s="3" t="s">
        <v>3188</v>
      </c>
      <c r="B1598" s="3" t="s">
        <v>3189</v>
      </c>
      <c r="C1598" s="3" t="s">
        <v>3</v>
      </c>
      <c r="D1598" s="3" t="s">
        <v>3</v>
      </c>
      <c r="E1598" s="3" t="s">
        <v>4</v>
      </c>
    </row>
    <row r="1599" spans="1:5" hidden="1" x14ac:dyDescent="0.25">
      <c r="A1599" s="3" t="s">
        <v>3190</v>
      </c>
      <c r="B1599" s="3" t="s">
        <v>3191</v>
      </c>
      <c r="C1599" s="3" t="s">
        <v>3</v>
      </c>
      <c r="D1599" s="3" t="s">
        <v>3</v>
      </c>
      <c r="E1599" s="3" t="s">
        <v>4</v>
      </c>
    </row>
    <row r="1600" spans="1:5" hidden="1" x14ac:dyDescent="0.25">
      <c r="A1600" s="3" t="s">
        <v>3192</v>
      </c>
      <c r="B1600" s="3" t="s">
        <v>3193</v>
      </c>
      <c r="C1600" s="3" t="s">
        <v>3</v>
      </c>
      <c r="D1600" s="3" t="s">
        <v>3</v>
      </c>
      <c r="E1600" s="3" t="s">
        <v>4</v>
      </c>
    </row>
    <row r="1601" spans="1:5" hidden="1" x14ac:dyDescent="0.25">
      <c r="A1601" s="3" t="s">
        <v>3194</v>
      </c>
      <c r="B1601" s="3" t="s">
        <v>3195</v>
      </c>
      <c r="C1601" s="3" t="s">
        <v>3</v>
      </c>
      <c r="D1601" s="3" t="s">
        <v>3</v>
      </c>
      <c r="E1601" s="3" t="s">
        <v>4</v>
      </c>
    </row>
    <row r="1602" spans="1:5" hidden="1" x14ac:dyDescent="0.25">
      <c r="A1602" s="3" t="s">
        <v>3196</v>
      </c>
      <c r="B1602" s="3" t="s">
        <v>3197</v>
      </c>
      <c r="C1602" s="3" t="s">
        <v>3</v>
      </c>
      <c r="D1602" s="3" t="s">
        <v>3</v>
      </c>
      <c r="E1602" s="3" t="s">
        <v>4</v>
      </c>
    </row>
    <row r="1603" spans="1:5" hidden="1" x14ac:dyDescent="0.25">
      <c r="A1603" s="3" t="s">
        <v>3198</v>
      </c>
      <c r="B1603" s="3" t="s">
        <v>3199</v>
      </c>
      <c r="C1603" s="3" t="s">
        <v>3</v>
      </c>
      <c r="D1603" s="3" t="s">
        <v>3</v>
      </c>
      <c r="E1603" s="3" t="s">
        <v>4</v>
      </c>
    </row>
    <row r="1604" spans="1:5" hidden="1" x14ac:dyDescent="0.25">
      <c r="A1604" s="3" t="s">
        <v>3200</v>
      </c>
      <c r="B1604" s="3" t="s">
        <v>3201</v>
      </c>
      <c r="C1604" s="3" t="s">
        <v>3</v>
      </c>
      <c r="D1604" s="3" t="s">
        <v>3</v>
      </c>
      <c r="E1604" s="3" t="s">
        <v>4</v>
      </c>
    </row>
    <row r="1605" spans="1:5" hidden="1" x14ac:dyDescent="0.25">
      <c r="A1605" s="3" t="s">
        <v>3202</v>
      </c>
      <c r="B1605" s="3" t="s">
        <v>3203</v>
      </c>
      <c r="C1605" s="3" t="s">
        <v>3</v>
      </c>
      <c r="D1605" s="3" t="s">
        <v>3</v>
      </c>
      <c r="E1605" s="3" t="s">
        <v>4</v>
      </c>
    </row>
    <row r="1606" spans="1:5" hidden="1" x14ac:dyDescent="0.25">
      <c r="A1606" s="3" t="s">
        <v>3204</v>
      </c>
      <c r="B1606" s="3" t="s">
        <v>3205</v>
      </c>
      <c r="C1606" s="3" t="s">
        <v>3</v>
      </c>
      <c r="D1606" s="3" t="s">
        <v>3</v>
      </c>
      <c r="E1606" s="3" t="s">
        <v>4</v>
      </c>
    </row>
    <row r="1607" spans="1:5" hidden="1" x14ac:dyDescent="0.25">
      <c r="A1607" s="3" t="s">
        <v>3206</v>
      </c>
      <c r="B1607" s="3" t="s">
        <v>3207</v>
      </c>
      <c r="C1607" s="3" t="s">
        <v>3</v>
      </c>
      <c r="D1607" s="3" t="s">
        <v>3</v>
      </c>
      <c r="E1607" s="3" t="s">
        <v>4</v>
      </c>
    </row>
    <row r="1608" spans="1:5" hidden="1" x14ac:dyDescent="0.25">
      <c r="A1608" s="3" t="s">
        <v>3208</v>
      </c>
      <c r="B1608" s="3" t="s">
        <v>3209</v>
      </c>
      <c r="C1608" s="3" t="s">
        <v>3</v>
      </c>
      <c r="D1608" s="3" t="s">
        <v>3</v>
      </c>
      <c r="E1608" s="3" t="s">
        <v>4</v>
      </c>
    </row>
    <row r="1609" spans="1:5" hidden="1" x14ac:dyDescent="0.25">
      <c r="A1609" s="3" t="s">
        <v>3210</v>
      </c>
      <c r="B1609" s="3" t="s">
        <v>3211</v>
      </c>
      <c r="C1609" s="3" t="s">
        <v>3</v>
      </c>
      <c r="D1609" s="3" t="s">
        <v>3</v>
      </c>
      <c r="E1609" s="3" t="s">
        <v>4</v>
      </c>
    </row>
    <row r="1610" spans="1:5" hidden="1" x14ac:dyDescent="0.25">
      <c r="A1610" s="3" t="s">
        <v>3212</v>
      </c>
      <c r="B1610" s="3" t="s">
        <v>3213</v>
      </c>
      <c r="C1610" s="3" t="s">
        <v>3</v>
      </c>
      <c r="D1610" s="3" t="s">
        <v>3</v>
      </c>
      <c r="E1610" s="3" t="s">
        <v>4</v>
      </c>
    </row>
    <row r="1611" spans="1:5" hidden="1" x14ac:dyDescent="0.25">
      <c r="A1611" s="3" t="s">
        <v>3214</v>
      </c>
      <c r="B1611" s="3" t="s">
        <v>3215</v>
      </c>
      <c r="C1611" s="3" t="s">
        <v>3</v>
      </c>
      <c r="D1611" s="3" t="s">
        <v>3</v>
      </c>
      <c r="E1611" s="3" t="s">
        <v>4</v>
      </c>
    </row>
    <row r="1612" spans="1:5" hidden="1" x14ac:dyDescent="0.25">
      <c r="A1612" s="3" t="s">
        <v>3216</v>
      </c>
      <c r="B1612" s="3" t="s">
        <v>3217</v>
      </c>
      <c r="C1612" s="3" t="s">
        <v>3</v>
      </c>
      <c r="D1612" s="3" t="s">
        <v>3</v>
      </c>
      <c r="E1612" s="3" t="s">
        <v>4</v>
      </c>
    </row>
    <row r="1613" spans="1:5" hidden="1" x14ac:dyDescent="0.25">
      <c r="A1613" s="3" t="s">
        <v>3218</v>
      </c>
      <c r="B1613" s="3" t="s">
        <v>3219</v>
      </c>
      <c r="C1613" s="3" t="s">
        <v>3</v>
      </c>
      <c r="D1613" s="3" t="s">
        <v>3</v>
      </c>
      <c r="E1613" s="3" t="s">
        <v>4</v>
      </c>
    </row>
    <row r="1614" spans="1:5" hidden="1" x14ac:dyDescent="0.25">
      <c r="A1614" s="3" t="s">
        <v>3220</v>
      </c>
      <c r="B1614" s="3" t="s">
        <v>3221</v>
      </c>
      <c r="C1614" s="3" t="s">
        <v>3</v>
      </c>
      <c r="D1614" s="3" t="s">
        <v>3</v>
      </c>
      <c r="E1614" s="3" t="s">
        <v>4</v>
      </c>
    </row>
    <row r="1615" spans="1:5" hidden="1" x14ac:dyDescent="0.25">
      <c r="A1615" s="3" t="s">
        <v>3222</v>
      </c>
      <c r="B1615" s="3" t="s">
        <v>3223</v>
      </c>
      <c r="C1615" s="3" t="s">
        <v>3</v>
      </c>
      <c r="D1615" s="3" t="s">
        <v>3</v>
      </c>
      <c r="E1615" s="3" t="s">
        <v>4</v>
      </c>
    </row>
    <row r="1616" spans="1:5" hidden="1" x14ac:dyDescent="0.25">
      <c r="A1616" s="3" t="s">
        <v>3224</v>
      </c>
      <c r="B1616" s="3" t="s">
        <v>3225</v>
      </c>
      <c r="C1616" s="3" t="s">
        <v>3</v>
      </c>
      <c r="D1616" s="3" t="s">
        <v>3</v>
      </c>
      <c r="E1616" s="3" t="s">
        <v>4</v>
      </c>
    </row>
    <row r="1617" spans="1:5" hidden="1" x14ac:dyDescent="0.25">
      <c r="A1617" s="3" t="s">
        <v>3226</v>
      </c>
      <c r="B1617" s="3" t="s">
        <v>3227</v>
      </c>
      <c r="C1617" s="3" t="s">
        <v>3</v>
      </c>
      <c r="D1617" s="3" t="s">
        <v>3</v>
      </c>
      <c r="E1617" s="3" t="s">
        <v>4</v>
      </c>
    </row>
    <row r="1618" spans="1:5" hidden="1" x14ac:dyDescent="0.25">
      <c r="A1618" s="3" t="s">
        <v>3228</v>
      </c>
      <c r="B1618" s="3" t="s">
        <v>3229</v>
      </c>
      <c r="C1618" s="3" t="s">
        <v>3</v>
      </c>
      <c r="D1618" s="3" t="s">
        <v>3</v>
      </c>
      <c r="E1618" s="3" t="s">
        <v>4</v>
      </c>
    </row>
    <row r="1619" spans="1:5" hidden="1" x14ac:dyDescent="0.25">
      <c r="A1619" s="3" t="s">
        <v>3230</v>
      </c>
      <c r="B1619" s="3" t="s">
        <v>3231</v>
      </c>
      <c r="C1619" s="3" t="s">
        <v>3</v>
      </c>
      <c r="D1619" s="3" t="s">
        <v>3</v>
      </c>
      <c r="E1619" s="3" t="s">
        <v>4</v>
      </c>
    </row>
    <row r="1620" spans="1:5" hidden="1" x14ac:dyDescent="0.25">
      <c r="A1620" s="3" t="s">
        <v>3232</v>
      </c>
      <c r="B1620" s="3" t="s">
        <v>3233</v>
      </c>
      <c r="C1620" s="3" t="s">
        <v>3</v>
      </c>
      <c r="D1620" s="3" t="s">
        <v>3</v>
      </c>
      <c r="E1620" s="3" t="s">
        <v>4</v>
      </c>
    </row>
    <row r="1621" spans="1:5" hidden="1" x14ac:dyDescent="0.25">
      <c r="A1621" s="3" t="s">
        <v>3234</v>
      </c>
      <c r="B1621" s="3" t="s">
        <v>3235</v>
      </c>
      <c r="C1621" s="3" t="s">
        <v>3</v>
      </c>
      <c r="D1621" s="3" t="s">
        <v>3</v>
      </c>
      <c r="E1621" s="3" t="s">
        <v>4</v>
      </c>
    </row>
    <row r="1622" spans="1:5" hidden="1" x14ac:dyDescent="0.25">
      <c r="A1622" s="3" t="s">
        <v>3236</v>
      </c>
      <c r="B1622" s="3" t="s">
        <v>3237</v>
      </c>
      <c r="C1622" s="3" t="s">
        <v>3</v>
      </c>
      <c r="D1622" s="3" t="s">
        <v>3</v>
      </c>
      <c r="E1622" s="3" t="s">
        <v>4</v>
      </c>
    </row>
    <row r="1623" spans="1:5" hidden="1" x14ac:dyDescent="0.25">
      <c r="A1623" s="3" t="s">
        <v>3238</v>
      </c>
      <c r="B1623" s="3" t="s">
        <v>3239</v>
      </c>
      <c r="C1623" s="3" t="s">
        <v>3</v>
      </c>
      <c r="D1623" s="3" t="s">
        <v>3</v>
      </c>
      <c r="E1623" s="3" t="s">
        <v>4</v>
      </c>
    </row>
    <row r="1624" spans="1:5" hidden="1" x14ac:dyDescent="0.25">
      <c r="A1624" s="3" t="s">
        <v>3240</v>
      </c>
      <c r="B1624" s="3" t="s">
        <v>3241</v>
      </c>
      <c r="C1624" s="3" t="s">
        <v>3</v>
      </c>
      <c r="D1624" s="3" t="s">
        <v>3</v>
      </c>
      <c r="E1624" s="3" t="s">
        <v>4</v>
      </c>
    </row>
    <row r="1625" spans="1:5" hidden="1" x14ac:dyDescent="0.25">
      <c r="A1625" s="3" t="s">
        <v>3242</v>
      </c>
      <c r="B1625" s="3" t="s">
        <v>3243</v>
      </c>
      <c r="C1625" s="3" t="s">
        <v>3</v>
      </c>
      <c r="D1625" s="3" t="s">
        <v>3</v>
      </c>
      <c r="E1625" s="3" t="s">
        <v>4</v>
      </c>
    </row>
    <row r="1626" spans="1:5" hidden="1" x14ac:dyDescent="0.25">
      <c r="A1626" s="3" t="s">
        <v>3244</v>
      </c>
      <c r="B1626" s="3" t="s">
        <v>3245</v>
      </c>
      <c r="C1626" s="3" t="s">
        <v>3</v>
      </c>
      <c r="D1626" s="3" t="s">
        <v>3</v>
      </c>
      <c r="E1626" s="3" t="s">
        <v>4</v>
      </c>
    </row>
    <row r="1627" spans="1:5" hidden="1" x14ac:dyDescent="0.25">
      <c r="A1627" s="3" t="s">
        <v>3246</v>
      </c>
      <c r="B1627" s="3" t="s">
        <v>3247</v>
      </c>
      <c r="C1627" s="3" t="s">
        <v>3</v>
      </c>
      <c r="D1627" s="3" t="s">
        <v>3</v>
      </c>
      <c r="E1627" s="3" t="s">
        <v>4</v>
      </c>
    </row>
    <row r="1628" spans="1:5" hidden="1" x14ac:dyDescent="0.25">
      <c r="A1628" s="3" t="s">
        <v>3248</v>
      </c>
      <c r="B1628" s="3" t="s">
        <v>3249</v>
      </c>
      <c r="C1628" s="3" t="s">
        <v>3</v>
      </c>
      <c r="D1628" s="3" t="s">
        <v>3</v>
      </c>
      <c r="E1628" s="3" t="s">
        <v>4</v>
      </c>
    </row>
    <row r="1629" spans="1:5" hidden="1" x14ac:dyDescent="0.25">
      <c r="A1629" s="3" t="s">
        <v>3250</v>
      </c>
      <c r="B1629" s="3" t="s">
        <v>3251</v>
      </c>
      <c r="C1629" s="3" t="s">
        <v>3</v>
      </c>
      <c r="D1629" s="3" t="s">
        <v>3</v>
      </c>
      <c r="E1629" s="3" t="s">
        <v>4</v>
      </c>
    </row>
    <row r="1630" spans="1:5" hidden="1" x14ac:dyDescent="0.25">
      <c r="A1630" s="3" t="s">
        <v>3252</v>
      </c>
      <c r="B1630" s="3" t="s">
        <v>3253</v>
      </c>
      <c r="C1630" s="3" t="s">
        <v>3</v>
      </c>
      <c r="D1630" s="3" t="s">
        <v>3</v>
      </c>
      <c r="E1630" s="3" t="s">
        <v>4</v>
      </c>
    </row>
    <row r="1631" spans="1:5" hidden="1" x14ac:dyDescent="0.25">
      <c r="A1631" s="3" t="s">
        <v>3254</v>
      </c>
      <c r="B1631" s="3" t="s">
        <v>3255</v>
      </c>
      <c r="C1631" s="3" t="s">
        <v>3</v>
      </c>
      <c r="D1631" s="3" t="s">
        <v>3</v>
      </c>
      <c r="E1631" s="3" t="s">
        <v>4</v>
      </c>
    </row>
    <row r="1632" spans="1:5" hidden="1" x14ac:dyDescent="0.25">
      <c r="A1632" s="3" t="s">
        <v>3256</v>
      </c>
      <c r="B1632" s="3" t="s">
        <v>3257</v>
      </c>
      <c r="C1632" s="3" t="s">
        <v>3</v>
      </c>
      <c r="D1632" s="3" t="s">
        <v>3</v>
      </c>
      <c r="E1632" s="3" t="s">
        <v>4</v>
      </c>
    </row>
    <row r="1633" spans="1:5" hidden="1" x14ac:dyDescent="0.25">
      <c r="A1633" s="3" t="s">
        <v>3258</v>
      </c>
      <c r="B1633" s="3" t="s">
        <v>3259</v>
      </c>
      <c r="C1633" s="3" t="s">
        <v>3</v>
      </c>
      <c r="D1633" s="3" t="s">
        <v>3</v>
      </c>
      <c r="E1633" s="3" t="s">
        <v>4</v>
      </c>
    </row>
    <row r="1634" spans="1:5" hidden="1" x14ac:dyDescent="0.25">
      <c r="A1634" s="3" t="s">
        <v>3260</v>
      </c>
      <c r="B1634" s="3" t="s">
        <v>3261</v>
      </c>
      <c r="C1634" s="3" t="s">
        <v>3</v>
      </c>
      <c r="D1634" s="3" t="s">
        <v>3</v>
      </c>
      <c r="E1634" s="3" t="s">
        <v>4</v>
      </c>
    </row>
    <row r="1635" spans="1:5" hidden="1" x14ac:dyDescent="0.25">
      <c r="A1635" s="3" t="s">
        <v>3262</v>
      </c>
      <c r="B1635" s="3" t="s">
        <v>3263</v>
      </c>
      <c r="C1635" s="3" t="s">
        <v>3</v>
      </c>
      <c r="D1635" s="3" t="s">
        <v>3</v>
      </c>
      <c r="E1635" s="3" t="s">
        <v>4</v>
      </c>
    </row>
    <row r="1636" spans="1:5" hidden="1" x14ac:dyDescent="0.25">
      <c r="A1636" s="3" t="s">
        <v>3264</v>
      </c>
      <c r="B1636" s="3" t="s">
        <v>3265</v>
      </c>
      <c r="C1636" s="3" t="s">
        <v>3</v>
      </c>
      <c r="D1636" s="3" t="s">
        <v>3</v>
      </c>
      <c r="E1636" s="3" t="s">
        <v>4</v>
      </c>
    </row>
    <row r="1637" spans="1:5" hidden="1" x14ac:dyDescent="0.25">
      <c r="A1637" s="3" t="s">
        <v>3266</v>
      </c>
      <c r="B1637" s="3" t="s">
        <v>3267</v>
      </c>
      <c r="C1637" s="3" t="s">
        <v>3</v>
      </c>
      <c r="D1637" s="3" t="s">
        <v>3</v>
      </c>
      <c r="E1637" s="3" t="s">
        <v>4</v>
      </c>
    </row>
    <row r="1638" spans="1:5" hidden="1" x14ac:dyDescent="0.25">
      <c r="A1638" s="3" t="s">
        <v>3268</v>
      </c>
      <c r="B1638" s="3" t="s">
        <v>3269</v>
      </c>
      <c r="C1638" s="3" t="s">
        <v>3</v>
      </c>
      <c r="D1638" s="3" t="s">
        <v>3</v>
      </c>
      <c r="E1638" s="3" t="s">
        <v>4</v>
      </c>
    </row>
    <row r="1639" spans="1:5" hidden="1" x14ac:dyDescent="0.25">
      <c r="A1639" s="3" t="s">
        <v>3270</v>
      </c>
      <c r="B1639" s="3" t="s">
        <v>3271</v>
      </c>
      <c r="C1639" s="3" t="s">
        <v>3</v>
      </c>
      <c r="D1639" s="3" t="s">
        <v>3</v>
      </c>
      <c r="E1639" s="3" t="s">
        <v>4</v>
      </c>
    </row>
    <row r="1640" spans="1:5" hidden="1" x14ac:dyDescent="0.25">
      <c r="A1640" s="3" t="s">
        <v>3272</v>
      </c>
      <c r="B1640" s="3" t="s">
        <v>3273</v>
      </c>
      <c r="C1640" s="3" t="s">
        <v>3</v>
      </c>
      <c r="D1640" s="3" t="s">
        <v>3</v>
      </c>
      <c r="E1640" s="3" t="s">
        <v>4</v>
      </c>
    </row>
    <row r="1641" spans="1:5" hidden="1" x14ac:dyDescent="0.25">
      <c r="A1641" s="3" t="s">
        <v>3274</v>
      </c>
      <c r="B1641" s="3" t="s">
        <v>3275</v>
      </c>
      <c r="C1641" s="3" t="s">
        <v>3</v>
      </c>
      <c r="D1641" s="3" t="s">
        <v>3</v>
      </c>
      <c r="E1641" s="3" t="s">
        <v>4</v>
      </c>
    </row>
    <row r="1642" spans="1:5" hidden="1" x14ac:dyDescent="0.25">
      <c r="A1642" s="3" t="s">
        <v>3276</v>
      </c>
      <c r="B1642" s="3" t="s">
        <v>3277</v>
      </c>
      <c r="C1642" s="3" t="s">
        <v>3</v>
      </c>
      <c r="D1642" s="3" t="s">
        <v>3</v>
      </c>
      <c r="E1642" s="3" t="s">
        <v>4</v>
      </c>
    </row>
    <row r="1643" spans="1:5" hidden="1" x14ac:dyDescent="0.25">
      <c r="A1643" s="3" t="s">
        <v>3278</v>
      </c>
      <c r="B1643" s="3" t="s">
        <v>3279</v>
      </c>
      <c r="C1643" s="3" t="s">
        <v>3</v>
      </c>
      <c r="D1643" s="3" t="s">
        <v>3</v>
      </c>
      <c r="E1643" s="3" t="s">
        <v>4</v>
      </c>
    </row>
    <row r="1644" spans="1:5" hidden="1" x14ac:dyDescent="0.25">
      <c r="A1644" s="3" t="s">
        <v>3280</v>
      </c>
      <c r="B1644" s="3" t="s">
        <v>3281</v>
      </c>
      <c r="C1644" s="3" t="s">
        <v>3</v>
      </c>
      <c r="D1644" s="3" t="s">
        <v>3</v>
      </c>
      <c r="E1644" s="3" t="s">
        <v>4</v>
      </c>
    </row>
    <row r="1645" spans="1:5" hidden="1" x14ac:dyDescent="0.25">
      <c r="A1645" s="3" t="s">
        <v>3282</v>
      </c>
      <c r="B1645" s="3" t="s">
        <v>3283</v>
      </c>
      <c r="C1645" s="3" t="s">
        <v>3</v>
      </c>
      <c r="D1645" s="3" t="s">
        <v>3</v>
      </c>
      <c r="E1645" s="3" t="s">
        <v>4</v>
      </c>
    </row>
    <row r="1646" spans="1:5" hidden="1" x14ac:dyDescent="0.25">
      <c r="A1646" s="3" t="s">
        <v>3284</v>
      </c>
      <c r="B1646" s="3" t="s">
        <v>3285</v>
      </c>
      <c r="C1646" s="3" t="s">
        <v>3</v>
      </c>
      <c r="D1646" s="3" t="s">
        <v>3</v>
      </c>
      <c r="E1646" s="3" t="s">
        <v>4</v>
      </c>
    </row>
    <row r="1647" spans="1:5" hidden="1" x14ac:dyDescent="0.25">
      <c r="A1647" s="3" t="s">
        <v>3286</v>
      </c>
      <c r="B1647" s="3" t="s">
        <v>3287</v>
      </c>
      <c r="C1647" s="3" t="s">
        <v>3</v>
      </c>
      <c r="D1647" s="3" t="s">
        <v>3</v>
      </c>
      <c r="E1647" s="3" t="s">
        <v>4</v>
      </c>
    </row>
    <row r="1648" spans="1:5" hidden="1" x14ac:dyDescent="0.25">
      <c r="A1648" s="3" t="s">
        <v>3288</v>
      </c>
      <c r="B1648" s="3" t="s">
        <v>3289</v>
      </c>
      <c r="C1648" s="3" t="s">
        <v>3</v>
      </c>
      <c r="D1648" s="3" t="s">
        <v>3</v>
      </c>
      <c r="E1648" s="3" t="s">
        <v>4</v>
      </c>
    </row>
    <row r="1649" spans="1:5" hidden="1" x14ac:dyDescent="0.25">
      <c r="A1649" s="3" t="s">
        <v>3290</v>
      </c>
      <c r="B1649" s="3" t="s">
        <v>3291</v>
      </c>
      <c r="C1649" s="3" t="s">
        <v>3</v>
      </c>
      <c r="D1649" s="3" t="s">
        <v>3</v>
      </c>
      <c r="E1649" s="3" t="s">
        <v>4</v>
      </c>
    </row>
    <row r="1650" spans="1:5" hidden="1" x14ac:dyDescent="0.25">
      <c r="A1650" s="3" t="s">
        <v>3292</v>
      </c>
      <c r="B1650" s="3" t="s">
        <v>3293</v>
      </c>
      <c r="C1650" s="3" t="s">
        <v>3</v>
      </c>
      <c r="D1650" s="3" t="s">
        <v>3</v>
      </c>
      <c r="E1650" s="3" t="s">
        <v>4</v>
      </c>
    </row>
    <row r="1651" spans="1:5" hidden="1" x14ac:dyDescent="0.25">
      <c r="A1651" s="3" t="s">
        <v>3294</v>
      </c>
      <c r="B1651" s="3" t="s">
        <v>3295</v>
      </c>
      <c r="C1651" s="3" t="s">
        <v>3</v>
      </c>
      <c r="D1651" s="3" t="s">
        <v>3</v>
      </c>
      <c r="E1651" s="3" t="s">
        <v>4</v>
      </c>
    </row>
    <row r="1652" spans="1:5" hidden="1" x14ac:dyDescent="0.25">
      <c r="A1652" s="3" t="s">
        <v>3296</v>
      </c>
      <c r="B1652" s="3" t="s">
        <v>3297</v>
      </c>
      <c r="C1652" s="3" t="s">
        <v>3</v>
      </c>
      <c r="D1652" s="3" t="s">
        <v>3</v>
      </c>
      <c r="E1652" s="3" t="s">
        <v>4</v>
      </c>
    </row>
    <row r="1653" spans="1:5" hidden="1" x14ac:dyDescent="0.25">
      <c r="A1653" s="3" t="s">
        <v>3298</v>
      </c>
      <c r="B1653" s="3" t="s">
        <v>3299</v>
      </c>
      <c r="C1653" s="3" t="s">
        <v>3</v>
      </c>
      <c r="D1653" s="3" t="s">
        <v>3</v>
      </c>
      <c r="E1653" s="3" t="s">
        <v>4</v>
      </c>
    </row>
    <row r="1654" spans="1:5" hidden="1" x14ac:dyDescent="0.25">
      <c r="A1654" s="3" t="s">
        <v>3300</v>
      </c>
      <c r="B1654" s="3" t="s">
        <v>3301</v>
      </c>
      <c r="C1654" s="3" t="s">
        <v>3</v>
      </c>
      <c r="D1654" s="3" t="s">
        <v>3</v>
      </c>
      <c r="E1654" s="3" t="s">
        <v>4</v>
      </c>
    </row>
    <row r="1655" spans="1:5" hidden="1" x14ac:dyDescent="0.25">
      <c r="A1655" s="3" t="s">
        <v>3302</v>
      </c>
      <c r="B1655" s="3" t="s">
        <v>3303</v>
      </c>
      <c r="C1655" s="3" t="s">
        <v>3</v>
      </c>
      <c r="D1655" s="3" t="s">
        <v>3</v>
      </c>
      <c r="E1655" s="3" t="s">
        <v>4</v>
      </c>
    </row>
    <row r="1656" spans="1:5" hidden="1" x14ac:dyDescent="0.25">
      <c r="A1656" s="3" t="s">
        <v>3304</v>
      </c>
      <c r="B1656" s="3" t="s">
        <v>3305</v>
      </c>
      <c r="C1656" s="3" t="s">
        <v>3</v>
      </c>
      <c r="D1656" s="3" t="s">
        <v>3</v>
      </c>
      <c r="E1656" s="3" t="s">
        <v>4</v>
      </c>
    </row>
    <row r="1657" spans="1:5" hidden="1" x14ac:dyDescent="0.25">
      <c r="A1657" s="3" t="s">
        <v>3306</v>
      </c>
      <c r="B1657" s="3" t="s">
        <v>3307</v>
      </c>
      <c r="C1657" s="3" t="s">
        <v>3</v>
      </c>
      <c r="D1657" s="3" t="s">
        <v>3</v>
      </c>
      <c r="E1657" s="3" t="s">
        <v>4</v>
      </c>
    </row>
    <row r="1658" spans="1:5" hidden="1" x14ac:dyDescent="0.25">
      <c r="A1658" s="3" t="s">
        <v>3308</v>
      </c>
      <c r="B1658" s="3" t="s">
        <v>3309</v>
      </c>
      <c r="C1658" s="3" t="s">
        <v>3</v>
      </c>
      <c r="D1658" s="3" t="s">
        <v>3</v>
      </c>
      <c r="E1658" s="3" t="s">
        <v>4</v>
      </c>
    </row>
    <row r="1659" spans="1:5" hidden="1" x14ac:dyDescent="0.25">
      <c r="A1659" s="3" t="s">
        <v>3310</v>
      </c>
      <c r="B1659" s="3" t="s">
        <v>3311</v>
      </c>
      <c r="C1659" s="3" t="s">
        <v>3</v>
      </c>
      <c r="D1659" s="3" t="s">
        <v>3</v>
      </c>
      <c r="E1659" s="3" t="s">
        <v>4</v>
      </c>
    </row>
    <row r="1660" spans="1:5" hidden="1" x14ac:dyDescent="0.25">
      <c r="A1660" s="3" t="s">
        <v>3312</v>
      </c>
      <c r="B1660" s="3" t="s">
        <v>3313</v>
      </c>
      <c r="C1660" s="3" t="s">
        <v>3</v>
      </c>
      <c r="D1660" s="3" t="s">
        <v>3</v>
      </c>
      <c r="E1660" s="3" t="s">
        <v>4</v>
      </c>
    </row>
    <row r="1661" spans="1:5" hidden="1" x14ac:dyDescent="0.25">
      <c r="A1661" s="3" t="s">
        <v>3314</v>
      </c>
      <c r="B1661" s="3" t="s">
        <v>3315</v>
      </c>
      <c r="C1661" s="3" t="s">
        <v>3</v>
      </c>
      <c r="D1661" s="3" t="s">
        <v>3</v>
      </c>
      <c r="E1661" s="3" t="s">
        <v>4</v>
      </c>
    </row>
    <row r="1662" spans="1:5" hidden="1" x14ac:dyDescent="0.25">
      <c r="A1662" s="3" t="s">
        <v>3316</v>
      </c>
      <c r="B1662" s="3" t="s">
        <v>3317</v>
      </c>
      <c r="C1662" s="3" t="s">
        <v>3</v>
      </c>
      <c r="D1662" s="3" t="s">
        <v>3</v>
      </c>
      <c r="E1662" s="3" t="s">
        <v>4</v>
      </c>
    </row>
    <row r="1663" spans="1:5" hidden="1" x14ac:dyDescent="0.25">
      <c r="A1663" s="3" t="s">
        <v>3318</v>
      </c>
      <c r="B1663" s="3" t="s">
        <v>3319</v>
      </c>
      <c r="C1663" s="3" t="s">
        <v>3</v>
      </c>
      <c r="D1663" s="3" t="s">
        <v>3</v>
      </c>
      <c r="E1663" s="3" t="s">
        <v>4</v>
      </c>
    </row>
    <row r="1664" spans="1:5" hidden="1" x14ac:dyDescent="0.25">
      <c r="A1664" s="3" t="s">
        <v>3320</v>
      </c>
      <c r="B1664" s="3" t="s">
        <v>3321</v>
      </c>
      <c r="C1664" s="3" t="s">
        <v>3</v>
      </c>
      <c r="D1664" s="3" t="s">
        <v>3</v>
      </c>
      <c r="E1664" s="3" t="s">
        <v>4</v>
      </c>
    </row>
    <row r="1665" spans="1:5" hidden="1" x14ac:dyDescent="0.25">
      <c r="A1665" s="3" t="s">
        <v>3322</v>
      </c>
      <c r="B1665" s="3" t="s">
        <v>3323</v>
      </c>
      <c r="C1665" s="3" t="s">
        <v>3</v>
      </c>
      <c r="D1665" s="3" t="s">
        <v>3</v>
      </c>
      <c r="E1665" s="3" t="s">
        <v>4</v>
      </c>
    </row>
    <row r="1666" spans="1:5" hidden="1" x14ac:dyDescent="0.25">
      <c r="A1666" s="3" t="s">
        <v>3324</v>
      </c>
      <c r="B1666" s="3" t="s">
        <v>3325</v>
      </c>
      <c r="C1666" s="3" t="s">
        <v>3</v>
      </c>
      <c r="D1666" s="3" t="s">
        <v>3</v>
      </c>
      <c r="E1666" s="3" t="s">
        <v>4</v>
      </c>
    </row>
    <row r="1667" spans="1:5" hidden="1" x14ac:dyDescent="0.25">
      <c r="A1667" s="3" t="s">
        <v>3326</v>
      </c>
      <c r="B1667" s="3" t="s">
        <v>3327</v>
      </c>
      <c r="C1667" s="3" t="s">
        <v>3</v>
      </c>
      <c r="D1667" s="3" t="s">
        <v>3</v>
      </c>
      <c r="E1667" s="3" t="s">
        <v>4</v>
      </c>
    </row>
    <row r="1668" spans="1:5" hidden="1" x14ac:dyDescent="0.25">
      <c r="A1668" s="3" t="s">
        <v>3328</v>
      </c>
      <c r="B1668" s="3" t="s">
        <v>3329</v>
      </c>
      <c r="C1668" s="3" t="s">
        <v>3</v>
      </c>
      <c r="D1668" s="3" t="s">
        <v>3</v>
      </c>
      <c r="E1668" s="3" t="s">
        <v>4</v>
      </c>
    </row>
    <row r="1669" spans="1:5" hidden="1" x14ac:dyDescent="0.25">
      <c r="A1669" s="3" t="s">
        <v>3330</v>
      </c>
      <c r="B1669" s="3" t="s">
        <v>3331</v>
      </c>
      <c r="C1669" s="3" t="s">
        <v>3</v>
      </c>
      <c r="D1669" s="3" t="s">
        <v>3</v>
      </c>
      <c r="E1669" s="3" t="s">
        <v>4</v>
      </c>
    </row>
    <row r="1670" spans="1:5" hidden="1" x14ac:dyDescent="0.25">
      <c r="A1670" s="3" t="s">
        <v>3332</v>
      </c>
      <c r="B1670" s="3" t="s">
        <v>3333</v>
      </c>
      <c r="C1670" s="3" t="s">
        <v>3</v>
      </c>
      <c r="D1670" s="3" t="s">
        <v>3</v>
      </c>
      <c r="E1670" s="3" t="s">
        <v>4</v>
      </c>
    </row>
    <row r="1671" spans="1:5" hidden="1" x14ac:dyDescent="0.25">
      <c r="A1671" s="3" t="s">
        <v>3334</v>
      </c>
      <c r="B1671" s="3" t="s">
        <v>3335</v>
      </c>
      <c r="C1671" s="3" t="s">
        <v>3</v>
      </c>
      <c r="D1671" s="3" t="s">
        <v>3</v>
      </c>
      <c r="E1671" s="3" t="s">
        <v>4</v>
      </c>
    </row>
    <row r="1672" spans="1:5" hidden="1" x14ac:dyDescent="0.25">
      <c r="A1672" s="3" t="s">
        <v>3336</v>
      </c>
      <c r="B1672" s="3" t="s">
        <v>3337</v>
      </c>
      <c r="C1672" s="3" t="s">
        <v>3</v>
      </c>
      <c r="D1672" s="3" t="s">
        <v>3</v>
      </c>
      <c r="E1672" s="3" t="s">
        <v>4</v>
      </c>
    </row>
    <row r="1673" spans="1:5" hidden="1" x14ac:dyDescent="0.25">
      <c r="A1673" s="3" t="s">
        <v>3338</v>
      </c>
      <c r="B1673" s="3" t="s">
        <v>3339</v>
      </c>
      <c r="C1673" s="3" t="s">
        <v>3</v>
      </c>
      <c r="D1673" s="3" t="s">
        <v>3</v>
      </c>
      <c r="E1673" s="3" t="s">
        <v>4</v>
      </c>
    </row>
    <row r="1674" spans="1:5" hidden="1" x14ac:dyDescent="0.25">
      <c r="A1674" s="3" t="s">
        <v>3340</v>
      </c>
      <c r="B1674" s="3" t="s">
        <v>3341</v>
      </c>
      <c r="C1674" s="3" t="s">
        <v>3</v>
      </c>
      <c r="D1674" s="3" t="s">
        <v>3</v>
      </c>
      <c r="E1674" s="3" t="s">
        <v>4</v>
      </c>
    </row>
    <row r="1675" spans="1:5" hidden="1" x14ac:dyDescent="0.25">
      <c r="A1675" s="3" t="s">
        <v>3342</v>
      </c>
      <c r="B1675" s="3" t="s">
        <v>3343</v>
      </c>
      <c r="C1675" s="3" t="s">
        <v>3</v>
      </c>
      <c r="D1675" s="3" t="s">
        <v>3</v>
      </c>
      <c r="E1675" s="3" t="s">
        <v>4</v>
      </c>
    </row>
    <row r="1676" spans="1:5" hidden="1" x14ac:dyDescent="0.25">
      <c r="A1676" s="3" t="s">
        <v>3344</v>
      </c>
      <c r="B1676" s="3" t="s">
        <v>3343</v>
      </c>
      <c r="C1676" s="3" t="s">
        <v>3</v>
      </c>
      <c r="D1676" s="3" t="s">
        <v>3</v>
      </c>
      <c r="E1676" s="3" t="s">
        <v>4</v>
      </c>
    </row>
    <row r="1677" spans="1:5" hidden="1" x14ac:dyDescent="0.25">
      <c r="A1677" s="3" t="s">
        <v>3345</v>
      </c>
      <c r="B1677" s="3" t="s">
        <v>3346</v>
      </c>
      <c r="C1677" s="3" t="s">
        <v>3</v>
      </c>
      <c r="D1677" s="3" t="s">
        <v>3</v>
      </c>
      <c r="E1677" s="3" t="s">
        <v>4</v>
      </c>
    </row>
    <row r="1678" spans="1:5" hidden="1" x14ac:dyDescent="0.25">
      <c r="A1678" s="3" t="s">
        <v>3347</v>
      </c>
      <c r="B1678" s="3" t="s">
        <v>3348</v>
      </c>
      <c r="C1678" s="3" t="s">
        <v>3</v>
      </c>
      <c r="D1678" s="3" t="s">
        <v>3</v>
      </c>
      <c r="E1678" s="3" t="s">
        <v>4</v>
      </c>
    </row>
    <row r="1679" spans="1:5" hidden="1" x14ac:dyDescent="0.25">
      <c r="A1679" s="3" t="s">
        <v>3349</v>
      </c>
      <c r="B1679" s="3" t="s">
        <v>3350</v>
      </c>
      <c r="C1679" s="3" t="s">
        <v>3</v>
      </c>
      <c r="D1679" s="3" t="s">
        <v>3</v>
      </c>
      <c r="E1679" s="3" t="s">
        <v>4</v>
      </c>
    </row>
    <row r="1680" spans="1:5" hidden="1" x14ac:dyDescent="0.25">
      <c r="A1680" s="3" t="s">
        <v>3351</v>
      </c>
      <c r="B1680" s="3" t="s">
        <v>3352</v>
      </c>
      <c r="C1680" s="3" t="s">
        <v>3</v>
      </c>
      <c r="D1680" s="3" t="s">
        <v>3</v>
      </c>
      <c r="E1680" s="3" t="s">
        <v>4</v>
      </c>
    </row>
    <row r="1681" spans="1:5" hidden="1" x14ac:dyDescent="0.25">
      <c r="A1681" s="3" t="s">
        <v>3353</v>
      </c>
      <c r="B1681" s="3" t="s">
        <v>3354</v>
      </c>
      <c r="C1681" s="3" t="s">
        <v>3</v>
      </c>
      <c r="D1681" s="3" t="s">
        <v>3</v>
      </c>
      <c r="E1681" s="3" t="s">
        <v>4</v>
      </c>
    </row>
    <row r="1682" spans="1:5" hidden="1" x14ac:dyDescent="0.25">
      <c r="A1682" s="3" t="s">
        <v>3355</v>
      </c>
      <c r="B1682" s="3" t="s">
        <v>3356</v>
      </c>
      <c r="C1682" s="3" t="s">
        <v>3</v>
      </c>
      <c r="D1682" s="3" t="s">
        <v>3</v>
      </c>
      <c r="E1682" s="3" t="s">
        <v>4</v>
      </c>
    </row>
    <row r="1683" spans="1:5" hidden="1" x14ac:dyDescent="0.25">
      <c r="A1683" s="3" t="s">
        <v>3357</v>
      </c>
      <c r="B1683" s="3" t="s">
        <v>3358</v>
      </c>
      <c r="C1683" s="3" t="s">
        <v>3</v>
      </c>
      <c r="D1683" s="3" t="s">
        <v>3</v>
      </c>
      <c r="E1683" s="3" t="s">
        <v>4</v>
      </c>
    </row>
    <row r="1684" spans="1:5" hidden="1" x14ac:dyDescent="0.25">
      <c r="A1684" s="3" t="s">
        <v>3359</v>
      </c>
      <c r="B1684" s="3" t="s">
        <v>3360</v>
      </c>
      <c r="C1684" s="3" t="s">
        <v>3</v>
      </c>
      <c r="D1684" s="3" t="s">
        <v>3</v>
      </c>
      <c r="E1684" s="3" t="s">
        <v>4</v>
      </c>
    </row>
    <row r="1685" spans="1:5" hidden="1" x14ac:dyDescent="0.25">
      <c r="A1685" s="3" t="s">
        <v>3361</v>
      </c>
      <c r="B1685" s="3" t="s">
        <v>3362</v>
      </c>
      <c r="C1685" s="3" t="s">
        <v>3</v>
      </c>
      <c r="D1685" s="3" t="s">
        <v>3</v>
      </c>
      <c r="E1685" s="3" t="s">
        <v>4</v>
      </c>
    </row>
    <row r="1686" spans="1:5" hidden="1" x14ac:dyDescent="0.25">
      <c r="A1686" s="3" t="s">
        <v>3363</v>
      </c>
      <c r="B1686" s="3" t="s">
        <v>3364</v>
      </c>
      <c r="C1686" s="3" t="s">
        <v>3</v>
      </c>
      <c r="D1686" s="3" t="s">
        <v>3</v>
      </c>
      <c r="E1686" s="3" t="s">
        <v>4</v>
      </c>
    </row>
    <row r="1687" spans="1:5" hidden="1" x14ac:dyDescent="0.25">
      <c r="A1687" s="3" t="s">
        <v>3365</v>
      </c>
      <c r="B1687" s="3" t="s">
        <v>3366</v>
      </c>
      <c r="C1687" s="3" t="s">
        <v>3</v>
      </c>
      <c r="D1687" s="3" t="s">
        <v>3</v>
      </c>
      <c r="E1687" s="3" t="s">
        <v>4</v>
      </c>
    </row>
    <row r="1688" spans="1:5" hidden="1" x14ac:dyDescent="0.25">
      <c r="A1688" s="3" t="s">
        <v>3367</v>
      </c>
      <c r="B1688" s="3" t="s">
        <v>3368</v>
      </c>
      <c r="C1688" s="3" t="s">
        <v>3</v>
      </c>
      <c r="D1688" s="3" t="s">
        <v>3</v>
      </c>
      <c r="E1688" s="3" t="s">
        <v>4</v>
      </c>
    </row>
    <row r="1689" spans="1:5" hidden="1" x14ac:dyDescent="0.25">
      <c r="A1689" s="3" t="s">
        <v>3369</v>
      </c>
      <c r="B1689" s="3" t="s">
        <v>3370</v>
      </c>
      <c r="C1689" s="3" t="s">
        <v>3</v>
      </c>
      <c r="D1689" s="3" t="s">
        <v>3</v>
      </c>
      <c r="E1689" s="3" t="s">
        <v>4</v>
      </c>
    </row>
    <row r="1690" spans="1:5" hidden="1" x14ac:dyDescent="0.25">
      <c r="A1690" s="3" t="s">
        <v>3371</v>
      </c>
      <c r="B1690" s="3" t="s">
        <v>3372</v>
      </c>
      <c r="C1690" s="3" t="s">
        <v>3</v>
      </c>
      <c r="D1690" s="3" t="s">
        <v>3</v>
      </c>
      <c r="E1690" s="3" t="s">
        <v>4</v>
      </c>
    </row>
    <row r="1691" spans="1:5" hidden="1" x14ac:dyDescent="0.25">
      <c r="A1691" s="3" t="s">
        <v>3373</v>
      </c>
      <c r="B1691" s="3" t="s">
        <v>3374</v>
      </c>
      <c r="C1691" s="3" t="s">
        <v>3</v>
      </c>
      <c r="D1691" s="3" t="s">
        <v>3</v>
      </c>
      <c r="E1691" s="3" t="s">
        <v>4</v>
      </c>
    </row>
    <row r="1692" spans="1:5" hidden="1" x14ac:dyDescent="0.25">
      <c r="A1692" s="3" t="s">
        <v>3375</v>
      </c>
      <c r="B1692" s="3" t="s">
        <v>3376</v>
      </c>
      <c r="C1692" s="3" t="s">
        <v>3</v>
      </c>
      <c r="D1692" s="3" t="s">
        <v>3</v>
      </c>
      <c r="E1692" s="3" t="s">
        <v>4</v>
      </c>
    </row>
    <row r="1693" spans="1:5" hidden="1" x14ac:dyDescent="0.25">
      <c r="A1693" s="3" t="s">
        <v>3377</v>
      </c>
      <c r="B1693" s="3" t="s">
        <v>3378</v>
      </c>
      <c r="C1693" s="3" t="s">
        <v>3</v>
      </c>
      <c r="D1693" s="3" t="s">
        <v>3</v>
      </c>
      <c r="E1693" s="3" t="s">
        <v>4</v>
      </c>
    </row>
    <row r="1694" spans="1:5" hidden="1" x14ac:dyDescent="0.25">
      <c r="A1694" s="3" t="s">
        <v>3379</v>
      </c>
      <c r="B1694" s="3" t="s">
        <v>3380</v>
      </c>
      <c r="C1694" s="3" t="s">
        <v>3</v>
      </c>
      <c r="D1694" s="3" t="s">
        <v>3</v>
      </c>
      <c r="E1694" s="3" t="s">
        <v>4</v>
      </c>
    </row>
    <row r="1695" spans="1:5" hidden="1" x14ac:dyDescent="0.25">
      <c r="A1695" s="3" t="s">
        <v>3381</v>
      </c>
      <c r="B1695" s="3" t="s">
        <v>3382</v>
      </c>
      <c r="C1695" s="3" t="s">
        <v>3</v>
      </c>
      <c r="D1695" s="3" t="s">
        <v>3</v>
      </c>
      <c r="E1695" s="3" t="s">
        <v>4</v>
      </c>
    </row>
    <row r="1696" spans="1:5" hidden="1" x14ac:dyDescent="0.25">
      <c r="A1696" s="3" t="s">
        <v>3383</v>
      </c>
      <c r="B1696" s="3" t="s">
        <v>3384</v>
      </c>
      <c r="C1696" s="3" t="s">
        <v>3</v>
      </c>
      <c r="D1696" s="3" t="s">
        <v>3</v>
      </c>
      <c r="E1696" s="3" t="s">
        <v>4</v>
      </c>
    </row>
    <row r="1697" spans="1:5" hidden="1" x14ac:dyDescent="0.25">
      <c r="A1697" s="3" t="s">
        <v>3385</v>
      </c>
      <c r="B1697" s="3" t="s">
        <v>3386</v>
      </c>
      <c r="C1697" s="3" t="s">
        <v>3</v>
      </c>
      <c r="D1697" s="3" t="s">
        <v>3</v>
      </c>
      <c r="E1697" s="3" t="s">
        <v>4</v>
      </c>
    </row>
    <row r="1698" spans="1:5" hidden="1" x14ac:dyDescent="0.25">
      <c r="A1698" s="3" t="s">
        <v>3387</v>
      </c>
      <c r="B1698" s="3" t="s">
        <v>3388</v>
      </c>
      <c r="C1698" s="3" t="s">
        <v>3</v>
      </c>
      <c r="D1698" s="3" t="s">
        <v>3</v>
      </c>
      <c r="E1698" s="3" t="s">
        <v>4</v>
      </c>
    </row>
    <row r="1699" spans="1:5" hidden="1" x14ac:dyDescent="0.25">
      <c r="A1699" s="3" t="s">
        <v>3389</v>
      </c>
      <c r="B1699" s="3" t="s">
        <v>3390</v>
      </c>
      <c r="C1699" s="3" t="s">
        <v>3</v>
      </c>
      <c r="D1699" s="3" t="s">
        <v>3</v>
      </c>
      <c r="E1699" s="3" t="s">
        <v>4</v>
      </c>
    </row>
    <row r="1700" spans="1:5" hidden="1" x14ac:dyDescent="0.25">
      <c r="A1700" s="3" t="s">
        <v>3391</v>
      </c>
      <c r="B1700" s="3" t="s">
        <v>3392</v>
      </c>
      <c r="C1700" s="3" t="s">
        <v>3</v>
      </c>
      <c r="D1700" s="3" t="s">
        <v>3</v>
      </c>
      <c r="E1700" s="3" t="s">
        <v>4</v>
      </c>
    </row>
    <row r="1701" spans="1:5" hidden="1" x14ac:dyDescent="0.25">
      <c r="A1701" s="3" t="s">
        <v>3393</v>
      </c>
      <c r="B1701" s="3" t="s">
        <v>3394</v>
      </c>
      <c r="C1701" s="3" t="s">
        <v>3</v>
      </c>
      <c r="D1701" s="3" t="s">
        <v>3</v>
      </c>
      <c r="E1701" s="3" t="s">
        <v>4</v>
      </c>
    </row>
    <row r="1702" spans="1:5" hidden="1" x14ac:dyDescent="0.25">
      <c r="A1702" s="3" t="s">
        <v>3395</v>
      </c>
      <c r="B1702" s="3" t="s">
        <v>3396</v>
      </c>
      <c r="C1702" s="3" t="s">
        <v>3</v>
      </c>
      <c r="D1702" s="3" t="s">
        <v>3</v>
      </c>
      <c r="E1702" s="3" t="s">
        <v>4</v>
      </c>
    </row>
    <row r="1703" spans="1:5" hidden="1" x14ac:dyDescent="0.25">
      <c r="A1703" s="3" t="s">
        <v>3397</v>
      </c>
      <c r="B1703" s="3" t="s">
        <v>3398</v>
      </c>
      <c r="C1703" s="3" t="s">
        <v>3</v>
      </c>
      <c r="D1703" s="3" t="s">
        <v>3</v>
      </c>
      <c r="E1703" s="3" t="s">
        <v>4</v>
      </c>
    </row>
    <row r="1704" spans="1:5" hidden="1" x14ac:dyDescent="0.25">
      <c r="A1704" s="3" t="s">
        <v>3399</v>
      </c>
      <c r="B1704" s="3" t="s">
        <v>3400</v>
      </c>
      <c r="C1704" s="3" t="s">
        <v>3</v>
      </c>
      <c r="D1704" s="3" t="s">
        <v>3</v>
      </c>
      <c r="E1704" s="3" t="s">
        <v>4</v>
      </c>
    </row>
    <row r="1705" spans="1:5" hidden="1" x14ac:dyDescent="0.25">
      <c r="A1705" s="3" t="s">
        <v>3401</v>
      </c>
      <c r="B1705" s="3" t="s">
        <v>3402</v>
      </c>
      <c r="C1705" s="3" t="s">
        <v>3</v>
      </c>
      <c r="D1705" s="3" t="s">
        <v>3</v>
      </c>
      <c r="E1705" s="3" t="s">
        <v>4</v>
      </c>
    </row>
    <row r="1706" spans="1:5" hidden="1" x14ac:dyDescent="0.25">
      <c r="A1706" s="3" t="s">
        <v>3403</v>
      </c>
      <c r="B1706" s="3" t="s">
        <v>3404</v>
      </c>
      <c r="C1706" s="3" t="s">
        <v>3</v>
      </c>
      <c r="D1706" s="3" t="s">
        <v>3</v>
      </c>
      <c r="E1706" s="3" t="s">
        <v>4</v>
      </c>
    </row>
    <row r="1707" spans="1:5" hidden="1" x14ac:dyDescent="0.25">
      <c r="A1707" s="3" t="s">
        <v>3405</v>
      </c>
      <c r="B1707" s="3" t="s">
        <v>3406</v>
      </c>
      <c r="C1707" s="3" t="s">
        <v>3</v>
      </c>
      <c r="D1707" s="3" t="s">
        <v>3</v>
      </c>
      <c r="E1707" s="3" t="s">
        <v>4</v>
      </c>
    </row>
    <row r="1708" spans="1:5" hidden="1" x14ac:dyDescent="0.25">
      <c r="A1708" s="3" t="s">
        <v>3407</v>
      </c>
      <c r="B1708" s="3" t="s">
        <v>3408</v>
      </c>
      <c r="C1708" s="3" t="s">
        <v>3</v>
      </c>
      <c r="D1708" s="3" t="s">
        <v>3</v>
      </c>
      <c r="E1708" s="3" t="s">
        <v>4</v>
      </c>
    </row>
    <row r="1709" spans="1:5" hidden="1" x14ac:dyDescent="0.25">
      <c r="A1709" s="3" t="s">
        <v>3409</v>
      </c>
      <c r="B1709" s="3" t="s">
        <v>3410</v>
      </c>
      <c r="C1709" s="3" t="s">
        <v>3</v>
      </c>
      <c r="D1709" s="3" t="s">
        <v>3</v>
      </c>
      <c r="E1709" s="3" t="s">
        <v>4</v>
      </c>
    </row>
    <row r="1710" spans="1:5" hidden="1" x14ac:dyDescent="0.25">
      <c r="A1710" s="3" t="s">
        <v>3411</v>
      </c>
      <c r="B1710" s="3" t="s">
        <v>3412</v>
      </c>
      <c r="C1710" s="3" t="s">
        <v>3</v>
      </c>
      <c r="D1710" s="3" t="s">
        <v>3</v>
      </c>
      <c r="E1710" s="3" t="s">
        <v>4</v>
      </c>
    </row>
    <row r="1711" spans="1:5" hidden="1" x14ac:dyDescent="0.25">
      <c r="A1711" s="3" t="s">
        <v>3413</v>
      </c>
      <c r="B1711" s="3" t="s">
        <v>3414</v>
      </c>
      <c r="C1711" s="3" t="s">
        <v>3</v>
      </c>
      <c r="D1711" s="3" t="s">
        <v>3</v>
      </c>
      <c r="E1711" s="3" t="s">
        <v>4</v>
      </c>
    </row>
    <row r="1712" spans="1:5" hidden="1" x14ac:dyDescent="0.25">
      <c r="A1712" s="3" t="s">
        <v>3415</v>
      </c>
      <c r="B1712" s="3" t="s">
        <v>3416</v>
      </c>
      <c r="C1712" s="3" t="s">
        <v>3</v>
      </c>
      <c r="D1712" s="3" t="s">
        <v>3</v>
      </c>
      <c r="E1712" s="3" t="s">
        <v>4</v>
      </c>
    </row>
    <row r="1713" spans="1:5" hidden="1" x14ac:dyDescent="0.25">
      <c r="A1713" s="3" t="s">
        <v>3417</v>
      </c>
      <c r="B1713" s="3" t="s">
        <v>3418</v>
      </c>
      <c r="C1713" s="3" t="s">
        <v>3</v>
      </c>
      <c r="D1713" s="3" t="s">
        <v>3</v>
      </c>
      <c r="E1713" s="3" t="s">
        <v>4</v>
      </c>
    </row>
    <row r="1714" spans="1:5" hidden="1" x14ac:dyDescent="0.25">
      <c r="A1714" s="3" t="s">
        <v>3419</v>
      </c>
      <c r="B1714" s="3" t="s">
        <v>3420</v>
      </c>
      <c r="C1714" s="3" t="s">
        <v>3</v>
      </c>
      <c r="D1714" s="3" t="s">
        <v>3</v>
      </c>
      <c r="E1714" s="3" t="s">
        <v>4</v>
      </c>
    </row>
    <row r="1715" spans="1:5" hidden="1" x14ac:dyDescent="0.25">
      <c r="A1715" s="3" t="s">
        <v>3421</v>
      </c>
      <c r="B1715" s="3" t="s">
        <v>3422</v>
      </c>
      <c r="C1715" s="3" t="s">
        <v>3</v>
      </c>
      <c r="D1715" s="3" t="s">
        <v>3</v>
      </c>
      <c r="E1715" s="3" t="s">
        <v>4</v>
      </c>
    </row>
    <row r="1716" spans="1:5" hidden="1" x14ac:dyDescent="0.25">
      <c r="A1716" s="3" t="s">
        <v>3423</v>
      </c>
      <c r="B1716" s="3" t="s">
        <v>3424</v>
      </c>
      <c r="C1716" s="3" t="s">
        <v>3</v>
      </c>
      <c r="D1716" s="3" t="s">
        <v>3</v>
      </c>
      <c r="E1716" s="3" t="s">
        <v>4</v>
      </c>
    </row>
    <row r="1717" spans="1:5" hidden="1" x14ac:dyDescent="0.25">
      <c r="A1717" s="3" t="s">
        <v>3425</v>
      </c>
      <c r="B1717" s="3" t="s">
        <v>3426</v>
      </c>
      <c r="C1717" s="3" t="s">
        <v>3</v>
      </c>
      <c r="D1717" s="3" t="s">
        <v>3</v>
      </c>
      <c r="E1717" s="3" t="s">
        <v>4</v>
      </c>
    </row>
    <row r="1718" spans="1:5" hidden="1" x14ac:dyDescent="0.25">
      <c r="A1718" s="3" t="s">
        <v>3427</v>
      </c>
      <c r="B1718" s="3" t="s">
        <v>3428</v>
      </c>
      <c r="C1718" s="3" t="s">
        <v>3</v>
      </c>
      <c r="D1718" s="3" t="s">
        <v>3</v>
      </c>
      <c r="E1718" s="3" t="s">
        <v>4</v>
      </c>
    </row>
    <row r="1719" spans="1:5" hidden="1" x14ac:dyDescent="0.25">
      <c r="A1719" s="3" t="s">
        <v>3429</v>
      </c>
      <c r="B1719" s="3" t="s">
        <v>3430</v>
      </c>
      <c r="C1719" s="3" t="s">
        <v>3</v>
      </c>
      <c r="D1719" s="3" t="s">
        <v>3</v>
      </c>
      <c r="E1719" s="3" t="s">
        <v>4</v>
      </c>
    </row>
    <row r="1720" spans="1:5" hidden="1" x14ac:dyDescent="0.25">
      <c r="A1720" s="3" t="s">
        <v>3431</v>
      </c>
      <c r="B1720" s="3" t="s">
        <v>3432</v>
      </c>
      <c r="C1720" s="3" t="s">
        <v>3</v>
      </c>
      <c r="D1720" s="3" t="s">
        <v>3</v>
      </c>
      <c r="E1720" s="3" t="s">
        <v>4</v>
      </c>
    </row>
    <row r="1721" spans="1:5" hidden="1" x14ac:dyDescent="0.25">
      <c r="A1721" s="3" t="s">
        <v>3433</v>
      </c>
      <c r="B1721" s="3" t="s">
        <v>3434</v>
      </c>
      <c r="C1721" s="3" t="s">
        <v>3</v>
      </c>
      <c r="D1721" s="3" t="s">
        <v>3</v>
      </c>
      <c r="E1721" s="3" t="s">
        <v>4</v>
      </c>
    </row>
    <row r="1722" spans="1:5" hidden="1" x14ac:dyDescent="0.25">
      <c r="A1722" s="3" t="s">
        <v>3435</v>
      </c>
      <c r="B1722" s="3" t="s">
        <v>3436</v>
      </c>
      <c r="C1722" s="3" t="s">
        <v>3</v>
      </c>
      <c r="D1722" s="3" t="s">
        <v>3</v>
      </c>
      <c r="E1722" s="3" t="s">
        <v>4</v>
      </c>
    </row>
    <row r="1723" spans="1:5" hidden="1" x14ac:dyDescent="0.25">
      <c r="A1723" s="3" t="s">
        <v>3437</v>
      </c>
      <c r="B1723" s="3" t="s">
        <v>3438</v>
      </c>
      <c r="C1723" s="3" t="s">
        <v>3</v>
      </c>
      <c r="D1723" s="3" t="s">
        <v>3</v>
      </c>
      <c r="E1723" s="3" t="s">
        <v>4</v>
      </c>
    </row>
    <row r="1724" spans="1:5" hidden="1" x14ac:dyDescent="0.25">
      <c r="A1724" s="3" t="s">
        <v>3439</v>
      </c>
      <c r="B1724" s="3" t="s">
        <v>3440</v>
      </c>
      <c r="C1724" s="3" t="s">
        <v>3</v>
      </c>
      <c r="D1724" s="3" t="s">
        <v>3</v>
      </c>
      <c r="E1724" s="3" t="s">
        <v>4</v>
      </c>
    </row>
    <row r="1725" spans="1:5" hidden="1" x14ac:dyDescent="0.25">
      <c r="A1725" s="3" t="s">
        <v>3441</v>
      </c>
      <c r="B1725" s="3" t="s">
        <v>3442</v>
      </c>
      <c r="C1725" s="3" t="s">
        <v>3</v>
      </c>
      <c r="D1725" s="3" t="s">
        <v>3</v>
      </c>
      <c r="E1725" s="3" t="s">
        <v>4</v>
      </c>
    </row>
    <row r="1726" spans="1:5" hidden="1" x14ac:dyDescent="0.25">
      <c r="A1726" s="3" t="s">
        <v>3443</v>
      </c>
      <c r="B1726" s="3" t="s">
        <v>3444</v>
      </c>
      <c r="C1726" s="3" t="s">
        <v>3</v>
      </c>
      <c r="D1726" s="3" t="s">
        <v>3</v>
      </c>
      <c r="E1726" s="3" t="s">
        <v>4</v>
      </c>
    </row>
    <row r="1727" spans="1:5" hidden="1" x14ac:dyDescent="0.25">
      <c r="A1727" s="3" t="s">
        <v>3445</v>
      </c>
      <c r="B1727" s="3" t="s">
        <v>3446</v>
      </c>
      <c r="C1727" s="3" t="s">
        <v>3</v>
      </c>
      <c r="D1727" s="3" t="s">
        <v>3</v>
      </c>
      <c r="E1727" s="3" t="s">
        <v>4</v>
      </c>
    </row>
    <row r="1728" spans="1:5" hidden="1" x14ac:dyDescent="0.25">
      <c r="A1728" s="3" t="s">
        <v>3447</v>
      </c>
      <c r="B1728" s="3" t="s">
        <v>3448</v>
      </c>
      <c r="C1728" s="3" t="s">
        <v>3</v>
      </c>
      <c r="D1728" s="3" t="s">
        <v>3</v>
      </c>
      <c r="E1728" s="3" t="s">
        <v>4</v>
      </c>
    </row>
    <row r="1729" spans="1:5" hidden="1" x14ac:dyDescent="0.25">
      <c r="A1729" s="3" t="s">
        <v>3449</v>
      </c>
      <c r="B1729" s="3" t="s">
        <v>3450</v>
      </c>
      <c r="C1729" s="3" t="s">
        <v>3</v>
      </c>
      <c r="D1729" s="3" t="s">
        <v>3</v>
      </c>
      <c r="E1729" s="3" t="s">
        <v>4</v>
      </c>
    </row>
    <row r="1730" spans="1:5" hidden="1" x14ac:dyDescent="0.25">
      <c r="A1730" s="3" t="s">
        <v>3451</v>
      </c>
      <c r="B1730" s="3" t="s">
        <v>3452</v>
      </c>
      <c r="C1730" s="3" t="s">
        <v>3</v>
      </c>
      <c r="D1730" s="3" t="s">
        <v>3</v>
      </c>
      <c r="E1730" s="3" t="s">
        <v>4</v>
      </c>
    </row>
    <row r="1731" spans="1:5" hidden="1" x14ac:dyDescent="0.25">
      <c r="A1731" s="3" t="s">
        <v>3453</v>
      </c>
      <c r="B1731" s="3" t="s">
        <v>3454</v>
      </c>
      <c r="C1731" s="3" t="s">
        <v>3</v>
      </c>
      <c r="D1731" s="3" t="s">
        <v>3</v>
      </c>
      <c r="E1731" s="3" t="s">
        <v>4</v>
      </c>
    </row>
    <row r="1732" spans="1:5" hidden="1" x14ac:dyDescent="0.25">
      <c r="A1732" s="3" t="s">
        <v>3455</v>
      </c>
      <c r="B1732" s="3" t="s">
        <v>3456</v>
      </c>
      <c r="C1732" s="3" t="s">
        <v>3</v>
      </c>
      <c r="D1732" s="3" t="s">
        <v>3</v>
      </c>
      <c r="E1732" s="3" t="s">
        <v>4</v>
      </c>
    </row>
    <row r="1733" spans="1:5" hidden="1" x14ac:dyDescent="0.25">
      <c r="A1733" s="3" t="s">
        <v>3457</v>
      </c>
      <c r="B1733" s="3" t="s">
        <v>3458</v>
      </c>
      <c r="C1733" s="3" t="s">
        <v>3</v>
      </c>
      <c r="D1733" s="3" t="s">
        <v>3</v>
      </c>
      <c r="E1733" s="3" t="s">
        <v>4</v>
      </c>
    </row>
    <row r="1734" spans="1:5" hidden="1" x14ac:dyDescent="0.25">
      <c r="A1734" s="3" t="s">
        <v>3459</v>
      </c>
      <c r="B1734" s="3" t="s">
        <v>3460</v>
      </c>
      <c r="C1734" s="3" t="s">
        <v>3</v>
      </c>
      <c r="D1734" s="3" t="s">
        <v>3</v>
      </c>
      <c r="E1734" s="3" t="s">
        <v>4</v>
      </c>
    </row>
    <row r="1735" spans="1:5" hidden="1" x14ac:dyDescent="0.25">
      <c r="A1735" s="3" t="s">
        <v>3461</v>
      </c>
      <c r="B1735" s="3" t="s">
        <v>3462</v>
      </c>
      <c r="C1735" s="3" t="s">
        <v>3</v>
      </c>
      <c r="D1735" s="3" t="s">
        <v>3</v>
      </c>
      <c r="E1735" s="3" t="s">
        <v>4</v>
      </c>
    </row>
    <row r="1736" spans="1:5" hidden="1" x14ac:dyDescent="0.25">
      <c r="A1736" s="3" t="s">
        <v>3463</v>
      </c>
      <c r="B1736" s="3" t="s">
        <v>3464</v>
      </c>
      <c r="C1736" s="3" t="s">
        <v>3</v>
      </c>
      <c r="D1736" s="3" t="s">
        <v>3</v>
      </c>
      <c r="E1736" s="3" t="s">
        <v>4</v>
      </c>
    </row>
    <row r="1737" spans="1:5" hidden="1" x14ac:dyDescent="0.25">
      <c r="A1737" s="3" t="s">
        <v>3465</v>
      </c>
      <c r="B1737" s="3" t="s">
        <v>3466</v>
      </c>
      <c r="C1737" s="3" t="s">
        <v>3</v>
      </c>
      <c r="D1737" s="3" t="s">
        <v>3</v>
      </c>
      <c r="E1737" s="3" t="s">
        <v>4</v>
      </c>
    </row>
    <row r="1738" spans="1:5" hidden="1" x14ac:dyDescent="0.25">
      <c r="A1738" s="3" t="s">
        <v>3467</v>
      </c>
      <c r="B1738" s="3" t="s">
        <v>3468</v>
      </c>
      <c r="C1738" s="3" t="s">
        <v>3</v>
      </c>
      <c r="D1738" s="3" t="s">
        <v>3</v>
      </c>
      <c r="E1738" s="3" t="s">
        <v>4</v>
      </c>
    </row>
    <row r="1739" spans="1:5" hidden="1" x14ac:dyDescent="0.25">
      <c r="A1739" s="3" t="s">
        <v>3469</v>
      </c>
      <c r="B1739" s="3" t="s">
        <v>3470</v>
      </c>
      <c r="C1739" s="3" t="s">
        <v>3</v>
      </c>
      <c r="D1739" s="3" t="s">
        <v>3</v>
      </c>
      <c r="E1739" s="3" t="s">
        <v>4</v>
      </c>
    </row>
    <row r="1740" spans="1:5" hidden="1" x14ac:dyDescent="0.25">
      <c r="A1740" s="3" t="s">
        <v>3471</v>
      </c>
      <c r="B1740" s="3" t="s">
        <v>3472</v>
      </c>
      <c r="C1740" s="3" t="s">
        <v>3</v>
      </c>
      <c r="D1740" s="3" t="s">
        <v>3</v>
      </c>
      <c r="E1740" s="3" t="s">
        <v>4</v>
      </c>
    </row>
    <row r="1741" spans="1:5" hidden="1" x14ac:dyDescent="0.25">
      <c r="A1741" s="3" t="s">
        <v>3473</v>
      </c>
      <c r="B1741" s="3" t="s">
        <v>3474</v>
      </c>
      <c r="C1741" s="3" t="s">
        <v>3</v>
      </c>
      <c r="D1741" s="3" t="s">
        <v>3</v>
      </c>
      <c r="E1741" s="3" t="s">
        <v>4</v>
      </c>
    </row>
    <row r="1742" spans="1:5" hidden="1" x14ac:dyDescent="0.25">
      <c r="A1742" s="3" t="s">
        <v>3475</v>
      </c>
      <c r="B1742" s="3" t="s">
        <v>3476</v>
      </c>
      <c r="C1742" s="3" t="s">
        <v>3</v>
      </c>
      <c r="D1742" s="3" t="s">
        <v>3</v>
      </c>
      <c r="E1742" s="3" t="s">
        <v>4</v>
      </c>
    </row>
    <row r="1743" spans="1:5" hidden="1" x14ac:dyDescent="0.25">
      <c r="A1743" s="3" t="s">
        <v>3477</v>
      </c>
      <c r="B1743" s="3" t="s">
        <v>3478</v>
      </c>
      <c r="C1743" s="3" t="s">
        <v>3</v>
      </c>
      <c r="D1743" s="3" t="s">
        <v>3</v>
      </c>
      <c r="E1743" s="3" t="s">
        <v>4</v>
      </c>
    </row>
    <row r="1744" spans="1:5" hidden="1" x14ac:dyDescent="0.25">
      <c r="A1744" s="3" t="s">
        <v>3479</v>
      </c>
      <c r="B1744" s="3" t="s">
        <v>3480</v>
      </c>
      <c r="C1744" s="3" t="s">
        <v>3</v>
      </c>
      <c r="D1744" s="3" t="s">
        <v>3</v>
      </c>
      <c r="E1744" s="3" t="s">
        <v>4</v>
      </c>
    </row>
    <row r="1745" spans="1:9" hidden="1" x14ac:dyDescent="0.25">
      <c r="A1745" s="3" t="s">
        <v>3481</v>
      </c>
      <c r="B1745" s="3" t="s">
        <v>3482</v>
      </c>
      <c r="C1745" s="3" t="s">
        <v>3</v>
      </c>
      <c r="D1745" s="3" t="s">
        <v>3</v>
      </c>
      <c r="E1745" s="3" t="s">
        <v>4</v>
      </c>
    </row>
    <row r="1746" spans="1:9" hidden="1" x14ac:dyDescent="0.25">
      <c r="A1746" s="3" t="s">
        <v>3483</v>
      </c>
      <c r="B1746" s="3" t="s">
        <v>3484</v>
      </c>
      <c r="C1746" s="3" t="s">
        <v>3</v>
      </c>
      <c r="D1746" s="3" t="s">
        <v>3</v>
      </c>
      <c r="E1746" s="3" t="s">
        <v>4</v>
      </c>
    </row>
    <row r="1747" spans="1:9" hidden="1" x14ac:dyDescent="0.25">
      <c r="A1747" s="3" t="s">
        <v>3485</v>
      </c>
      <c r="B1747" s="3" t="s">
        <v>3486</v>
      </c>
      <c r="C1747" s="3" t="s">
        <v>3</v>
      </c>
      <c r="D1747" s="3" t="s">
        <v>3</v>
      </c>
      <c r="E1747" s="3" t="s">
        <v>4</v>
      </c>
    </row>
    <row r="1748" spans="1:9" hidden="1" x14ac:dyDescent="0.25">
      <c r="A1748" s="3" t="s">
        <v>3487</v>
      </c>
      <c r="B1748" s="3" t="s">
        <v>3488</v>
      </c>
      <c r="C1748" s="3" t="s">
        <v>3</v>
      </c>
      <c r="D1748" s="3" t="s">
        <v>3</v>
      </c>
      <c r="E1748" s="3" t="s">
        <v>4</v>
      </c>
    </row>
    <row r="1749" spans="1:9" hidden="1" x14ac:dyDescent="0.25">
      <c r="A1749" s="3" t="s">
        <v>3489</v>
      </c>
      <c r="B1749" s="3" t="s">
        <v>3490</v>
      </c>
      <c r="C1749" s="3" t="s">
        <v>3</v>
      </c>
      <c r="D1749" s="3" t="s">
        <v>3</v>
      </c>
      <c r="E1749" s="3" t="s">
        <v>4</v>
      </c>
    </row>
    <row r="1750" spans="1:9" hidden="1" x14ac:dyDescent="0.25">
      <c r="A1750" s="3" t="s">
        <v>3491</v>
      </c>
      <c r="B1750" s="3" t="s">
        <v>3492</v>
      </c>
      <c r="C1750" s="3" t="s">
        <v>3</v>
      </c>
      <c r="D1750" s="3" t="s">
        <v>3</v>
      </c>
      <c r="E1750" s="3" t="s">
        <v>4</v>
      </c>
    </row>
    <row r="1751" spans="1:9" hidden="1" x14ac:dyDescent="0.25">
      <c r="A1751" s="3" t="s">
        <v>3493</v>
      </c>
      <c r="B1751" s="3" t="s">
        <v>3494</v>
      </c>
      <c r="C1751" s="3" t="s">
        <v>3</v>
      </c>
      <c r="D1751" s="3" t="s">
        <v>3</v>
      </c>
      <c r="E1751" s="3" t="s">
        <v>4</v>
      </c>
    </row>
    <row r="1752" spans="1:9" hidden="1" x14ac:dyDescent="0.25">
      <c r="A1752" s="3" t="s">
        <v>3495</v>
      </c>
      <c r="B1752" s="3" t="s">
        <v>3496</v>
      </c>
      <c r="C1752" s="3" t="s">
        <v>3</v>
      </c>
      <c r="D1752" s="3" t="s">
        <v>3</v>
      </c>
      <c r="E1752" s="3" t="s">
        <v>4</v>
      </c>
    </row>
    <row r="1753" spans="1:9" hidden="1" x14ac:dyDescent="0.25">
      <c r="A1753" s="3" t="s">
        <v>3497</v>
      </c>
      <c r="B1753" s="3" t="s">
        <v>3498</v>
      </c>
      <c r="C1753" s="3" t="s">
        <v>3</v>
      </c>
      <c r="D1753" s="3" t="s">
        <v>3</v>
      </c>
      <c r="E1753" s="3" t="s">
        <v>4</v>
      </c>
    </row>
    <row r="1754" spans="1:9" hidden="1" x14ac:dyDescent="0.25">
      <c r="A1754" s="3" t="s">
        <v>3499</v>
      </c>
      <c r="B1754" s="3" t="s">
        <v>3500</v>
      </c>
      <c r="C1754" s="3" t="s">
        <v>3</v>
      </c>
      <c r="D1754" s="3" t="s">
        <v>3</v>
      </c>
      <c r="E1754" s="3" t="s">
        <v>4</v>
      </c>
      <c r="H1754"/>
      <c r="I1754" s="19"/>
    </row>
    <row r="1755" spans="1:9" hidden="1" x14ac:dyDescent="0.25">
      <c r="A1755" s="3" t="s">
        <v>3501</v>
      </c>
      <c r="B1755" s="3" t="s">
        <v>3502</v>
      </c>
      <c r="C1755" s="3" t="s">
        <v>3</v>
      </c>
      <c r="D1755" s="3" t="s">
        <v>3</v>
      </c>
      <c r="E1755" s="3" t="s">
        <v>4</v>
      </c>
      <c r="H1755"/>
      <c r="I1755" s="19"/>
    </row>
    <row r="1756" spans="1:9" hidden="1" x14ac:dyDescent="0.25">
      <c r="A1756" s="3" t="s">
        <v>3503</v>
      </c>
      <c r="B1756" s="3" t="s">
        <v>3504</v>
      </c>
      <c r="C1756" s="3" t="s">
        <v>3</v>
      </c>
      <c r="D1756" s="3" t="s">
        <v>3</v>
      </c>
      <c r="E1756" s="3" t="s">
        <v>4</v>
      </c>
      <c r="H1756"/>
      <c r="I1756" s="19"/>
    </row>
    <row r="1757" spans="1:9" hidden="1" x14ac:dyDescent="0.25">
      <c r="A1757" s="3" t="s">
        <v>3505</v>
      </c>
      <c r="B1757" s="3" t="s">
        <v>3506</v>
      </c>
      <c r="C1757" s="3" t="s">
        <v>3</v>
      </c>
      <c r="D1757" s="3" t="s">
        <v>3</v>
      </c>
      <c r="E1757" s="3" t="s">
        <v>4</v>
      </c>
      <c r="H1757"/>
      <c r="I1757" s="19"/>
    </row>
    <row r="1758" spans="1:9" hidden="1" x14ac:dyDescent="0.25">
      <c r="A1758" s="3" t="s">
        <v>3507</v>
      </c>
      <c r="B1758" s="3" t="s">
        <v>3508</v>
      </c>
      <c r="C1758" s="3" t="s">
        <v>3</v>
      </c>
      <c r="D1758" s="3" t="s">
        <v>3</v>
      </c>
      <c r="E1758" s="3" t="s">
        <v>4</v>
      </c>
      <c r="H1758"/>
      <c r="I1758" s="19"/>
    </row>
    <row r="1759" spans="1:9" hidden="1" x14ac:dyDescent="0.25">
      <c r="A1759" s="3" t="s">
        <v>3509</v>
      </c>
      <c r="B1759" s="3" t="s">
        <v>3510</v>
      </c>
      <c r="C1759" s="3" t="s">
        <v>3</v>
      </c>
      <c r="D1759" s="3" t="s">
        <v>3</v>
      </c>
      <c r="E1759" s="3" t="s">
        <v>4</v>
      </c>
      <c r="H1759"/>
      <c r="I1759" s="19"/>
    </row>
    <row r="1760" spans="1:9" hidden="1" x14ac:dyDescent="0.25">
      <c r="A1760" s="3" t="s">
        <v>3511</v>
      </c>
      <c r="B1760" s="3" t="s">
        <v>3512</v>
      </c>
      <c r="C1760" s="3" t="s">
        <v>3</v>
      </c>
      <c r="D1760" s="3" t="s">
        <v>3</v>
      </c>
      <c r="E1760" s="3" t="s">
        <v>4</v>
      </c>
      <c r="H1760"/>
      <c r="I1760" s="19"/>
    </row>
    <row r="1761" spans="1:9" hidden="1" x14ac:dyDescent="0.25">
      <c r="A1761" s="3" t="s">
        <v>3513</v>
      </c>
      <c r="B1761" s="3" t="s">
        <v>3514</v>
      </c>
      <c r="C1761" s="3" t="s">
        <v>3</v>
      </c>
      <c r="D1761" s="3" t="s">
        <v>3</v>
      </c>
      <c r="E1761" s="3" t="s">
        <v>4</v>
      </c>
    </row>
    <row r="1762" spans="1:9" hidden="1" x14ac:dyDescent="0.25">
      <c r="A1762" s="3" t="s">
        <v>3515</v>
      </c>
      <c r="B1762" s="3" t="s">
        <v>3516</v>
      </c>
      <c r="C1762" s="3" t="s">
        <v>3</v>
      </c>
      <c r="D1762" s="3" t="s">
        <v>3</v>
      </c>
      <c r="E1762" s="3" t="s">
        <v>4</v>
      </c>
    </row>
    <row r="1763" spans="1:9" hidden="1" x14ac:dyDescent="0.25">
      <c r="A1763" s="3" t="s">
        <v>3517</v>
      </c>
      <c r="B1763" s="3" t="s">
        <v>3518</v>
      </c>
      <c r="C1763" s="3" t="s">
        <v>3</v>
      </c>
      <c r="D1763" s="3" t="s">
        <v>3</v>
      </c>
      <c r="E1763" s="3" t="s">
        <v>4</v>
      </c>
    </row>
    <row r="1764" spans="1:9" hidden="1" x14ac:dyDescent="0.25">
      <c r="A1764" s="3" t="s">
        <v>3519</v>
      </c>
      <c r="B1764" s="3" t="s">
        <v>3520</v>
      </c>
      <c r="C1764" s="3" t="s">
        <v>3</v>
      </c>
      <c r="D1764" s="3" t="s">
        <v>3</v>
      </c>
      <c r="E1764" s="3" t="s">
        <v>4</v>
      </c>
    </row>
    <row r="1765" spans="1:9" hidden="1" x14ac:dyDescent="0.25">
      <c r="A1765" s="3" t="s">
        <v>3521</v>
      </c>
      <c r="B1765" s="3" t="s">
        <v>3522</v>
      </c>
      <c r="C1765" s="3" t="s">
        <v>3</v>
      </c>
      <c r="D1765" s="3" t="s">
        <v>3</v>
      </c>
      <c r="E1765" s="3" t="s">
        <v>4</v>
      </c>
    </row>
    <row r="1766" spans="1:9" hidden="1" x14ac:dyDescent="0.25">
      <c r="A1766" s="3" t="s">
        <v>3523</v>
      </c>
      <c r="B1766" s="3" t="s">
        <v>3524</v>
      </c>
      <c r="C1766" s="3" t="s">
        <v>3</v>
      </c>
      <c r="D1766" s="3" t="s">
        <v>3</v>
      </c>
      <c r="E1766" s="3" t="s">
        <v>4</v>
      </c>
    </row>
    <row r="1767" spans="1:9" hidden="1" x14ac:dyDescent="0.25">
      <c r="A1767" s="3" t="s">
        <v>3525</v>
      </c>
      <c r="B1767" s="3" t="s">
        <v>3526</v>
      </c>
      <c r="C1767" s="3" t="s">
        <v>3</v>
      </c>
      <c r="D1767" s="3" t="s">
        <v>3</v>
      </c>
      <c r="E1767" s="3" t="s">
        <v>4</v>
      </c>
    </row>
    <row r="1768" spans="1:9" hidden="1" x14ac:dyDescent="0.25">
      <c r="A1768" s="3" t="s">
        <v>3527</v>
      </c>
      <c r="B1768" s="3" t="s">
        <v>3528</v>
      </c>
      <c r="C1768" s="3" t="s">
        <v>3</v>
      </c>
      <c r="D1768" s="3" t="s">
        <v>3</v>
      </c>
      <c r="E1768" s="3" t="s">
        <v>4</v>
      </c>
    </row>
    <row r="1769" spans="1:9" hidden="1" x14ac:dyDescent="0.25">
      <c r="A1769" s="3" t="s">
        <v>3529</v>
      </c>
      <c r="B1769" s="3" t="s">
        <v>3530</v>
      </c>
      <c r="C1769" s="3" t="s">
        <v>3</v>
      </c>
      <c r="D1769" s="3" t="s">
        <v>3</v>
      </c>
      <c r="E1769" s="3" t="s">
        <v>4</v>
      </c>
      <c r="H1769"/>
      <c r="I1769" s="19"/>
    </row>
    <row r="1770" spans="1:9" hidden="1" x14ac:dyDescent="0.25">
      <c r="A1770" s="3" t="s">
        <v>3531</v>
      </c>
      <c r="B1770" s="3" t="s">
        <v>3532</v>
      </c>
      <c r="C1770" s="3" t="s">
        <v>3</v>
      </c>
      <c r="D1770" s="3" t="s">
        <v>3</v>
      </c>
      <c r="E1770" s="3" t="s">
        <v>4</v>
      </c>
      <c r="H1770"/>
      <c r="I1770" s="19"/>
    </row>
    <row r="1771" spans="1:9" hidden="1" x14ac:dyDescent="0.25">
      <c r="A1771" s="3" t="s">
        <v>3533</v>
      </c>
      <c r="B1771" s="3" t="s">
        <v>3534</v>
      </c>
      <c r="C1771" s="3" t="s">
        <v>3</v>
      </c>
      <c r="D1771" s="3" t="s">
        <v>3</v>
      </c>
      <c r="E1771" s="3" t="s">
        <v>4</v>
      </c>
    </row>
    <row r="1772" spans="1:9" hidden="1" x14ac:dyDescent="0.25">
      <c r="A1772" s="3" t="s">
        <v>3535</v>
      </c>
      <c r="B1772" s="3" t="s">
        <v>3536</v>
      </c>
      <c r="C1772" s="3" t="s">
        <v>3</v>
      </c>
      <c r="D1772" s="3" t="s">
        <v>3</v>
      </c>
      <c r="E1772" s="3" t="s">
        <v>4</v>
      </c>
    </row>
    <row r="1773" spans="1:9" hidden="1" x14ac:dyDescent="0.25">
      <c r="A1773" s="3" t="s">
        <v>3537</v>
      </c>
      <c r="B1773" s="3" t="s">
        <v>3538</v>
      </c>
      <c r="C1773" s="3" t="s">
        <v>3</v>
      </c>
      <c r="D1773" s="3" t="s">
        <v>3</v>
      </c>
      <c r="E1773" s="3" t="s">
        <v>4</v>
      </c>
    </row>
    <row r="1774" spans="1:9" hidden="1" x14ac:dyDescent="0.25">
      <c r="A1774" s="3" t="s">
        <v>3539</v>
      </c>
      <c r="B1774" s="3" t="s">
        <v>3540</v>
      </c>
      <c r="C1774" s="3" t="s">
        <v>3</v>
      </c>
      <c r="D1774" s="3" t="s">
        <v>3</v>
      </c>
      <c r="E1774" s="3" t="s">
        <v>4</v>
      </c>
    </row>
    <row r="1775" spans="1:9" hidden="1" x14ac:dyDescent="0.25">
      <c r="A1775" s="3" t="s">
        <v>3541</v>
      </c>
      <c r="B1775" s="3" t="s">
        <v>3542</v>
      </c>
      <c r="C1775" s="3" t="s">
        <v>3</v>
      </c>
      <c r="D1775" s="3" t="s">
        <v>3</v>
      </c>
      <c r="E1775" s="3" t="s">
        <v>4</v>
      </c>
    </row>
    <row r="1776" spans="1:9" hidden="1" x14ac:dyDescent="0.25">
      <c r="A1776" s="3" t="s">
        <v>3543</v>
      </c>
      <c r="B1776" s="3" t="s">
        <v>3544</v>
      </c>
      <c r="C1776" s="3" t="s">
        <v>3</v>
      </c>
      <c r="D1776" s="3" t="s">
        <v>3</v>
      </c>
      <c r="E1776" s="3" t="s">
        <v>4</v>
      </c>
    </row>
    <row r="1777" spans="1:9" hidden="1" x14ac:dyDescent="0.25">
      <c r="A1777" s="3" t="s">
        <v>3545</v>
      </c>
      <c r="B1777" s="3" t="s">
        <v>3546</v>
      </c>
      <c r="C1777" s="3" t="s">
        <v>3</v>
      </c>
      <c r="D1777" s="3" t="s">
        <v>3</v>
      </c>
      <c r="E1777" s="3" t="s">
        <v>4</v>
      </c>
    </row>
    <row r="1778" spans="1:9" hidden="1" x14ac:dyDescent="0.25">
      <c r="A1778" s="3" t="s">
        <v>3547</v>
      </c>
      <c r="B1778" s="3" t="s">
        <v>3548</v>
      </c>
      <c r="C1778" s="3" t="s">
        <v>3</v>
      </c>
      <c r="D1778" s="3" t="s">
        <v>3</v>
      </c>
      <c r="E1778" s="3" t="s">
        <v>4</v>
      </c>
    </row>
    <row r="1779" spans="1:9" hidden="1" x14ac:dyDescent="0.25">
      <c r="A1779" s="3" t="s">
        <v>3549</v>
      </c>
      <c r="B1779" s="3" t="s">
        <v>3550</v>
      </c>
      <c r="C1779" s="3" t="s">
        <v>3</v>
      </c>
      <c r="D1779" s="3" t="s">
        <v>3</v>
      </c>
      <c r="E1779" s="3" t="s">
        <v>4</v>
      </c>
    </row>
    <row r="1780" spans="1:9" hidden="1" x14ac:dyDescent="0.25">
      <c r="A1780" s="3" t="s">
        <v>3551</v>
      </c>
      <c r="B1780" s="3" t="s">
        <v>3552</v>
      </c>
      <c r="C1780" s="3" t="s">
        <v>3</v>
      </c>
      <c r="D1780" s="3" t="s">
        <v>3</v>
      </c>
      <c r="E1780" s="3" t="s">
        <v>4</v>
      </c>
    </row>
    <row r="1781" spans="1:9" hidden="1" x14ac:dyDescent="0.25">
      <c r="A1781" s="3" t="s">
        <v>3553</v>
      </c>
      <c r="B1781" s="3" t="s">
        <v>3554</v>
      </c>
      <c r="C1781" s="3" t="s">
        <v>3</v>
      </c>
      <c r="D1781" s="3" t="s">
        <v>3</v>
      </c>
      <c r="E1781" s="3" t="s">
        <v>4</v>
      </c>
      <c r="H1781"/>
      <c r="I1781" s="19"/>
    </row>
    <row r="1782" spans="1:9" hidden="1" x14ac:dyDescent="0.25">
      <c r="A1782" s="3" t="s">
        <v>3555</v>
      </c>
      <c r="B1782" s="3" t="s">
        <v>3556</v>
      </c>
      <c r="C1782" s="3" t="s">
        <v>3</v>
      </c>
      <c r="D1782" s="3" t="s">
        <v>3</v>
      </c>
      <c r="E1782" s="3" t="s">
        <v>4</v>
      </c>
      <c r="H1782"/>
      <c r="I1782" s="19"/>
    </row>
    <row r="1783" spans="1:9" hidden="1" x14ac:dyDescent="0.25">
      <c r="A1783" s="3" t="s">
        <v>3557</v>
      </c>
      <c r="B1783" s="3" t="s">
        <v>3558</v>
      </c>
      <c r="C1783" s="3" t="s">
        <v>3</v>
      </c>
      <c r="D1783" s="3" t="s">
        <v>3</v>
      </c>
      <c r="E1783" s="3" t="s">
        <v>4</v>
      </c>
      <c r="H1783"/>
    </row>
    <row r="1784" spans="1:9" hidden="1" x14ac:dyDescent="0.25">
      <c r="A1784" s="3" t="s">
        <v>3559</v>
      </c>
      <c r="B1784" s="3" t="s">
        <v>3560</v>
      </c>
      <c r="C1784" s="3" t="s">
        <v>3</v>
      </c>
      <c r="D1784" s="3" t="s">
        <v>3</v>
      </c>
      <c r="E1784" s="3" t="s">
        <v>4</v>
      </c>
      <c r="H1784"/>
    </row>
    <row r="1785" spans="1:9" hidden="1" x14ac:dyDescent="0.25">
      <c r="A1785" s="3" t="s">
        <v>3561</v>
      </c>
      <c r="B1785" s="3" t="s">
        <v>3562</v>
      </c>
      <c r="C1785" s="3" t="s">
        <v>3</v>
      </c>
      <c r="D1785" s="3" t="s">
        <v>3</v>
      </c>
      <c r="E1785" s="3" t="s">
        <v>4</v>
      </c>
      <c r="H1785"/>
      <c r="I1785" s="19"/>
    </row>
    <row r="1786" spans="1:9" hidden="1" x14ac:dyDescent="0.25">
      <c r="A1786" s="3" t="s">
        <v>3563</v>
      </c>
      <c r="B1786" s="3" t="s">
        <v>3564</v>
      </c>
      <c r="C1786" s="3" t="s">
        <v>3</v>
      </c>
      <c r="D1786" s="3" t="s">
        <v>3</v>
      </c>
      <c r="E1786" s="3" t="s">
        <v>4</v>
      </c>
      <c r="H1786"/>
      <c r="I1786" s="19"/>
    </row>
    <row r="1787" spans="1:9" hidden="1" x14ac:dyDescent="0.25">
      <c r="A1787" s="3" t="s">
        <v>3565</v>
      </c>
      <c r="B1787" s="3" t="s">
        <v>3566</v>
      </c>
      <c r="C1787" s="3" t="s">
        <v>3</v>
      </c>
      <c r="D1787" s="3" t="s">
        <v>3</v>
      </c>
      <c r="E1787" s="3" t="s">
        <v>4</v>
      </c>
      <c r="H1787"/>
    </row>
    <row r="1788" spans="1:9" hidden="1" x14ac:dyDescent="0.25">
      <c r="A1788" s="3" t="s">
        <v>3567</v>
      </c>
      <c r="B1788" s="3" t="s">
        <v>3568</v>
      </c>
      <c r="C1788" s="3" t="s">
        <v>3</v>
      </c>
      <c r="D1788" s="3" t="s">
        <v>3</v>
      </c>
      <c r="E1788" s="3" t="s">
        <v>4</v>
      </c>
    </row>
    <row r="1789" spans="1:9" hidden="1" x14ac:dyDescent="0.25">
      <c r="A1789" s="3" t="s">
        <v>3569</v>
      </c>
      <c r="B1789" s="3" t="s">
        <v>3570</v>
      </c>
      <c r="C1789" s="3" t="s">
        <v>3</v>
      </c>
      <c r="D1789" s="3" t="s">
        <v>3</v>
      </c>
      <c r="E1789" s="3" t="s">
        <v>4</v>
      </c>
    </row>
    <row r="1790" spans="1:9" hidden="1" x14ac:dyDescent="0.25">
      <c r="A1790" s="3" t="s">
        <v>3571</v>
      </c>
      <c r="B1790" s="3" t="s">
        <v>3572</v>
      </c>
      <c r="C1790" s="3" t="s">
        <v>3</v>
      </c>
      <c r="D1790" s="3" t="s">
        <v>3</v>
      </c>
      <c r="E1790" s="3" t="s">
        <v>4</v>
      </c>
    </row>
    <row r="1791" spans="1:9" hidden="1" x14ac:dyDescent="0.25">
      <c r="A1791" s="3" t="s">
        <v>3573</v>
      </c>
      <c r="B1791" s="3" t="s">
        <v>3574</v>
      </c>
      <c r="C1791" s="3" t="s">
        <v>3</v>
      </c>
      <c r="D1791" s="3" t="s">
        <v>3</v>
      </c>
      <c r="E1791" s="3" t="s">
        <v>4</v>
      </c>
    </row>
    <row r="1792" spans="1:9" hidden="1" x14ac:dyDescent="0.25">
      <c r="A1792" s="3" t="s">
        <v>3575</v>
      </c>
      <c r="B1792" s="3" t="s">
        <v>3576</v>
      </c>
      <c r="C1792" s="3" t="s">
        <v>3</v>
      </c>
      <c r="D1792" s="3" t="s">
        <v>3</v>
      </c>
      <c r="E1792" s="3" t="s">
        <v>4</v>
      </c>
    </row>
    <row r="1793" spans="1:8" hidden="1" x14ac:dyDescent="0.25">
      <c r="A1793" s="3" t="s">
        <v>3577</v>
      </c>
      <c r="B1793" s="3" t="s">
        <v>3578</v>
      </c>
      <c r="C1793" s="3" t="s">
        <v>3</v>
      </c>
      <c r="D1793" s="3" t="s">
        <v>3</v>
      </c>
      <c r="E1793" s="3" t="s">
        <v>4</v>
      </c>
    </row>
    <row r="1794" spans="1:8" hidden="1" x14ac:dyDescent="0.25">
      <c r="A1794" s="3" t="s">
        <v>3579</v>
      </c>
      <c r="B1794" s="3" t="s">
        <v>3580</v>
      </c>
      <c r="C1794" s="3" t="s">
        <v>3</v>
      </c>
      <c r="D1794" s="3" t="s">
        <v>3</v>
      </c>
      <c r="E1794" s="3" t="s">
        <v>4</v>
      </c>
    </row>
    <row r="1795" spans="1:8" hidden="1" x14ac:dyDescent="0.25">
      <c r="A1795" s="3" t="s">
        <v>3581</v>
      </c>
      <c r="B1795" s="3" t="s">
        <v>3582</v>
      </c>
      <c r="C1795" s="3" t="s">
        <v>3</v>
      </c>
      <c r="D1795" s="3" t="s">
        <v>3</v>
      </c>
      <c r="E1795" s="3" t="s">
        <v>4</v>
      </c>
    </row>
    <row r="1796" spans="1:8" hidden="1" x14ac:dyDescent="0.25">
      <c r="A1796" s="3" t="s">
        <v>3583</v>
      </c>
      <c r="B1796" s="3" t="s">
        <v>3584</v>
      </c>
      <c r="C1796" s="3" t="s">
        <v>3</v>
      </c>
      <c r="D1796" s="3" t="s">
        <v>3</v>
      </c>
      <c r="E1796" s="3" t="s">
        <v>4</v>
      </c>
    </row>
    <row r="1797" spans="1:8" hidden="1" x14ac:dyDescent="0.25">
      <c r="A1797" s="3" t="s">
        <v>3585</v>
      </c>
      <c r="B1797" s="3" t="s">
        <v>3586</v>
      </c>
      <c r="C1797" s="3" t="s">
        <v>3</v>
      </c>
      <c r="D1797" s="3" t="s">
        <v>3</v>
      </c>
      <c r="E1797" s="3" t="s">
        <v>4</v>
      </c>
    </row>
    <row r="1798" spans="1:8" hidden="1" x14ac:dyDescent="0.25">
      <c r="A1798" s="3" t="s">
        <v>3587</v>
      </c>
      <c r="B1798" s="3" t="s">
        <v>3588</v>
      </c>
      <c r="C1798" s="3" t="s">
        <v>3</v>
      </c>
      <c r="D1798" s="3" t="s">
        <v>3</v>
      </c>
      <c r="E1798" s="3" t="s">
        <v>4</v>
      </c>
    </row>
    <row r="1799" spans="1:8" hidden="1" x14ac:dyDescent="0.25">
      <c r="A1799" s="3" t="s">
        <v>3589</v>
      </c>
      <c r="B1799" s="3" t="s">
        <v>3590</v>
      </c>
      <c r="C1799" s="3" t="s">
        <v>3</v>
      </c>
      <c r="D1799" s="3" t="s">
        <v>3</v>
      </c>
      <c r="E1799" s="3" t="s">
        <v>4</v>
      </c>
    </row>
    <row r="1800" spans="1:8" hidden="1" x14ac:dyDescent="0.25">
      <c r="A1800" s="3" t="s">
        <v>3591</v>
      </c>
      <c r="B1800" s="3" t="s">
        <v>3592</v>
      </c>
      <c r="C1800" s="3" t="s">
        <v>3</v>
      </c>
      <c r="D1800" s="3" t="s">
        <v>3</v>
      </c>
      <c r="E1800" s="3" t="s">
        <v>4</v>
      </c>
    </row>
    <row r="1801" spans="1:8" hidden="1" x14ac:dyDescent="0.25">
      <c r="A1801" s="3" t="s">
        <v>3593</v>
      </c>
      <c r="B1801" s="3" t="s">
        <v>3594</v>
      </c>
      <c r="C1801" s="3" t="s">
        <v>3</v>
      </c>
      <c r="D1801" s="3" t="s">
        <v>3</v>
      </c>
      <c r="E1801" s="3" t="s">
        <v>4</v>
      </c>
    </row>
    <row r="1802" spans="1:8" hidden="1" x14ac:dyDescent="0.25">
      <c r="A1802" s="3" t="s">
        <v>3595</v>
      </c>
      <c r="B1802" s="3" t="s">
        <v>3596</v>
      </c>
      <c r="C1802" s="3" t="s">
        <v>3</v>
      </c>
      <c r="D1802" s="3" t="s">
        <v>3</v>
      </c>
      <c r="E1802" s="3" t="s">
        <v>4</v>
      </c>
    </row>
    <row r="1803" spans="1:8" hidden="1" x14ac:dyDescent="0.25">
      <c r="A1803" s="3" t="s">
        <v>3597</v>
      </c>
      <c r="B1803" s="3" t="s">
        <v>3598</v>
      </c>
      <c r="C1803" s="3" t="s">
        <v>3</v>
      </c>
      <c r="D1803" s="3" t="s">
        <v>3</v>
      </c>
      <c r="E1803" s="3" t="s">
        <v>4</v>
      </c>
    </row>
    <row r="1804" spans="1:8" hidden="1" x14ac:dyDescent="0.25">
      <c r="A1804" s="3" t="s">
        <v>3599</v>
      </c>
      <c r="B1804" s="3" t="s">
        <v>3600</v>
      </c>
      <c r="C1804" s="3" t="s">
        <v>3</v>
      </c>
      <c r="D1804" s="3" t="s">
        <v>3</v>
      </c>
      <c r="E1804" s="3" t="s">
        <v>4</v>
      </c>
    </row>
    <row r="1805" spans="1:8" hidden="1" x14ac:dyDescent="0.25">
      <c r="A1805" s="3" t="s">
        <v>3601</v>
      </c>
      <c r="B1805" s="3" t="s">
        <v>3602</v>
      </c>
      <c r="C1805" s="3" t="s">
        <v>3</v>
      </c>
      <c r="D1805" s="3" t="s">
        <v>3</v>
      </c>
      <c r="E1805" s="3" t="s">
        <v>4</v>
      </c>
    </row>
    <row r="1806" spans="1:8" hidden="1" x14ac:dyDescent="0.25">
      <c r="A1806" s="3" t="s">
        <v>3603</v>
      </c>
      <c r="B1806" s="3" t="s">
        <v>3604</v>
      </c>
      <c r="C1806" s="3" t="s">
        <v>3</v>
      </c>
      <c r="D1806" s="3" t="s">
        <v>3</v>
      </c>
      <c r="E1806" s="3" t="s">
        <v>4</v>
      </c>
    </row>
    <row r="1807" spans="1:8" hidden="1" x14ac:dyDescent="0.25">
      <c r="A1807" s="3" t="s">
        <v>3605</v>
      </c>
      <c r="B1807" s="3" t="s">
        <v>3606</v>
      </c>
      <c r="C1807" s="3" t="s">
        <v>3</v>
      </c>
      <c r="D1807" s="3" t="s">
        <v>3</v>
      </c>
      <c r="E1807" s="3" t="s">
        <v>4</v>
      </c>
    </row>
    <row r="1808" spans="1:8" hidden="1" x14ac:dyDescent="0.25">
      <c r="A1808" s="3" t="s">
        <v>3607</v>
      </c>
      <c r="B1808" s="3" t="s">
        <v>3608</v>
      </c>
      <c r="C1808" s="3" t="s">
        <v>3</v>
      </c>
      <c r="D1808" s="3" t="s">
        <v>3</v>
      </c>
      <c r="E1808" s="3" t="s">
        <v>4</v>
      </c>
      <c r="H1808"/>
    </row>
    <row r="1809" spans="1:9" hidden="1" x14ac:dyDescent="0.25">
      <c r="A1809" s="3" t="s">
        <v>3609</v>
      </c>
      <c r="B1809" s="3" t="s">
        <v>3610</v>
      </c>
      <c r="C1809" s="3" t="s">
        <v>3</v>
      </c>
      <c r="D1809" s="3" t="s">
        <v>3</v>
      </c>
      <c r="E1809" s="3" t="s">
        <v>4</v>
      </c>
      <c r="H1809"/>
    </row>
    <row r="1810" spans="1:9" hidden="1" x14ac:dyDescent="0.25">
      <c r="A1810" s="3" t="s">
        <v>3611</v>
      </c>
      <c r="B1810" s="3" t="s">
        <v>3612</v>
      </c>
      <c r="C1810" s="3" t="s">
        <v>3</v>
      </c>
      <c r="D1810" s="3" t="s">
        <v>3</v>
      </c>
      <c r="E1810" s="3" t="s">
        <v>4</v>
      </c>
      <c r="H1810"/>
      <c r="I1810" s="3"/>
    </row>
    <row r="1811" spans="1:9" hidden="1" x14ac:dyDescent="0.25">
      <c r="A1811" s="3" t="s">
        <v>3613</v>
      </c>
      <c r="B1811" s="3" t="s">
        <v>3614</v>
      </c>
      <c r="C1811" s="3" t="s">
        <v>3</v>
      </c>
      <c r="D1811" s="3" t="s">
        <v>3</v>
      </c>
      <c r="E1811" s="3" t="s">
        <v>4</v>
      </c>
      <c r="H1811"/>
      <c r="I1811" s="3"/>
    </row>
    <row r="1812" spans="1:9" hidden="1" x14ac:dyDescent="0.25">
      <c r="A1812" s="3" t="s">
        <v>3615</v>
      </c>
      <c r="B1812" s="3" t="s">
        <v>3616</v>
      </c>
      <c r="C1812" s="3" t="s">
        <v>3</v>
      </c>
      <c r="D1812" s="3" t="s">
        <v>3</v>
      </c>
      <c r="E1812" s="3" t="s">
        <v>4</v>
      </c>
      <c r="H1812"/>
    </row>
    <row r="1813" spans="1:9" hidden="1" x14ac:dyDescent="0.25">
      <c r="A1813" s="3" t="s">
        <v>3617</v>
      </c>
      <c r="B1813" s="3" t="s">
        <v>3618</v>
      </c>
      <c r="C1813" s="3" t="s">
        <v>3</v>
      </c>
      <c r="D1813" s="3" t="s">
        <v>3</v>
      </c>
      <c r="E1813" s="3" t="s">
        <v>4</v>
      </c>
      <c r="H1813"/>
      <c r="I1813" s="3"/>
    </row>
    <row r="1814" spans="1:9" hidden="1" x14ac:dyDescent="0.25">
      <c r="A1814" s="3" t="s">
        <v>3619</v>
      </c>
      <c r="B1814" s="3" t="s">
        <v>3620</v>
      </c>
      <c r="C1814" s="3" t="s">
        <v>3</v>
      </c>
      <c r="D1814" s="3" t="s">
        <v>3</v>
      </c>
      <c r="E1814" s="3" t="s">
        <v>4</v>
      </c>
      <c r="H1814"/>
      <c r="I1814" s="3"/>
    </row>
    <row r="1815" spans="1:9" hidden="1" x14ac:dyDescent="0.25">
      <c r="A1815" s="3" t="s">
        <v>3621</v>
      </c>
      <c r="B1815" s="3" t="s">
        <v>3622</v>
      </c>
      <c r="C1815" s="3" t="s">
        <v>3</v>
      </c>
      <c r="D1815" s="3" t="s">
        <v>3</v>
      </c>
      <c r="E1815" s="3" t="s">
        <v>4</v>
      </c>
      <c r="H1815"/>
      <c r="I1815" s="3"/>
    </row>
    <row r="1816" spans="1:9" hidden="1" x14ac:dyDescent="0.25">
      <c r="A1816" s="3" t="s">
        <v>3623</v>
      </c>
      <c r="B1816" s="3" t="s">
        <v>3624</v>
      </c>
      <c r="C1816" s="3" t="s">
        <v>3</v>
      </c>
      <c r="D1816" s="3" t="s">
        <v>3</v>
      </c>
      <c r="E1816" s="3" t="s">
        <v>4</v>
      </c>
      <c r="H1816"/>
      <c r="I1816" s="3"/>
    </row>
    <row r="1817" spans="1:9" hidden="1" x14ac:dyDescent="0.25">
      <c r="A1817" s="3" t="s">
        <v>3625</v>
      </c>
      <c r="B1817" s="3" t="s">
        <v>3626</v>
      </c>
      <c r="C1817" s="3" t="s">
        <v>3</v>
      </c>
      <c r="D1817" s="3" t="s">
        <v>3</v>
      </c>
      <c r="E1817" s="3" t="s">
        <v>4</v>
      </c>
      <c r="H1817"/>
      <c r="I1817" s="3"/>
    </row>
    <row r="1818" spans="1:9" hidden="1" x14ac:dyDescent="0.25">
      <c r="A1818" s="3" t="s">
        <v>3627</v>
      </c>
      <c r="B1818" s="3" t="s">
        <v>3628</v>
      </c>
      <c r="C1818" s="3" t="s">
        <v>3</v>
      </c>
      <c r="D1818" s="3" t="s">
        <v>3</v>
      </c>
      <c r="E1818" s="3" t="s">
        <v>4</v>
      </c>
      <c r="H1818"/>
      <c r="I1818" s="3"/>
    </row>
    <row r="1819" spans="1:9" hidden="1" x14ac:dyDescent="0.25">
      <c r="A1819" s="3" t="s">
        <v>3629</v>
      </c>
      <c r="B1819" s="3" t="s">
        <v>3630</v>
      </c>
      <c r="C1819" s="3" t="s">
        <v>3</v>
      </c>
      <c r="D1819" s="3" t="s">
        <v>3</v>
      </c>
      <c r="E1819" s="3" t="s">
        <v>4</v>
      </c>
      <c r="H1819"/>
      <c r="I1819" s="3"/>
    </row>
    <row r="1820" spans="1:9" hidden="1" x14ac:dyDescent="0.25">
      <c r="A1820" s="3" t="s">
        <v>3631</v>
      </c>
      <c r="B1820" s="3" t="s">
        <v>3632</v>
      </c>
      <c r="C1820" s="3" t="s">
        <v>3</v>
      </c>
      <c r="D1820" s="3" t="s">
        <v>3</v>
      </c>
      <c r="E1820" s="3" t="s">
        <v>4</v>
      </c>
      <c r="H1820"/>
      <c r="I1820" s="3"/>
    </row>
    <row r="1821" spans="1:9" hidden="1" x14ac:dyDescent="0.25">
      <c r="A1821" s="3" t="s">
        <v>3633</v>
      </c>
      <c r="B1821" s="3" t="s">
        <v>3634</v>
      </c>
      <c r="C1821" s="3" t="s">
        <v>3</v>
      </c>
      <c r="D1821" s="3" t="s">
        <v>3</v>
      </c>
      <c r="E1821" s="3" t="s">
        <v>4</v>
      </c>
      <c r="H1821"/>
      <c r="I1821" s="3"/>
    </row>
    <row r="1822" spans="1:9" hidden="1" x14ac:dyDescent="0.25">
      <c r="A1822" s="3" t="s">
        <v>3635</v>
      </c>
      <c r="B1822" s="3" t="s">
        <v>3636</v>
      </c>
      <c r="C1822" s="3" t="s">
        <v>3</v>
      </c>
      <c r="D1822" s="3" t="s">
        <v>3</v>
      </c>
      <c r="E1822" s="3" t="s">
        <v>4</v>
      </c>
      <c r="H1822"/>
      <c r="I1822" s="3"/>
    </row>
    <row r="1823" spans="1:9" hidden="1" x14ac:dyDescent="0.25">
      <c r="A1823" s="3" t="s">
        <v>3637</v>
      </c>
      <c r="B1823" s="3" t="s">
        <v>3638</v>
      </c>
      <c r="C1823" s="3" t="s">
        <v>3</v>
      </c>
      <c r="D1823" s="3" t="s">
        <v>3</v>
      </c>
      <c r="E1823" s="3" t="s">
        <v>4</v>
      </c>
      <c r="H1823"/>
      <c r="I1823" s="3"/>
    </row>
    <row r="1824" spans="1:9" hidden="1" x14ac:dyDescent="0.25">
      <c r="A1824" s="3" t="s">
        <v>3639</v>
      </c>
      <c r="B1824" s="3" t="s">
        <v>3640</v>
      </c>
      <c r="C1824" s="3" t="s">
        <v>3</v>
      </c>
      <c r="D1824" s="3" t="s">
        <v>3</v>
      </c>
      <c r="E1824" s="3" t="s">
        <v>4</v>
      </c>
      <c r="H1824"/>
      <c r="I1824" s="3"/>
    </row>
    <row r="1825" spans="1:9" hidden="1" x14ac:dyDescent="0.25">
      <c r="A1825" s="3" t="s">
        <v>3641</v>
      </c>
      <c r="B1825" s="3" t="s">
        <v>3642</v>
      </c>
      <c r="C1825" s="3" t="s">
        <v>3</v>
      </c>
      <c r="D1825" s="3" t="s">
        <v>3</v>
      </c>
      <c r="E1825" s="3" t="s">
        <v>4</v>
      </c>
      <c r="H1825"/>
    </row>
    <row r="1826" spans="1:9" hidden="1" x14ac:dyDescent="0.25">
      <c r="A1826" s="3" t="s">
        <v>3643</v>
      </c>
      <c r="B1826" s="3" t="s">
        <v>3644</v>
      </c>
      <c r="C1826" s="3" t="s">
        <v>3</v>
      </c>
      <c r="D1826" s="3" t="s">
        <v>3</v>
      </c>
      <c r="E1826" s="3" t="s">
        <v>4</v>
      </c>
      <c r="H1826"/>
      <c r="I1826" s="3"/>
    </row>
    <row r="1827" spans="1:9" hidden="1" x14ac:dyDescent="0.25">
      <c r="A1827" s="3" t="s">
        <v>3645</v>
      </c>
      <c r="B1827" s="3" t="s">
        <v>3646</v>
      </c>
      <c r="C1827" s="3" t="s">
        <v>3</v>
      </c>
      <c r="D1827" s="3" t="s">
        <v>3</v>
      </c>
      <c r="E1827" s="3" t="s">
        <v>4</v>
      </c>
      <c r="H1827"/>
    </row>
    <row r="1828" spans="1:9" hidden="1" x14ac:dyDescent="0.25">
      <c r="A1828" s="3" t="s">
        <v>3647</v>
      </c>
      <c r="B1828" s="3" t="s">
        <v>3648</v>
      </c>
      <c r="C1828" s="3" t="s">
        <v>3</v>
      </c>
      <c r="D1828" s="3" t="s">
        <v>3</v>
      </c>
      <c r="E1828" s="3" t="s">
        <v>4</v>
      </c>
      <c r="H1828"/>
    </row>
    <row r="1829" spans="1:9" hidden="1" x14ac:dyDescent="0.25">
      <c r="A1829" s="3" t="s">
        <v>3649</v>
      </c>
      <c r="B1829" s="3" t="s">
        <v>3650</v>
      </c>
      <c r="C1829" s="3" t="s">
        <v>3</v>
      </c>
      <c r="D1829" s="3" t="s">
        <v>3</v>
      </c>
      <c r="E1829" s="3" t="s">
        <v>4</v>
      </c>
      <c r="H1829"/>
    </row>
    <row r="1830" spans="1:9" hidden="1" x14ac:dyDescent="0.25">
      <c r="A1830" s="3" t="s">
        <v>3651</v>
      </c>
      <c r="B1830" s="3" t="s">
        <v>3652</v>
      </c>
      <c r="C1830" s="3" t="s">
        <v>3</v>
      </c>
      <c r="D1830" s="3" t="s">
        <v>3</v>
      </c>
      <c r="E1830" s="3" t="s">
        <v>4</v>
      </c>
    </row>
    <row r="1831" spans="1:9" hidden="1" x14ac:dyDescent="0.25">
      <c r="A1831" s="3" t="s">
        <v>3653</v>
      </c>
      <c r="B1831" s="3" t="s">
        <v>3654</v>
      </c>
      <c r="C1831" s="3" t="s">
        <v>3</v>
      </c>
      <c r="D1831" s="3" t="s">
        <v>3</v>
      </c>
      <c r="E1831" s="3" t="s">
        <v>4</v>
      </c>
    </row>
    <row r="1832" spans="1:9" hidden="1" x14ac:dyDescent="0.25">
      <c r="A1832" s="3" t="s">
        <v>3655</v>
      </c>
      <c r="B1832" s="3" t="s">
        <v>3656</v>
      </c>
      <c r="C1832" s="3" t="s">
        <v>3</v>
      </c>
      <c r="D1832" s="3" t="s">
        <v>3</v>
      </c>
      <c r="E1832" s="3" t="s">
        <v>4</v>
      </c>
    </row>
    <row r="1833" spans="1:9" hidden="1" x14ac:dyDescent="0.25">
      <c r="A1833" s="3" t="s">
        <v>3657</v>
      </c>
      <c r="B1833" s="3" t="s">
        <v>3658</v>
      </c>
      <c r="C1833" s="3" t="s">
        <v>3</v>
      </c>
      <c r="D1833" s="3" t="s">
        <v>3</v>
      </c>
      <c r="E1833" s="3" t="s">
        <v>4</v>
      </c>
    </row>
    <row r="1834" spans="1:9" hidden="1" x14ac:dyDescent="0.25">
      <c r="A1834" s="3" t="s">
        <v>3659</v>
      </c>
      <c r="B1834" s="3" t="s">
        <v>3660</v>
      </c>
      <c r="C1834" s="3" t="s">
        <v>3</v>
      </c>
      <c r="D1834" s="3" t="s">
        <v>3</v>
      </c>
      <c r="E1834" s="3" t="s">
        <v>4</v>
      </c>
    </row>
    <row r="1835" spans="1:9" hidden="1" x14ac:dyDescent="0.25">
      <c r="A1835" s="3" t="s">
        <v>3661</v>
      </c>
      <c r="B1835" s="3" t="s">
        <v>3662</v>
      </c>
      <c r="C1835" s="3" t="s">
        <v>3</v>
      </c>
      <c r="D1835" s="3" t="s">
        <v>3</v>
      </c>
      <c r="E1835" s="3" t="s">
        <v>4</v>
      </c>
    </row>
    <row r="1836" spans="1:9" hidden="1" x14ac:dyDescent="0.25">
      <c r="A1836" s="3" t="s">
        <v>3663</v>
      </c>
      <c r="B1836" s="3" t="s">
        <v>3664</v>
      </c>
      <c r="C1836" s="3" t="s">
        <v>3</v>
      </c>
      <c r="D1836" s="3" t="s">
        <v>3</v>
      </c>
      <c r="E1836" s="3" t="s">
        <v>4</v>
      </c>
    </row>
    <row r="1837" spans="1:9" hidden="1" x14ac:dyDescent="0.25">
      <c r="A1837" s="3" t="s">
        <v>3665</v>
      </c>
      <c r="B1837" s="3" t="s">
        <v>3666</v>
      </c>
      <c r="C1837" s="3" t="s">
        <v>3</v>
      </c>
      <c r="D1837" s="3" t="s">
        <v>3</v>
      </c>
      <c r="E1837" s="3" t="s">
        <v>4</v>
      </c>
    </row>
    <row r="1838" spans="1:9" hidden="1" x14ac:dyDescent="0.25">
      <c r="A1838" s="3" t="s">
        <v>3667</v>
      </c>
      <c r="B1838" s="3" t="s">
        <v>3668</v>
      </c>
      <c r="C1838" s="3" t="s">
        <v>3</v>
      </c>
      <c r="D1838" s="3" t="s">
        <v>3</v>
      </c>
      <c r="E1838" s="3" t="s">
        <v>4</v>
      </c>
    </row>
    <row r="1839" spans="1:9" hidden="1" x14ac:dyDescent="0.25">
      <c r="A1839" s="3" t="s">
        <v>3669</v>
      </c>
      <c r="B1839" s="3" t="s">
        <v>3670</v>
      </c>
      <c r="C1839" s="3" t="s">
        <v>3</v>
      </c>
      <c r="D1839" s="3" t="s">
        <v>3</v>
      </c>
      <c r="E1839" s="3" t="s">
        <v>4</v>
      </c>
    </row>
    <row r="1840" spans="1:9" hidden="1" x14ac:dyDescent="0.25">
      <c r="A1840" s="3" t="s">
        <v>3671</v>
      </c>
      <c r="B1840" s="3" t="s">
        <v>3672</v>
      </c>
      <c r="C1840" s="3" t="s">
        <v>3</v>
      </c>
      <c r="D1840" s="3" t="s">
        <v>3</v>
      </c>
      <c r="E1840" s="3" t="s">
        <v>4</v>
      </c>
    </row>
    <row r="1841" spans="1:5" hidden="1" x14ac:dyDescent="0.25">
      <c r="A1841" s="3" t="s">
        <v>3673</v>
      </c>
      <c r="B1841" s="3" t="s">
        <v>3674</v>
      </c>
      <c r="C1841" s="3" t="s">
        <v>3</v>
      </c>
      <c r="D1841" s="3" t="s">
        <v>3</v>
      </c>
      <c r="E1841" s="3" t="s">
        <v>4</v>
      </c>
    </row>
    <row r="1842" spans="1:5" hidden="1" x14ac:dyDescent="0.25">
      <c r="A1842" s="3" t="s">
        <v>3675</v>
      </c>
      <c r="B1842" s="3" t="s">
        <v>3676</v>
      </c>
      <c r="C1842" s="3" t="s">
        <v>3</v>
      </c>
      <c r="D1842" s="3" t="s">
        <v>3</v>
      </c>
      <c r="E1842" s="3" t="s">
        <v>4</v>
      </c>
    </row>
    <row r="1843" spans="1:5" hidden="1" x14ac:dyDescent="0.25">
      <c r="A1843" s="3" t="s">
        <v>3677</v>
      </c>
      <c r="B1843" s="3" t="s">
        <v>3678</v>
      </c>
      <c r="C1843" s="3" t="s">
        <v>3</v>
      </c>
      <c r="D1843" s="3" t="s">
        <v>3</v>
      </c>
      <c r="E1843" s="3" t="s">
        <v>4</v>
      </c>
    </row>
    <row r="1844" spans="1:5" hidden="1" x14ac:dyDescent="0.25">
      <c r="A1844" s="3" t="s">
        <v>3679</v>
      </c>
      <c r="B1844" s="3" t="s">
        <v>3680</v>
      </c>
      <c r="C1844" s="3" t="s">
        <v>3</v>
      </c>
      <c r="D1844" s="3" t="s">
        <v>3</v>
      </c>
      <c r="E1844" s="3" t="s">
        <v>4</v>
      </c>
    </row>
    <row r="1845" spans="1:5" hidden="1" x14ac:dyDescent="0.25">
      <c r="A1845" s="3" t="s">
        <v>3681</v>
      </c>
      <c r="B1845" s="3" t="s">
        <v>3682</v>
      </c>
      <c r="C1845" s="3" t="s">
        <v>3</v>
      </c>
      <c r="D1845" s="3" t="s">
        <v>3</v>
      </c>
      <c r="E1845" s="3" t="s">
        <v>4</v>
      </c>
    </row>
    <row r="1846" spans="1:5" hidden="1" x14ac:dyDescent="0.25">
      <c r="A1846" s="3" t="s">
        <v>3683</v>
      </c>
      <c r="B1846" s="3" t="s">
        <v>3684</v>
      </c>
      <c r="C1846" s="3" t="s">
        <v>3</v>
      </c>
      <c r="D1846" s="3" t="s">
        <v>3</v>
      </c>
      <c r="E1846" s="3" t="s">
        <v>4</v>
      </c>
    </row>
    <row r="1847" spans="1:5" hidden="1" x14ac:dyDescent="0.25">
      <c r="A1847" s="3" t="s">
        <v>3685</v>
      </c>
      <c r="B1847" s="3" t="s">
        <v>3686</v>
      </c>
      <c r="C1847" s="3" t="s">
        <v>3</v>
      </c>
      <c r="D1847" s="3" t="s">
        <v>3</v>
      </c>
      <c r="E1847" s="3" t="s">
        <v>4</v>
      </c>
    </row>
    <row r="1848" spans="1:5" hidden="1" x14ac:dyDescent="0.25">
      <c r="A1848" s="3" t="s">
        <v>3687</v>
      </c>
      <c r="B1848" s="3" t="s">
        <v>3688</v>
      </c>
      <c r="C1848" s="3" t="s">
        <v>3</v>
      </c>
      <c r="D1848" s="3" t="s">
        <v>3</v>
      </c>
      <c r="E1848" s="3" t="s">
        <v>4</v>
      </c>
    </row>
    <row r="1849" spans="1:5" hidden="1" x14ac:dyDescent="0.25">
      <c r="A1849" s="3" t="s">
        <v>3689</v>
      </c>
      <c r="B1849" s="3" t="s">
        <v>3690</v>
      </c>
      <c r="C1849" s="3" t="s">
        <v>3</v>
      </c>
      <c r="D1849" s="3" t="s">
        <v>3</v>
      </c>
      <c r="E1849" s="3" t="s">
        <v>4</v>
      </c>
    </row>
    <row r="1850" spans="1:5" hidden="1" x14ac:dyDescent="0.25">
      <c r="A1850" s="3" t="s">
        <v>3691</v>
      </c>
      <c r="B1850" s="3" t="s">
        <v>3692</v>
      </c>
      <c r="C1850" s="3" t="s">
        <v>3</v>
      </c>
      <c r="D1850" s="3" t="s">
        <v>3</v>
      </c>
      <c r="E1850" s="3" t="s">
        <v>4</v>
      </c>
    </row>
    <row r="1851" spans="1:5" hidden="1" x14ac:dyDescent="0.25">
      <c r="A1851" s="3" t="s">
        <v>3693</v>
      </c>
      <c r="B1851" s="3" t="s">
        <v>3694</v>
      </c>
      <c r="C1851" s="3" t="s">
        <v>3</v>
      </c>
      <c r="D1851" s="3" t="s">
        <v>3</v>
      </c>
      <c r="E1851" s="3" t="s">
        <v>4</v>
      </c>
    </row>
    <row r="1852" spans="1:5" hidden="1" x14ac:dyDescent="0.25">
      <c r="A1852" s="3" t="s">
        <v>3695</v>
      </c>
      <c r="B1852" s="3" t="s">
        <v>3696</v>
      </c>
      <c r="C1852" s="3" t="s">
        <v>3</v>
      </c>
      <c r="D1852" s="3" t="s">
        <v>3</v>
      </c>
      <c r="E1852" s="3" t="s">
        <v>4</v>
      </c>
    </row>
    <row r="1853" spans="1:5" hidden="1" x14ac:dyDescent="0.25">
      <c r="A1853" s="3" t="s">
        <v>3697</v>
      </c>
      <c r="B1853" s="3" t="s">
        <v>3698</v>
      </c>
      <c r="C1853" s="3" t="s">
        <v>3</v>
      </c>
      <c r="D1853" s="3" t="s">
        <v>3</v>
      </c>
      <c r="E1853" s="3" t="s">
        <v>4</v>
      </c>
    </row>
    <row r="1854" spans="1:5" hidden="1" x14ac:dyDescent="0.25">
      <c r="A1854" s="3" t="s">
        <v>3699</v>
      </c>
      <c r="B1854" s="3" t="s">
        <v>3700</v>
      </c>
      <c r="C1854" s="3" t="s">
        <v>3</v>
      </c>
      <c r="D1854" s="3" t="s">
        <v>3</v>
      </c>
      <c r="E1854" s="3" t="s">
        <v>4</v>
      </c>
    </row>
    <row r="1855" spans="1:5" hidden="1" x14ac:dyDescent="0.25">
      <c r="A1855" s="3" t="s">
        <v>3701</v>
      </c>
      <c r="B1855" s="3" t="s">
        <v>3702</v>
      </c>
      <c r="C1855" s="3" t="s">
        <v>3</v>
      </c>
      <c r="D1855" s="3" t="s">
        <v>3</v>
      </c>
      <c r="E1855" s="3" t="s">
        <v>4</v>
      </c>
    </row>
    <row r="1856" spans="1:5" hidden="1" x14ac:dyDescent="0.25">
      <c r="A1856" s="3" t="s">
        <v>3703</v>
      </c>
      <c r="B1856" s="3" t="s">
        <v>3704</v>
      </c>
      <c r="C1856" s="3" t="s">
        <v>3</v>
      </c>
      <c r="D1856" s="3" t="s">
        <v>3</v>
      </c>
      <c r="E1856" s="3" t="s">
        <v>4</v>
      </c>
    </row>
    <row r="1857" spans="1:5" hidden="1" x14ac:dyDescent="0.25">
      <c r="A1857" s="3" t="s">
        <v>3705</v>
      </c>
      <c r="B1857" s="3" t="s">
        <v>3706</v>
      </c>
      <c r="C1857" s="3" t="s">
        <v>3</v>
      </c>
      <c r="D1857" s="3" t="s">
        <v>3</v>
      </c>
      <c r="E1857" s="3" t="s">
        <v>4</v>
      </c>
    </row>
    <row r="1858" spans="1:5" hidden="1" x14ac:dyDescent="0.25">
      <c r="A1858" s="3" t="s">
        <v>3707</v>
      </c>
      <c r="B1858" s="3" t="s">
        <v>3708</v>
      </c>
      <c r="C1858" s="3" t="s">
        <v>3</v>
      </c>
      <c r="D1858" s="3" t="s">
        <v>3</v>
      </c>
      <c r="E1858" s="3" t="s">
        <v>4</v>
      </c>
    </row>
    <row r="1859" spans="1:5" hidden="1" x14ac:dyDescent="0.25">
      <c r="A1859" s="3" t="s">
        <v>3709</v>
      </c>
      <c r="B1859" s="3" t="s">
        <v>3710</v>
      </c>
      <c r="C1859" s="3" t="s">
        <v>3</v>
      </c>
      <c r="D1859" s="3" t="s">
        <v>3</v>
      </c>
      <c r="E1859" s="3" t="s">
        <v>4</v>
      </c>
    </row>
    <row r="1860" spans="1:5" hidden="1" x14ac:dyDescent="0.25">
      <c r="A1860" s="3" t="s">
        <v>3711</v>
      </c>
      <c r="B1860" s="3" t="s">
        <v>3712</v>
      </c>
      <c r="C1860" s="3" t="s">
        <v>3</v>
      </c>
      <c r="D1860" s="3" t="s">
        <v>3</v>
      </c>
      <c r="E1860" s="3" t="s">
        <v>4</v>
      </c>
    </row>
    <row r="1861" spans="1:5" hidden="1" x14ac:dyDescent="0.25">
      <c r="A1861" s="3" t="s">
        <v>3713</v>
      </c>
      <c r="B1861" s="3" t="s">
        <v>3714</v>
      </c>
      <c r="C1861" s="3" t="s">
        <v>3</v>
      </c>
      <c r="D1861" s="3" t="s">
        <v>3</v>
      </c>
      <c r="E1861" s="3" t="s">
        <v>4</v>
      </c>
    </row>
    <row r="1862" spans="1:5" hidden="1" x14ac:dyDescent="0.25">
      <c r="A1862" s="3" t="s">
        <v>3715</v>
      </c>
      <c r="B1862" s="3" t="s">
        <v>3716</v>
      </c>
      <c r="C1862" s="3" t="s">
        <v>3</v>
      </c>
      <c r="D1862" s="3" t="s">
        <v>3</v>
      </c>
      <c r="E1862" s="3" t="s">
        <v>4</v>
      </c>
    </row>
    <row r="1863" spans="1:5" hidden="1" x14ac:dyDescent="0.25">
      <c r="A1863" s="3" t="s">
        <v>3717</v>
      </c>
      <c r="B1863" s="3" t="s">
        <v>3718</v>
      </c>
      <c r="C1863" s="3" t="s">
        <v>3</v>
      </c>
      <c r="D1863" s="3" t="s">
        <v>3</v>
      </c>
      <c r="E1863" s="3" t="s">
        <v>4</v>
      </c>
    </row>
    <row r="1864" spans="1:5" hidden="1" x14ac:dyDescent="0.25">
      <c r="A1864" s="3" t="s">
        <v>3719</v>
      </c>
      <c r="B1864" s="3" t="s">
        <v>3720</v>
      </c>
      <c r="C1864" s="3" t="s">
        <v>3</v>
      </c>
      <c r="D1864" s="3" t="s">
        <v>3</v>
      </c>
      <c r="E1864" s="3" t="s">
        <v>4</v>
      </c>
    </row>
    <row r="1865" spans="1:5" hidden="1" x14ac:dyDescent="0.25">
      <c r="A1865" s="3" t="s">
        <v>3721</v>
      </c>
      <c r="B1865" s="3" t="s">
        <v>3722</v>
      </c>
      <c r="C1865" s="3" t="s">
        <v>3</v>
      </c>
      <c r="D1865" s="3" t="s">
        <v>3</v>
      </c>
      <c r="E1865" s="3" t="s">
        <v>4</v>
      </c>
    </row>
    <row r="1866" spans="1:5" hidden="1" x14ac:dyDescent="0.25">
      <c r="A1866" s="3" t="s">
        <v>3723</v>
      </c>
      <c r="B1866" s="3" t="s">
        <v>3724</v>
      </c>
      <c r="C1866" s="3" t="s">
        <v>3</v>
      </c>
      <c r="D1866" s="3" t="s">
        <v>3</v>
      </c>
      <c r="E1866" s="3" t="s">
        <v>4</v>
      </c>
    </row>
    <row r="1867" spans="1:5" hidden="1" x14ac:dyDescent="0.25">
      <c r="A1867" s="3" t="s">
        <v>3725</v>
      </c>
      <c r="B1867" s="3" t="s">
        <v>3726</v>
      </c>
      <c r="C1867" s="3" t="s">
        <v>3</v>
      </c>
      <c r="D1867" s="3" t="s">
        <v>3</v>
      </c>
      <c r="E1867" s="3" t="s">
        <v>4</v>
      </c>
    </row>
    <row r="1868" spans="1:5" hidden="1" x14ac:dyDescent="0.25">
      <c r="A1868" s="3" t="s">
        <v>3727</v>
      </c>
      <c r="B1868" s="3" t="s">
        <v>3728</v>
      </c>
      <c r="C1868" s="3" t="s">
        <v>3</v>
      </c>
      <c r="D1868" s="3" t="s">
        <v>3</v>
      </c>
      <c r="E1868" s="3" t="s">
        <v>4</v>
      </c>
    </row>
    <row r="1869" spans="1:5" hidden="1" x14ac:dyDescent="0.25">
      <c r="A1869" s="3" t="s">
        <v>3729</v>
      </c>
      <c r="B1869" s="3" t="s">
        <v>3730</v>
      </c>
      <c r="C1869" s="3" t="s">
        <v>3</v>
      </c>
      <c r="D1869" s="3" t="s">
        <v>3</v>
      </c>
      <c r="E1869" s="3" t="s">
        <v>4</v>
      </c>
    </row>
    <row r="1870" spans="1:5" hidden="1" x14ac:dyDescent="0.25">
      <c r="A1870" s="3" t="s">
        <v>3731</v>
      </c>
      <c r="B1870" s="3" t="s">
        <v>3732</v>
      </c>
      <c r="C1870" s="3" t="s">
        <v>3</v>
      </c>
      <c r="D1870" s="3" t="s">
        <v>3</v>
      </c>
      <c r="E1870" s="3" t="s">
        <v>4</v>
      </c>
    </row>
    <row r="1871" spans="1:5" hidden="1" x14ac:dyDescent="0.25">
      <c r="A1871" s="3" t="s">
        <v>3733</v>
      </c>
      <c r="B1871" s="3" t="s">
        <v>3734</v>
      </c>
      <c r="C1871" s="3" t="s">
        <v>3</v>
      </c>
      <c r="D1871" s="3" t="s">
        <v>3</v>
      </c>
      <c r="E1871" s="3" t="s">
        <v>4</v>
      </c>
    </row>
    <row r="1872" spans="1:5" hidden="1" x14ac:dyDescent="0.25">
      <c r="A1872" s="3" t="s">
        <v>3735</v>
      </c>
      <c r="B1872" s="3" t="s">
        <v>3736</v>
      </c>
      <c r="C1872" s="3" t="s">
        <v>3</v>
      </c>
      <c r="D1872" s="3" t="s">
        <v>3</v>
      </c>
      <c r="E1872" s="3" t="s">
        <v>4</v>
      </c>
    </row>
    <row r="1873" spans="1:5" hidden="1" x14ac:dyDescent="0.25">
      <c r="A1873" s="3" t="s">
        <v>3737</v>
      </c>
      <c r="B1873" s="3" t="s">
        <v>3738</v>
      </c>
      <c r="C1873" s="3" t="s">
        <v>3</v>
      </c>
      <c r="D1873" s="3" t="s">
        <v>3</v>
      </c>
      <c r="E1873" s="3" t="s">
        <v>4</v>
      </c>
    </row>
    <row r="1874" spans="1:5" hidden="1" x14ac:dyDescent="0.25">
      <c r="A1874" s="3" t="s">
        <v>3739</v>
      </c>
      <c r="B1874" s="3" t="s">
        <v>3740</v>
      </c>
      <c r="C1874" s="3" t="s">
        <v>3</v>
      </c>
      <c r="D1874" s="3" t="s">
        <v>3</v>
      </c>
      <c r="E1874" s="3" t="s">
        <v>4</v>
      </c>
    </row>
    <row r="1875" spans="1:5" hidden="1" x14ac:dyDescent="0.25">
      <c r="A1875" s="3" t="s">
        <v>3741</v>
      </c>
      <c r="B1875" s="3" t="s">
        <v>3742</v>
      </c>
      <c r="C1875" s="3" t="s">
        <v>3</v>
      </c>
      <c r="D1875" s="3" t="s">
        <v>3</v>
      </c>
      <c r="E1875" s="3" t="s">
        <v>4</v>
      </c>
    </row>
    <row r="1876" spans="1:5" hidden="1" x14ac:dyDescent="0.25">
      <c r="A1876" s="3" t="s">
        <v>3743</v>
      </c>
      <c r="B1876" s="3" t="s">
        <v>3744</v>
      </c>
      <c r="C1876" s="3" t="s">
        <v>3</v>
      </c>
      <c r="D1876" s="3" t="s">
        <v>3</v>
      </c>
      <c r="E1876" s="3" t="s">
        <v>4</v>
      </c>
    </row>
    <row r="1877" spans="1:5" hidden="1" x14ac:dyDescent="0.25">
      <c r="A1877" s="3" t="s">
        <v>3745</v>
      </c>
      <c r="B1877" s="3" t="s">
        <v>3746</v>
      </c>
      <c r="C1877" s="3" t="s">
        <v>3</v>
      </c>
      <c r="D1877" s="3" t="s">
        <v>3</v>
      </c>
      <c r="E1877" s="3" t="s">
        <v>4</v>
      </c>
    </row>
    <row r="1878" spans="1:5" hidden="1" x14ac:dyDescent="0.25">
      <c r="A1878" s="3" t="s">
        <v>3747</v>
      </c>
      <c r="B1878" s="3" t="s">
        <v>3748</v>
      </c>
      <c r="C1878" s="3" t="s">
        <v>3</v>
      </c>
      <c r="D1878" s="3" t="s">
        <v>3</v>
      </c>
      <c r="E1878" s="3" t="s">
        <v>4</v>
      </c>
    </row>
    <row r="1879" spans="1:5" hidden="1" x14ac:dyDescent="0.25">
      <c r="A1879" s="3" t="s">
        <v>3749</v>
      </c>
      <c r="B1879" s="3" t="s">
        <v>3750</v>
      </c>
      <c r="C1879" s="3" t="s">
        <v>3</v>
      </c>
      <c r="D1879" s="3" t="s">
        <v>3</v>
      </c>
      <c r="E1879" s="3" t="s">
        <v>4</v>
      </c>
    </row>
    <row r="1880" spans="1:5" hidden="1" x14ac:dyDescent="0.25">
      <c r="A1880" s="3" t="s">
        <v>3751</v>
      </c>
      <c r="B1880" s="3" t="s">
        <v>3752</v>
      </c>
      <c r="C1880" s="3" t="s">
        <v>3</v>
      </c>
      <c r="D1880" s="3" t="s">
        <v>3</v>
      </c>
      <c r="E1880" s="3" t="s">
        <v>4</v>
      </c>
    </row>
    <row r="1881" spans="1:5" hidden="1" x14ac:dyDescent="0.25">
      <c r="A1881" s="3" t="s">
        <v>3753</v>
      </c>
      <c r="B1881" s="3" t="s">
        <v>3754</v>
      </c>
      <c r="C1881" s="3" t="s">
        <v>3</v>
      </c>
      <c r="D1881" s="3" t="s">
        <v>3</v>
      </c>
      <c r="E1881" s="3" t="s">
        <v>4</v>
      </c>
    </row>
    <row r="1882" spans="1:5" hidden="1" x14ac:dyDescent="0.25">
      <c r="A1882" s="3" t="s">
        <v>3755</v>
      </c>
      <c r="B1882" s="3" t="s">
        <v>3756</v>
      </c>
      <c r="C1882" s="3" t="s">
        <v>3</v>
      </c>
      <c r="D1882" s="3" t="s">
        <v>3</v>
      </c>
      <c r="E1882" s="3" t="s">
        <v>4</v>
      </c>
    </row>
    <row r="1883" spans="1:5" hidden="1" x14ac:dyDescent="0.25">
      <c r="A1883" s="3" t="s">
        <v>3757</v>
      </c>
      <c r="B1883" s="3" t="s">
        <v>3758</v>
      </c>
      <c r="C1883" s="3" t="s">
        <v>3</v>
      </c>
      <c r="D1883" s="3" t="s">
        <v>3</v>
      </c>
      <c r="E1883" s="3" t="s">
        <v>4</v>
      </c>
    </row>
    <row r="1884" spans="1:5" hidden="1" x14ac:dyDescent="0.25">
      <c r="A1884" s="3" t="s">
        <v>3759</v>
      </c>
      <c r="B1884" s="3" t="s">
        <v>3760</v>
      </c>
      <c r="C1884" s="3" t="s">
        <v>3</v>
      </c>
      <c r="D1884" s="3" t="s">
        <v>3</v>
      </c>
      <c r="E1884" s="3" t="s">
        <v>4</v>
      </c>
    </row>
    <row r="1885" spans="1:5" hidden="1" x14ac:dyDescent="0.25">
      <c r="A1885" s="3" t="s">
        <v>3761</v>
      </c>
      <c r="B1885" s="3" t="s">
        <v>3762</v>
      </c>
      <c r="C1885" s="3" t="s">
        <v>3</v>
      </c>
      <c r="D1885" s="3" t="s">
        <v>3</v>
      </c>
      <c r="E1885" s="3" t="s">
        <v>4</v>
      </c>
    </row>
    <row r="1886" spans="1:5" hidden="1" x14ac:dyDescent="0.25">
      <c r="A1886" s="3" t="s">
        <v>3763</v>
      </c>
      <c r="B1886" s="3" t="s">
        <v>3764</v>
      </c>
      <c r="C1886" s="3" t="s">
        <v>3</v>
      </c>
      <c r="D1886" s="3" t="s">
        <v>3</v>
      </c>
      <c r="E1886" s="3" t="s">
        <v>4</v>
      </c>
    </row>
    <row r="1887" spans="1:5" hidden="1" x14ac:dyDescent="0.25">
      <c r="A1887" s="3" t="s">
        <v>3765</v>
      </c>
      <c r="B1887" s="3" t="s">
        <v>3766</v>
      </c>
      <c r="C1887" s="3" t="s">
        <v>3</v>
      </c>
      <c r="D1887" s="3" t="s">
        <v>3</v>
      </c>
      <c r="E1887" s="3" t="s">
        <v>4</v>
      </c>
    </row>
    <row r="1888" spans="1:5" hidden="1" x14ac:dyDescent="0.25">
      <c r="A1888" s="3" t="s">
        <v>3767</v>
      </c>
      <c r="B1888" s="3" t="s">
        <v>3768</v>
      </c>
      <c r="C1888" s="3" t="s">
        <v>3</v>
      </c>
      <c r="D1888" s="3" t="s">
        <v>3</v>
      </c>
      <c r="E1888" s="3" t="s">
        <v>4</v>
      </c>
    </row>
    <row r="1889" spans="1:9" hidden="1" x14ac:dyDescent="0.25">
      <c r="A1889" s="3" t="s">
        <v>3769</v>
      </c>
      <c r="B1889" s="3" t="s">
        <v>3770</v>
      </c>
      <c r="C1889" s="3" t="s">
        <v>3</v>
      </c>
      <c r="D1889" s="3" t="s">
        <v>3</v>
      </c>
      <c r="E1889" s="3" t="s">
        <v>4</v>
      </c>
    </row>
    <row r="1890" spans="1:9" hidden="1" x14ac:dyDescent="0.25">
      <c r="A1890" s="3" t="s">
        <v>3771</v>
      </c>
      <c r="B1890" s="3" t="s">
        <v>3772</v>
      </c>
      <c r="C1890" s="3" t="s">
        <v>3</v>
      </c>
      <c r="D1890" s="3" t="s">
        <v>3</v>
      </c>
      <c r="E1890" s="3" t="s">
        <v>4</v>
      </c>
    </row>
    <row r="1891" spans="1:9" hidden="1" x14ac:dyDescent="0.25">
      <c r="A1891" s="3" t="s">
        <v>3773</v>
      </c>
      <c r="B1891" s="3" t="s">
        <v>3774</v>
      </c>
      <c r="C1891" s="3" t="s">
        <v>3</v>
      </c>
      <c r="D1891" s="3" t="s">
        <v>3</v>
      </c>
      <c r="E1891" s="3" t="s">
        <v>4</v>
      </c>
    </row>
    <row r="1892" spans="1:9" hidden="1" x14ac:dyDescent="0.25">
      <c r="A1892" s="3" t="s">
        <v>3775</v>
      </c>
      <c r="B1892" s="3" t="s">
        <v>3776</v>
      </c>
      <c r="C1892" s="3" t="s">
        <v>3</v>
      </c>
      <c r="D1892" s="3" t="s">
        <v>3</v>
      </c>
      <c r="E1892" s="3" t="s">
        <v>4</v>
      </c>
    </row>
    <row r="1893" spans="1:9" hidden="1" x14ac:dyDescent="0.25">
      <c r="A1893" s="3" t="s">
        <v>3777</v>
      </c>
      <c r="B1893" s="3" t="s">
        <v>3778</v>
      </c>
      <c r="C1893" s="3" t="s">
        <v>3</v>
      </c>
      <c r="D1893" s="3" t="s">
        <v>3</v>
      </c>
      <c r="E1893" s="3" t="s">
        <v>4</v>
      </c>
    </row>
    <row r="1894" spans="1:9" hidden="1" x14ac:dyDescent="0.25">
      <c r="A1894" s="3" t="s">
        <v>3779</v>
      </c>
      <c r="B1894" s="3" t="s">
        <v>3780</v>
      </c>
      <c r="C1894" s="3" t="s">
        <v>3</v>
      </c>
      <c r="D1894" s="3" t="s">
        <v>3</v>
      </c>
      <c r="E1894" s="3" t="s">
        <v>4</v>
      </c>
      <c r="H1894"/>
      <c r="I1894" s="3"/>
    </row>
    <row r="1895" spans="1:9" hidden="1" x14ac:dyDescent="0.25">
      <c r="A1895" s="3" t="s">
        <v>3781</v>
      </c>
      <c r="B1895" s="3" t="s">
        <v>3782</v>
      </c>
      <c r="C1895" s="3" t="s">
        <v>3</v>
      </c>
      <c r="D1895" s="3" t="s">
        <v>3</v>
      </c>
      <c r="E1895" s="3" t="s">
        <v>4</v>
      </c>
      <c r="H1895"/>
      <c r="I1895" s="3"/>
    </row>
    <row r="1896" spans="1:9" hidden="1" x14ac:dyDescent="0.25">
      <c r="A1896" s="3" t="s">
        <v>3783</v>
      </c>
      <c r="B1896" s="3" t="s">
        <v>3784</v>
      </c>
      <c r="C1896" s="3" t="s">
        <v>3</v>
      </c>
      <c r="D1896" s="3" t="s">
        <v>3</v>
      </c>
      <c r="E1896" s="3" t="s">
        <v>4</v>
      </c>
      <c r="H1896"/>
      <c r="I1896" s="3"/>
    </row>
    <row r="1897" spans="1:9" hidden="1" x14ac:dyDescent="0.25">
      <c r="A1897" s="3" t="s">
        <v>3785</v>
      </c>
      <c r="B1897" s="3" t="s">
        <v>3786</v>
      </c>
      <c r="C1897" s="3" t="s">
        <v>3</v>
      </c>
      <c r="D1897" s="3" t="s">
        <v>3</v>
      </c>
      <c r="E1897" s="3" t="s">
        <v>4</v>
      </c>
      <c r="H1897"/>
      <c r="I1897" s="3"/>
    </row>
    <row r="1898" spans="1:9" hidden="1" x14ac:dyDescent="0.25">
      <c r="A1898" s="3" t="s">
        <v>3787</v>
      </c>
      <c r="B1898" s="3" t="s">
        <v>3788</v>
      </c>
      <c r="C1898" s="3" t="s">
        <v>3</v>
      </c>
      <c r="D1898" s="3" t="s">
        <v>3</v>
      </c>
      <c r="E1898" s="3" t="s">
        <v>4</v>
      </c>
      <c r="H1898"/>
      <c r="I1898" s="3"/>
    </row>
    <row r="1899" spans="1:9" hidden="1" x14ac:dyDescent="0.25">
      <c r="A1899" s="3" t="s">
        <v>3789</v>
      </c>
      <c r="B1899" s="3" t="s">
        <v>3790</v>
      </c>
      <c r="C1899" s="3" t="s">
        <v>3</v>
      </c>
      <c r="D1899" s="3" t="s">
        <v>3</v>
      </c>
      <c r="E1899" s="3" t="s">
        <v>4</v>
      </c>
      <c r="H1899"/>
      <c r="I1899" s="3"/>
    </row>
    <row r="1900" spans="1:9" hidden="1" x14ac:dyDescent="0.25">
      <c r="A1900" s="3" t="s">
        <v>3791</v>
      </c>
      <c r="B1900" s="3" t="s">
        <v>3792</v>
      </c>
      <c r="C1900" s="3" t="s">
        <v>3</v>
      </c>
      <c r="D1900" s="3" t="s">
        <v>3</v>
      </c>
      <c r="E1900" s="3" t="s">
        <v>4</v>
      </c>
      <c r="H1900"/>
      <c r="I1900" s="3"/>
    </row>
    <row r="1901" spans="1:9" hidden="1" x14ac:dyDescent="0.25">
      <c r="A1901" s="3" t="s">
        <v>3793</v>
      </c>
      <c r="B1901" s="3" t="s">
        <v>3794</v>
      </c>
      <c r="C1901" s="3" t="s">
        <v>3</v>
      </c>
      <c r="D1901" s="3" t="s">
        <v>3</v>
      </c>
      <c r="E1901" s="3" t="s">
        <v>4</v>
      </c>
      <c r="H1901"/>
      <c r="I1901" s="3"/>
    </row>
    <row r="1902" spans="1:9" hidden="1" x14ac:dyDescent="0.25">
      <c r="A1902" s="3" t="s">
        <v>3795</v>
      </c>
      <c r="B1902" s="3" t="s">
        <v>3796</v>
      </c>
      <c r="C1902" s="3" t="s">
        <v>3</v>
      </c>
      <c r="D1902" s="3" t="s">
        <v>3</v>
      </c>
      <c r="E1902" s="3" t="s">
        <v>4</v>
      </c>
      <c r="H1902"/>
      <c r="I1902" s="3"/>
    </row>
    <row r="1903" spans="1:9" hidden="1" x14ac:dyDescent="0.25">
      <c r="A1903" s="3" t="s">
        <v>3797</v>
      </c>
      <c r="B1903" s="3" t="s">
        <v>3798</v>
      </c>
      <c r="C1903" s="3" t="s">
        <v>3</v>
      </c>
      <c r="D1903" s="3" t="s">
        <v>3</v>
      </c>
      <c r="E1903" s="3" t="s">
        <v>4</v>
      </c>
      <c r="H1903"/>
      <c r="I1903" s="3"/>
    </row>
    <row r="1904" spans="1:9" hidden="1" x14ac:dyDescent="0.25">
      <c r="A1904" s="3" t="s">
        <v>3799</v>
      </c>
      <c r="B1904" s="3" t="s">
        <v>3800</v>
      </c>
      <c r="C1904" s="3" t="s">
        <v>3</v>
      </c>
      <c r="D1904" s="3" t="s">
        <v>3</v>
      </c>
      <c r="E1904" s="3" t="s">
        <v>4</v>
      </c>
    </row>
    <row r="1905" spans="1:5" hidden="1" x14ac:dyDescent="0.25">
      <c r="A1905" s="3" t="s">
        <v>3801</v>
      </c>
      <c r="B1905" s="3" t="s">
        <v>3802</v>
      </c>
      <c r="C1905" s="3" t="s">
        <v>3</v>
      </c>
      <c r="D1905" s="3" t="s">
        <v>3</v>
      </c>
      <c r="E1905" s="3" t="s">
        <v>4</v>
      </c>
    </row>
    <row r="1906" spans="1:5" hidden="1" x14ac:dyDescent="0.25">
      <c r="A1906" s="3" t="s">
        <v>3803</v>
      </c>
      <c r="B1906" s="3" t="s">
        <v>3804</v>
      </c>
      <c r="C1906" s="3" t="s">
        <v>3</v>
      </c>
      <c r="D1906" s="3" t="s">
        <v>3</v>
      </c>
      <c r="E1906" s="3" t="s">
        <v>4</v>
      </c>
    </row>
    <row r="1907" spans="1:5" hidden="1" x14ac:dyDescent="0.25">
      <c r="A1907" s="3" t="s">
        <v>3805</v>
      </c>
      <c r="B1907" s="3" t="s">
        <v>3806</v>
      </c>
      <c r="C1907" s="3" t="s">
        <v>3</v>
      </c>
      <c r="D1907" s="3" t="s">
        <v>3</v>
      </c>
      <c r="E1907" s="3" t="s">
        <v>4</v>
      </c>
    </row>
    <row r="1908" spans="1:5" hidden="1" x14ac:dyDescent="0.25">
      <c r="A1908" s="3" t="s">
        <v>3807</v>
      </c>
      <c r="B1908" s="3" t="s">
        <v>3808</v>
      </c>
      <c r="C1908" s="3" t="s">
        <v>3</v>
      </c>
      <c r="D1908" s="3" t="s">
        <v>3</v>
      </c>
      <c r="E1908" s="3" t="s">
        <v>4</v>
      </c>
    </row>
    <row r="1909" spans="1:5" hidden="1" x14ac:dyDescent="0.25">
      <c r="A1909" s="3" t="s">
        <v>3809</v>
      </c>
      <c r="B1909" s="3" t="s">
        <v>3810</v>
      </c>
      <c r="C1909" s="3" t="s">
        <v>3</v>
      </c>
      <c r="D1909" s="3" t="s">
        <v>3</v>
      </c>
      <c r="E1909" s="3" t="s">
        <v>4</v>
      </c>
    </row>
    <row r="1910" spans="1:5" hidden="1" x14ac:dyDescent="0.25">
      <c r="A1910" s="3" t="s">
        <v>3811</v>
      </c>
      <c r="B1910" s="3" t="s">
        <v>3812</v>
      </c>
      <c r="C1910" s="3" t="s">
        <v>3</v>
      </c>
      <c r="D1910" s="3" t="s">
        <v>3</v>
      </c>
      <c r="E1910" s="3" t="s">
        <v>4</v>
      </c>
    </row>
    <row r="1911" spans="1:5" hidden="1" x14ac:dyDescent="0.25">
      <c r="A1911" s="3" t="s">
        <v>3813</v>
      </c>
      <c r="B1911" s="3" t="s">
        <v>3814</v>
      </c>
      <c r="C1911" s="3" t="s">
        <v>3</v>
      </c>
      <c r="D1911" s="3" t="s">
        <v>3</v>
      </c>
      <c r="E1911" s="3" t="s">
        <v>4</v>
      </c>
    </row>
    <row r="1912" spans="1:5" hidden="1" x14ac:dyDescent="0.25">
      <c r="A1912" s="3" t="s">
        <v>3815</v>
      </c>
      <c r="B1912" s="3" t="s">
        <v>3816</v>
      </c>
      <c r="C1912" s="3" t="s">
        <v>3</v>
      </c>
      <c r="D1912" s="3" t="s">
        <v>3</v>
      </c>
      <c r="E1912" s="3" t="s">
        <v>4</v>
      </c>
    </row>
    <row r="1913" spans="1:5" hidden="1" x14ac:dyDescent="0.25">
      <c r="A1913" s="3" t="s">
        <v>3817</v>
      </c>
      <c r="B1913" s="3" t="s">
        <v>3818</v>
      </c>
      <c r="C1913" s="3" t="s">
        <v>3</v>
      </c>
      <c r="D1913" s="3" t="s">
        <v>3</v>
      </c>
      <c r="E1913" s="3" t="s">
        <v>4</v>
      </c>
    </row>
    <row r="1914" spans="1:5" hidden="1" x14ac:dyDescent="0.25">
      <c r="A1914" s="3" t="s">
        <v>3819</v>
      </c>
      <c r="B1914" s="3" t="s">
        <v>3820</v>
      </c>
      <c r="C1914" s="3" t="s">
        <v>3</v>
      </c>
      <c r="D1914" s="3" t="s">
        <v>3</v>
      </c>
      <c r="E1914" s="3" t="s">
        <v>4</v>
      </c>
    </row>
    <row r="1915" spans="1:5" hidden="1" x14ac:dyDescent="0.25">
      <c r="A1915" s="3" t="s">
        <v>3821</v>
      </c>
      <c r="B1915" s="3" t="s">
        <v>3822</v>
      </c>
      <c r="C1915" s="3" t="s">
        <v>3</v>
      </c>
      <c r="D1915" s="3" t="s">
        <v>3</v>
      </c>
      <c r="E1915" s="3" t="s">
        <v>4</v>
      </c>
    </row>
    <row r="1916" spans="1:5" hidden="1" x14ac:dyDescent="0.25">
      <c r="A1916" s="3" t="s">
        <v>3823</v>
      </c>
      <c r="B1916" s="3" t="s">
        <v>3824</v>
      </c>
      <c r="C1916" s="3" t="s">
        <v>3</v>
      </c>
      <c r="D1916" s="3" t="s">
        <v>3</v>
      </c>
      <c r="E1916" s="3" t="s">
        <v>4</v>
      </c>
    </row>
    <row r="1917" spans="1:5" hidden="1" x14ac:dyDescent="0.25">
      <c r="A1917" s="3" t="s">
        <v>3825</v>
      </c>
      <c r="B1917" s="3" t="s">
        <v>3826</v>
      </c>
      <c r="C1917" s="3" t="s">
        <v>3</v>
      </c>
      <c r="D1917" s="3" t="s">
        <v>3</v>
      </c>
      <c r="E1917" s="3" t="s">
        <v>4</v>
      </c>
    </row>
    <row r="1918" spans="1:5" hidden="1" x14ac:dyDescent="0.25">
      <c r="A1918" s="3" t="s">
        <v>3827</v>
      </c>
      <c r="B1918" s="3" t="s">
        <v>3828</v>
      </c>
      <c r="C1918" s="3" t="s">
        <v>3</v>
      </c>
      <c r="D1918" s="3" t="s">
        <v>3</v>
      </c>
      <c r="E1918" s="3" t="s">
        <v>4</v>
      </c>
    </row>
    <row r="1919" spans="1:5" hidden="1" x14ac:dyDescent="0.25">
      <c r="A1919" s="3" t="s">
        <v>3829</v>
      </c>
      <c r="B1919" s="3" t="s">
        <v>3830</v>
      </c>
      <c r="C1919" s="3" t="s">
        <v>3</v>
      </c>
      <c r="D1919" s="3" t="s">
        <v>3</v>
      </c>
      <c r="E1919" s="3" t="s">
        <v>4</v>
      </c>
    </row>
    <row r="1920" spans="1:5" hidden="1" x14ac:dyDescent="0.25">
      <c r="A1920" s="3" t="s">
        <v>3831</v>
      </c>
      <c r="B1920" s="3" t="s">
        <v>3832</v>
      </c>
      <c r="C1920" s="3" t="s">
        <v>3</v>
      </c>
      <c r="D1920" s="3" t="s">
        <v>3</v>
      </c>
      <c r="E1920" s="3" t="s">
        <v>4</v>
      </c>
    </row>
    <row r="1921" spans="1:5" hidden="1" x14ac:dyDescent="0.25">
      <c r="A1921" s="3" t="s">
        <v>3833</v>
      </c>
      <c r="B1921" s="3" t="s">
        <v>3834</v>
      </c>
      <c r="C1921" s="3" t="s">
        <v>3</v>
      </c>
      <c r="D1921" s="3" t="s">
        <v>3</v>
      </c>
      <c r="E1921" s="3" t="s">
        <v>4</v>
      </c>
    </row>
    <row r="1922" spans="1:5" hidden="1" x14ac:dyDescent="0.25">
      <c r="A1922" s="3" t="s">
        <v>3835</v>
      </c>
      <c r="B1922" s="3" t="s">
        <v>3836</v>
      </c>
      <c r="C1922" s="3" t="s">
        <v>3</v>
      </c>
      <c r="D1922" s="3" t="s">
        <v>3</v>
      </c>
      <c r="E1922" s="3" t="s">
        <v>4</v>
      </c>
    </row>
    <row r="1923" spans="1:5" hidden="1" x14ac:dyDescent="0.25">
      <c r="A1923" s="3" t="s">
        <v>3837</v>
      </c>
      <c r="B1923" s="3" t="s">
        <v>3838</v>
      </c>
      <c r="C1923" s="3" t="s">
        <v>3</v>
      </c>
      <c r="D1923" s="3" t="s">
        <v>3</v>
      </c>
      <c r="E1923" s="3" t="s">
        <v>4</v>
      </c>
    </row>
    <row r="1924" spans="1:5" hidden="1" x14ac:dyDescent="0.25">
      <c r="A1924" s="3" t="s">
        <v>3839</v>
      </c>
      <c r="B1924" s="3" t="s">
        <v>3840</v>
      </c>
      <c r="C1924" s="3" t="s">
        <v>3</v>
      </c>
      <c r="D1924" s="3" t="s">
        <v>3</v>
      </c>
      <c r="E1924" s="3" t="s">
        <v>4</v>
      </c>
    </row>
    <row r="1925" spans="1:5" hidden="1" x14ac:dyDescent="0.25">
      <c r="A1925" s="3" t="s">
        <v>3841</v>
      </c>
      <c r="B1925" s="3" t="s">
        <v>3842</v>
      </c>
      <c r="C1925" s="3" t="s">
        <v>3</v>
      </c>
      <c r="D1925" s="3" t="s">
        <v>3</v>
      </c>
      <c r="E1925" s="3" t="s">
        <v>4</v>
      </c>
    </row>
    <row r="1926" spans="1:5" hidden="1" x14ac:dyDescent="0.25">
      <c r="A1926" s="3" t="s">
        <v>3843</v>
      </c>
      <c r="B1926" s="3" t="s">
        <v>3844</v>
      </c>
      <c r="C1926" s="3" t="s">
        <v>3</v>
      </c>
      <c r="D1926" s="3" t="s">
        <v>3</v>
      </c>
      <c r="E1926" s="3" t="s">
        <v>4</v>
      </c>
    </row>
    <row r="1927" spans="1:5" hidden="1" x14ac:dyDescent="0.25">
      <c r="A1927" s="3" t="s">
        <v>3845</v>
      </c>
      <c r="B1927" s="3" t="s">
        <v>3846</v>
      </c>
      <c r="C1927" s="3" t="s">
        <v>3</v>
      </c>
      <c r="D1927" s="3" t="s">
        <v>3</v>
      </c>
      <c r="E1927" s="3" t="s">
        <v>4</v>
      </c>
    </row>
    <row r="1928" spans="1:5" hidden="1" x14ac:dyDescent="0.25">
      <c r="A1928" s="3" t="s">
        <v>3847</v>
      </c>
      <c r="B1928" s="3" t="s">
        <v>3848</v>
      </c>
      <c r="C1928" s="3" t="s">
        <v>3</v>
      </c>
      <c r="D1928" s="3" t="s">
        <v>3</v>
      </c>
      <c r="E1928" s="3" t="s">
        <v>4</v>
      </c>
    </row>
    <row r="1929" spans="1:5" hidden="1" x14ac:dyDescent="0.25">
      <c r="A1929" s="3" t="s">
        <v>3849</v>
      </c>
      <c r="B1929" s="3" t="s">
        <v>3850</v>
      </c>
      <c r="C1929" s="3" t="s">
        <v>3</v>
      </c>
      <c r="D1929" s="3" t="s">
        <v>3</v>
      </c>
      <c r="E1929" s="3" t="s">
        <v>4</v>
      </c>
    </row>
    <row r="1930" spans="1:5" hidden="1" x14ac:dyDescent="0.25">
      <c r="A1930" s="3" t="s">
        <v>3851</v>
      </c>
      <c r="B1930" s="3" t="s">
        <v>3852</v>
      </c>
      <c r="C1930" s="3" t="s">
        <v>3</v>
      </c>
      <c r="D1930" s="3" t="s">
        <v>3</v>
      </c>
      <c r="E1930" s="3" t="s">
        <v>4</v>
      </c>
    </row>
    <row r="1931" spans="1:5" hidden="1" x14ac:dyDescent="0.25">
      <c r="A1931" s="3" t="s">
        <v>3853</v>
      </c>
      <c r="B1931" s="3" t="s">
        <v>3854</v>
      </c>
      <c r="C1931" s="3" t="s">
        <v>3</v>
      </c>
      <c r="D1931" s="3" t="s">
        <v>3</v>
      </c>
      <c r="E1931" s="3" t="s">
        <v>4</v>
      </c>
    </row>
    <row r="1932" spans="1:5" hidden="1" x14ac:dyDescent="0.25">
      <c r="A1932" s="3" t="s">
        <v>3855</v>
      </c>
      <c r="B1932" s="3" t="s">
        <v>3856</v>
      </c>
      <c r="C1932" s="3" t="s">
        <v>3</v>
      </c>
      <c r="D1932" s="3" t="s">
        <v>3</v>
      </c>
      <c r="E1932" s="3" t="s">
        <v>4</v>
      </c>
    </row>
    <row r="1933" spans="1:5" hidden="1" x14ac:dyDescent="0.25">
      <c r="A1933" s="3" t="s">
        <v>3857</v>
      </c>
      <c r="B1933" s="3" t="s">
        <v>3858</v>
      </c>
      <c r="C1933" s="3" t="s">
        <v>3</v>
      </c>
      <c r="D1933" s="3" t="s">
        <v>3</v>
      </c>
      <c r="E1933" s="3" t="s">
        <v>4</v>
      </c>
    </row>
    <row r="1934" spans="1:5" hidden="1" x14ac:dyDescent="0.25">
      <c r="A1934" s="3" t="s">
        <v>3859</v>
      </c>
      <c r="B1934" s="3" t="s">
        <v>3860</v>
      </c>
      <c r="C1934" s="3" t="s">
        <v>3</v>
      </c>
      <c r="D1934" s="3" t="s">
        <v>3</v>
      </c>
      <c r="E1934" s="3" t="s">
        <v>4</v>
      </c>
    </row>
    <row r="1935" spans="1:5" hidden="1" x14ac:dyDescent="0.25">
      <c r="A1935" s="3" t="s">
        <v>3861</v>
      </c>
      <c r="B1935" s="3" t="s">
        <v>3862</v>
      </c>
      <c r="C1935" s="3" t="s">
        <v>3</v>
      </c>
      <c r="D1935" s="3" t="s">
        <v>3</v>
      </c>
      <c r="E1935" s="3" t="s">
        <v>4</v>
      </c>
    </row>
    <row r="1936" spans="1:5" hidden="1" x14ac:dyDescent="0.25">
      <c r="A1936" s="3" t="s">
        <v>3863</v>
      </c>
      <c r="B1936" s="3" t="s">
        <v>3864</v>
      </c>
      <c r="C1936" s="3" t="s">
        <v>3</v>
      </c>
      <c r="D1936" s="3" t="s">
        <v>3</v>
      </c>
      <c r="E1936" s="3" t="s">
        <v>4</v>
      </c>
    </row>
    <row r="1937" spans="1:5" hidden="1" x14ac:dyDescent="0.25">
      <c r="A1937" s="3" t="s">
        <v>3865</v>
      </c>
      <c r="B1937" s="3" t="s">
        <v>3866</v>
      </c>
      <c r="C1937" s="3" t="s">
        <v>3</v>
      </c>
      <c r="D1937" s="3" t="s">
        <v>3</v>
      </c>
      <c r="E1937" s="3" t="s">
        <v>4</v>
      </c>
    </row>
    <row r="1938" spans="1:5" hidden="1" x14ac:dyDescent="0.25">
      <c r="A1938" s="3" t="s">
        <v>3867</v>
      </c>
      <c r="B1938" s="3" t="s">
        <v>3868</v>
      </c>
      <c r="C1938" s="3" t="s">
        <v>3</v>
      </c>
      <c r="D1938" s="3" t="s">
        <v>3</v>
      </c>
      <c r="E1938" s="3" t="s">
        <v>4</v>
      </c>
    </row>
    <row r="1939" spans="1:5" hidden="1" x14ac:dyDescent="0.25">
      <c r="A1939" s="3" t="s">
        <v>3869</v>
      </c>
      <c r="B1939" s="3" t="s">
        <v>3870</v>
      </c>
      <c r="C1939" s="3" t="s">
        <v>3</v>
      </c>
      <c r="D1939" s="3" t="s">
        <v>3</v>
      </c>
      <c r="E1939" s="3" t="s">
        <v>4</v>
      </c>
    </row>
    <row r="1940" spans="1:5" hidden="1" x14ac:dyDescent="0.25">
      <c r="A1940" s="3" t="s">
        <v>3871</v>
      </c>
      <c r="B1940" s="3" t="s">
        <v>3872</v>
      </c>
      <c r="C1940" s="3" t="s">
        <v>3</v>
      </c>
      <c r="D1940" s="3" t="s">
        <v>3</v>
      </c>
      <c r="E1940" s="3" t="s">
        <v>4</v>
      </c>
    </row>
    <row r="1941" spans="1:5" hidden="1" x14ac:dyDescent="0.25">
      <c r="A1941" s="3" t="s">
        <v>3873</v>
      </c>
      <c r="B1941" s="3" t="s">
        <v>3874</v>
      </c>
      <c r="C1941" s="3" t="s">
        <v>3</v>
      </c>
      <c r="D1941" s="3" t="s">
        <v>3</v>
      </c>
      <c r="E1941" s="3" t="s">
        <v>4</v>
      </c>
    </row>
    <row r="1942" spans="1:5" hidden="1" x14ac:dyDescent="0.25">
      <c r="A1942" s="3" t="s">
        <v>3875</v>
      </c>
      <c r="B1942" s="3" t="s">
        <v>3876</v>
      </c>
      <c r="C1942" s="3" t="s">
        <v>3</v>
      </c>
      <c r="D1942" s="3" t="s">
        <v>3</v>
      </c>
      <c r="E1942" s="3" t="s">
        <v>4</v>
      </c>
    </row>
    <row r="1943" spans="1:5" hidden="1" x14ac:dyDescent="0.25">
      <c r="A1943" s="3" t="s">
        <v>3877</v>
      </c>
      <c r="B1943" s="3" t="s">
        <v>3878</v>
      </c>
      <c r="C1943" s="3" t="s">
        <v>3</v>
      </c>
      <c r="D1943" s="3" t="s">
        <v>3</v>
      </c>
      <c r="E1943" s="3" t="s">
        <v>4</v>
      </c>
    </row>
    <row r="1944" spans="1:5" hidden="1" x14ac:dyDescent="0.25">
      <c r="A1944" s="3" t="s">
        <v>3879</v>
      </c>
      <c r="B1944" s="3" t="s">
        <v>3880</v>
      </c>
      <c r="C1944" s="3" t="s">
        <v>3</v>
      </c>
      <c r="D1944" s="3" t="s">
        <v>3</v>
      </c>
      <c r="E1944" s="3" t="s">
        <v>4</v>
      </c>
    </row>
    <row r="1945" spans="1:5" hidden="1" x14ac:dyDescent="0.25">
      <c r="A1945" s="3" t="s">
        <v>3881</v>
      </c>
      <c r="B1945" s="3" t="s">
        <v>3882</v>
      </c>
      <c r="C1945" s="3" t="s">
        <v>3</v>
      </c>
      <c r="D1945" s="3" t="s">
        <v>3</v>
      </c>
      <c r="E1945" s="3" t="s">
        <v>4</v>
      </c>
    </row>
    <row r="1946" spans="1:5" hidden="1" x14ac:dyDescent="0.25">
      <c r="A1946" s="3" t="s">
        <v>3883</v>
      </c>
      <c r="B1946" s="3" t="s">
        <v>3884</v>
      </c>
      <c r="C1946" s="3" t="s">
        <v>3</v>
      </c>
      <c r="D1946" s="3" t="s">
        <v>3</v>
      </c>
      <c r="E1946" s="3" t="s">
        <v>4</v>
      </c>
    </row>
    <row r="1947" spans="1:5" hidden="1" x14ac:dyDescent="0.25">
      <c r="A1947" s="3" t="s">
        <v>3885</v>
      </c>
      <c r="B1947" s="3" t="s">
        <v>3886</v>
      </c>
      <c r="C1947" s="3" t="s">
        <v>3</v>
      </c>
      <c r="D1947" s="3" t="s">
        <v>3</v>
      </c>
      <c r="E1947" s="3" t="s">
        <v>4</v>
      </c>
    </row>
    <row r="1948" spans="1:5" hidden="1" x14ac:dyDescent="0.25">
      <c r="A1948" s="3" t="s">
        <v>3887</v>
      </c>
      <c r="B1948" s="3" t="s">
        <v>3888</v>
      </c>
      <c r="C1948" s="3" t="s">
        <v>3</v>
      </c>
      <c r="D1948" s="3" t="s">
        <v>3</v>
      </c>
      <c r="E1948" s="3" t="s">
        <v>4</v>
      </c>
    </row>
    <row r="1949" spans="1:5" hidden="1" x14ac:dyDescent="0.25">
      <c r="A1949" s="3" t="s">
        <v>3889</v>
      </c>
      <c r="B1949" s="3" t="s">
        <v>3890</v>
      </c>
      <c r="C1949" s="3" t="s">
        <v>3</v>
      </c>
      <c r="D1949" s="3" t="s">
        <v>3</v>
      </c>
      <c r="E1949" s="3" t="s">
        <v>4</v>
      </c>
    </row>
    <row r="1950" spans="1:5" hidden="1" x14ac:dyDescent="0.25">
      <c r="A1950" s="3" t="s">
        <v>3891</v>
      </c>
      <c r="B1950" s="3" t="s">
        <v>3892</v>
      </c>
      <c r="C1950" s="3" t="s">
        <v>3</v>
      </c>
      <c r="D1950" s="3" t="s">
        <v>3</v>
      </c>
      <c r="E1950" s="3" t="s">
        <v>4</v>
      </c>
    </row>
    <row r="1951" spans="1:5" hidden="1" x14ac:dyDescent="0.25">
      <c r="A1951" s="3" t="s">
        <v>3893</v>
      </c>
      <c r="B1951" s="3" t="s">
        <v>3894</v>
      </c>
      <c r="C1951" s="3" t="s">
        <v>3</v>
      </c>
      <c r="D1951" s="3" t="s">
        <v>3</v>
      </c>
      <c r="E1951" s="3" t="s">
        <v>4</v>
      </c>
    </row>
    <row r="1952" spans="1:5" hidden="1" x14ac:dyDescent="0.25">
      <c r="A1952" s="3" t="s">
        <v>3895</v>
      </c>
      <c r="B1952" s="3" t="s">
        <v>3896</v>
      </c>
      <c r="C1952" s="3" t="s">
        <v>3</v>
      </c>
      <c r="D1952" s="3" t="s">
        <v>3</v>
      </c>
      <c r="E1952" s="3" t="s">
        <v>4</v>
      </c>
    </row>
    <row r="1953" spans="1:5" hidden="1" x14ac:dyDescent="0.25">
      <c r="A1953" s="3" t="s">
        <v>3897</v>
      </c>
      <c r="B1953" s="3" t="s">
        <v>3898</v>
      </c>
      <c r="C1953" s="3" t="s">
        <v>3</v>
      </c>
      <c r="D1953" s="3" t="s">
        <v>3</v>
      </c>
      <c r="E1953" s="3" t="s">
        <v>4</v>
      </c>
    </row>
    <row r="1954" spans="1:5" hidden="1" x14ac:dyDescent="0.25">
      <c r="A1954" s="3" t="s">
        <v>3899</v>
      </c>
      <c r="B1954" s="3" t="s">
        <v>3900</v>
      </c>
      <c r="C1954" s="3" t="s">
        <v>3</v>
      </c>
      <c r="D1954" s="3" t="s">
        <v>3</v>
      </c>
      <c r="E1954" s="3" t="s">
        <v>4</v>
      </c>
    </row>
    <row r="1955" spans="1:5" hidden="1" x14ac:dyDescent="0.25">
      <c r="A1955" s="3" t="s">
        <v>3901</v>
      </c>
      <c r="B1955" s="3" t="s">
        <v>3902</v>
      </c>
      <c r="C1955" s="3" t="s">
        <v>3</v>
      </c>
      <c r="D1955" s="3" t="s">
        <v>3</v>
      </c>
      <c r="E1955" s="3" t="s">
        <v>4</v>
      </c>
    </row>
    <row r="1956" spans="1:5" hidden="1" x14ac:dyDescent="0.25">
      <c r="A1956" s="3" t="s">
        <v>3903</v>
      </c>
      <c r="B1956" s="3" t="s">
        <v>3904</v>
      </c>
      <c r="C1956" s="3" t="s">
        <v>3</v>
      </c>
      <c r="D1956" s="3" t="s">
        <v>3</v>
      </c>
      <c r="E1956" s="3" t="s">
        <v>4</v>
      </c>
    </row>
    <row r="1957" spans="1:5" hidden="1" x14ac:dyDescent="0.25">
      <c r="A1957" s="3" t="s">
        <v>3905</v>
      </c>
      <c r="B1957" s="3" t="s">
        <v>3906</v>
      </c>
      <c r="C1957" s="3" t="s">
        <v>3</v>
      </c>
      <c r="D1957" s="3" t="s">
        <v>3</v>
      </c>
      <c r="E1957" s="3" t="s">
        <v>4</v>
      </c>
    </row>
    <row r="1958" spans="1:5" hidden="1" x14ac:dyDescent="0.25">
      <c r="A1958" s="3" t="s">
        <v>3907</v>
      </c>
      <c r="B1958" s="3" t="s">
        <v>3908</v>
      </c>
      <c r="C1958" s="3" t="s">
        <v>3</v>
      </c>
      <c r="D1958" s="3" t="s">
        <v>3</v>
      </c>
      <c r="E1958" s="3" t="s">
        <v>4</v>
      </c>
    </row>
    <row r="1959" spans="1:5" hidden="1" x14ac:dyDescent="0.25">
      <c r="A1959" s="3" t="s">
        <v>3909</v>
      </c>
      <c r="B1959" s="3" t="s">
        <v>3910</v>
      </c>
      <c r="C1959" s="3" t="s">
        <v>3</v>
      </c>
      <c r="D1959" s="3" t="s">
        <v>3</v>
      </c>
      <c r="E1959" s="3" t="s">
        <v>4</v>
      </c>
    </row>
    <row r="1960" spans="1:5" hidden="1" x14ac:dyDescent="0.25">
      <c r="A1960" s="3" t="s">
        <v>3911</v>
      </c>
      <c r="B1960" s="3" t="s">
        <v>3912</v>
      </c>
      <c r="C1960" s="3" t="s">
        <v>3</v>
      </c>
      <c r="D1960" s="3" t="s">
        <v>3</v>
      </c>
      <c r="E1960" s="3" t="s">
        <v>4</v>
      </c>
    </row>
    <row r="1961" spans="1:5" hidden="1" x14ac:dyDescent="0.25">
      <c r="A1961" s="3" t="s">
        <v>3913</v>
      </c>
      <c r="B1961" s="3" t="s">
        <v>3914</v>
      </c>
      <c r="C1961" s="3" t="s">
        <v>3</v>
      </c>
      <c r="D1961" s="3" t="s">
        <v>3</v>
      </c>
      <c r="E1961" s="3" t="s">
        <v>4</v>
      </c>
    </row>
    <row r="1962" spans="1:5" hidden="1" x14ac:dyDescent="0.25">
      <c r="A1962" s="3" t="s">
        <v>3915</v>
      </c>
      <c r="B1962" s="3" t="s">
        <v>3916</v>
      </c>
      <c r="C1962" s="3" t="s">
        <v>3</v>
      </c>
      <c r="D1962" s="3" t="s">
        <v>3</v>
      </c>
      <c r="E1962" s="3" t="s">
        <v>4</v>
      </c>
    </row>
    <row r="1963" spans="1:5" hidden="1" x14ac:dyDescent="0.25">
      <c r="A1963" s="3" t="s">
        <v>3917</v>
      </c>
      <c r="B1963" s="3" t="s">
        <v>3918</v>
      </c>
      <c r="C1963" s="3" t="s">
        <v>3</v>
      </c>
      <c r="D1963" s="3" t="s">
        <v>3</v>
      </c>
      <c r="E1963" s="3" t="s">
        <v>4</v>
      </c>
    </row>
    <row r="1964" spans="1:5" hidden="1" x14ac:dyDescent="0.25">
      <c r="A1964" s="3" t="s">
        <v>3919</v>
      </c>
      <c r="B1964" s="3" t="s">
        <v>3920</v>
      </c>
      <c r="C1964" s="3" t="s">
        <v>3</v>
      </c>
      <c r="D1964" s="3" t="s">
        <v>3</v>
      </c>
      <c r="E1964" s="3" t="s">
        <v>4</v>
      </c>
    </row>
    <row r="1965" spans="1:5" hidden="1" x14ac:dyDescent="0.25">
      <c r="A1965" s="3" t="s">
        <v>3921</v>
      </c>
      <c r="B1965" s="3" t="s">
        <v>3922</v>
      </c>
      <c r="C1965" s="3" t="s">
        <v>3</v>
      </c>
      <c r="D1965" s="3" t="s">
        <v>3</v>
      </c>
      <c r="E1965" s="3" t="s">
        <v>4</v>
      </c>
    </row>
    <row r="1966" spans="1:5" hidden="1" x14ac:dyDescent="0.25">
      <c r="A1966" s="3" t="s">
        <v>3923</v>
      </c>
      <c r="B1966" s="3" t="s">
        <v>3924</v>
      </c>
      <c r="C1966" s="3" t="s">
        <v>3</v>
      </c>
      <c r="D1966" s="3" t="s">
        <v>3</v>
      </c>
      <c r="E1966" s="3" t="s">
        <v>4</v>
      </c>
    </row>
    <row r="1967" spans="1:5" hidden="1" x14ac:dyDescent="0.25">
      <c r="A1967" s="3" t="s">
        <v>3925</v>
      </c>
      <c r="B1967" s="3" t="s">
        <v>3926</v>
      </c>
      <c r="C1967" s="3" t="s">
        <v>3</v>
      </c>
      <c r="D1967" s="3" t="s">
        <v>3</v>
      </c>
      <c r="E1967" s="3" t="s">
        <v>4</v>
      </c>
    </row>
    <row r="1968" spans="1:5" hidden="1" x14ac:dyDescent="0.25">
      <c r="A1968" s="3" t="s">
        <v>3927</v>
      </c>
      <c r="B1968" s="3" t="s">
        <v>3928</v>
      </c>
      <c r="C1968" s="3" t="s">
        <v>3</v>
      </c>
      <c r="D1968" s="3" t="s">
        <v>3</v>
      </c>
      <c r="E1968" s="3" t="s">
        <v>4</v>
      </c>
    </row>
    <row r="1969" spans="1:5" hidden="1" x14ac:dyDescent="0.25">
      <c r="A1969" s="3" t="s">
        <v>3929</v>
      </c>
      <c r="B1969" s="3" t="s">
        <v>3930</v>
      </c>
      <c r="C1969" s="3" t="s">
        <v>3</v>
      </c>
      <c r="D1969" s="3" t="s">
        <v>3</v>
      </c>
      <c r="E1969" s="3" t="s">
        <v>4</v>
      </c>
    </row>
    <row r="1970" spans="1:5" hidden="1" x14ac:dyDescent="0.25">
      <c r="A1970" s="3" t="s">
        <v>3931</v>
      </c>
      <c r="B1970" s="3" t="s">
        <v>3932</v>
      </c>
      <c r="C1970" s="3" t="s">
        <v>3</v>
      </c>
      <c r="D1970" s="3" t="s">
        <v>3</v>
      </c>
      <c r="E1970" s="3" t="s">
        <v>4</v>
      </c>
    </row>
    <row r="1971" spans="1:5" hidden="1" x14ac:dyDescent="0.25">
      <c r="A1971" s="3" t="s">
        <v>3933</v>
      </c>
      <c r="B1971" s="3" t="s">
        <v>3934</v>
      </c>
      <c r="C1971" s="3" t="s">
        <v>3</v>
      </c>
      <c r="D1971" s="3" t="s">
        <v>3</v>
      </c>
      <c r="E1971" s="3" t="s">
        <v>4</v>
      </c>
    </row>
    <row r="1972" spans="1:5" hidden="1" x14ac:dyDescent="0.25">
      <c r="A1972" s="3" t="s">
        <v>3935</v>
      </c>
      <c r="B1972" s="3" t="s">
        <v>3936</v>
      </c>
      <c r="C1972" s="3" t="s">
        <v>3</v>
      </c>
      <c r="D1972" s="3" t="s">
        <v>3</v>
      </c>
      <c r="E1972" s="3" t="s">
        <v>4</v>
      </c>
    </row>
    <row r="1973" spans="1:5" hidden="1" x14ac:dyDescent="0.25">
      <c r="A1973" s="3" t="s">
        <v>3937</v>
      </c>
      <c r="B1973" s="3" t="s">
        <v>3938</v>
      </c>
      <c r="C1973" s="3" t="s">
        <v>3</v>
      </c>
      <c r="D1973" s="3" t="s">
        <v>3</v>
      </c>
      <c r="E1973" s="3" t="s">
        <v>4</v>
      </c>
    </row>
    <row r="1974" spans="1:5" hidden="1" x14ac:dyDescent="0.25">
      <c r="A1974" s="3" t="s">
        <v>3939</v>
      </c>
      <c r="B1974" s="3" t="s">
        <v>3940</v>
      </c>
      <c r="C1974" s="3" t="s">
        <v>3</v>
      </c>
      <c r="D1974" s="3" t="s">
        <v>3</v>
      </c>
      <c r="E1974" s="3" t="s">
        <v>4</v>
      </c>
    </row>
    <row r="1975" spans="1:5" hidden="1" x14ac:dyDescent="0.25">
      <c r="A1975" s="3" t="s">
        <v>3941</v>
      </c>
      <c r="B1975" s="3" t="s">
        <v>3942</v>
      </c>
      <c r="C1975" s="3" t="s">
        <v>3</v>
      </c>
      <c r="D1975" s="3" t="s">
        <v>3</v>
      </c>
      <c r="E1975" s="3" t="s">
        <v>4</v>
      </c>
    </row>
    <row r="1976" spans="1:5" hidden="1" x14ac:dyDescent="0.25">
      <c r="A1976" s="3" t="s">
        <v>3943</v>
      </c>
      <c r="B1976" s="3" t="s">
        <v>3944</v>
      </c>
      <c r="C1976" s="3" t="s">
        <v>3</v>
      </c>
      <c r="D1976" s="3" t="s">
        <v>3</v>
      </c>
      <c r="E1976" s="3" t="s">
        <v>4</v>
      </c>
    </row>
    <row r="1977" spans="1:5" hidden="1" x14ac:dyDescent="0.25">
      <c r="A1977" s="3" t="s">
        <v>3945</v>
      </c>
      <c r="B1977" s="3" t="s">
        <v>3946</v>
      </c>
      <c r="C1977" s="3" t="s">
        <v>3</v>
      </c>
      <c r="D1977" s="3" t="s">
        <v>3</v>
      </c>
      <c r="E1977" s="3" t="s">
        <v>4</v>
      </c>
    </row>
    <row r="1978" spans="1:5" hidden="1" x14ac:dyDescent="0.25">
      <c r="A1978" s="3" t="s">
        <v>3947</v>
      </c>
      <c r="B1978" s="3" t="s">
        <v>3948</v>
      </c>
      <c r="C1978" s="3" t="s">
        <v>3</v>
      </c>
      <c r="D1978" s="3" t="s">
        <v>3</v>
      </c>
      <c r="E1978" s="3" t="s">
        <v>4</v>
      </c>
    </row>
    <row r="1979" spans="1:5" hidden="1" x14ac:dyDescent="0.25">
      <c r="A1979" s="3" t="s">
        <v>3949</v>
      </c>
      <c r="B1979" s="3" t="s">
        <v>3950</v>
      </c>
      <c r="C1979" s="3" t="s">
        <v>3</v>
      </c>
      <c r="D1979" s="3" t="s">
        <v>3</v>
      </c>
      <c r="E1979" s="3" t="s">
        <v>4</v>
      </c>
    </row>
    <row r="1980" spans="1:5" hidden="1" x14ac:dyDescent="0.25">
      <c r="A1980" s="3" t="s">
        <v>3951</v>
      </c>
      <c r="B1980" s="3" t="s">
        <v>3952</v>
      </c>
      <c r="C1980" s="3" t="s">
        <v>3</v>
      </c>
      <c r="D1980" s="3" t="s">
        <v>3</v>
      </c>
      <c r="E1980" s="3" t="s">
        <v>4</v>
      </c>
    </row>
    <row r="1981" spans="1:5" hidden="1" x14ac:dyDescent="0.25">
      <c r="A1981" s="3" t="s">
        <v>3953</v>
      </c>
      <c r="B1981" s="3" t="s">
        <v>3954</v>
      </c>
      <c r="C1981" s="3" t="s">
        <v>3</v>
      </c>
      <c r="D1981" s="3" t="s">
        <v>3</v>
      </c>
      <c r="E1981" s="3" t="s">
        <v>4</v>
      </c>
    </row>
    <row r="1982" spans="1:5" hidden="1" x14ac:dyDescent="0.25">
      <c r="A1982" s="3" t="s">
        <v>3955</v>
      </c>
      <c r="B1982" s="3" t="s">
        <v>3956</v>
      </c>
      <c r="C1982" s="3" t="s">
        <v>3</v>
      </c>
      <c r="D1982" s="3" t="s">
        <v>3</v>
      </c>
      <c r="E1982" s="3" t="s">
        <v>4</v>
      </c>
    </row>
    <row r="1983" spans="1:5" hidden="1" x14ac:dyDescent="0.25">
      <c r="A1983" s="3" t="s">
        <v>3957</v>
      </c>
      <c r="B1983" s="3" t="s">
        <v>3958</v>
      </c>
      <c r="C1983" s="3" t="s">
        <v>3</v>
      </c>
      <c r="D1983" s="3" t="s">
        <v>3</v>
      </c>
      <c r="E1983" s="3" t="s">
        <v>4</v>
      </c>
    </row>
    <row r="1984" spans="1:5" hidden="1" x14ac:dyDescent="0.25">
      <c r="A1984" s="3" t="s">
        <v>3959</v>
      </c>
      <c r="B1984" s="3" t="s">
        <v>3960</v>
      </c>
      <c r="C1984" s="3" t="s">
        <v>3</v>
      </c>
      <c r="D1984" s="3" t="s">
        <v>3</v>
      </c>
      <c r="E1984" s="3" t="s">
        <v>4</v>
      </c>
    </row>
    <row r="1985" spans="1:5" hidden="1" x14ac:dyDescent="0.25">
      <c r="A1985" s="3" t="s">
        <v>3961</v>
      </c>
      <c r="B1985" s="3" t="s">
        <v>3962</v>
      </c>
      <c r="C1985" s="3" t="s">
        <v>3</v>
      </c>
      <c r="D1985" s="3" t="s">
        <v>3</v>
      </c>
      <c r="E1985" s="3" t="s">
        <v>4</v>
      </c>
    </row>
    <row r="1986" spans="1:5" hidden="1" x14ac:dyDescent="0.25">
      <c r="A1986" s="3" t="s">
        <v>3963</v>
      </c>
      <c r="B1986" s="3" t="s">
        <v>3964</v>
      </c>
      <c r="C1986" s="3" t="s">
        <v>3</v>
      </c>
      <c r="D1986" s="3" t="s">
        <v>3</v>
      </c>
      <c r="E1986" s="3" t="s">
        <v>4</v>
      </c>
    </row>
    <row r="1987" spans="1:5" hidden="1" x14ac:dyDescent="0.25">
      <c r="A1987" s="3" t="s">
        <v>3965</v>
      </c>
      <c r="B1987" s="3" t="s">
        <v>3966</v>
      </c>
      <c r="C1987" s="3" t="s">
        <v>3</v>
      </c>
      <c r="D1987" s="3" t="s">
        <v>3</v>
      </c>
      <c r="E1987" s="3" t="s">
        <v>4</v>
      </c>
    </row>
    <row r="1988" spans="1:5" hidden="1" x14ac:dyDescent="0.25">
      <c r="A1988" s="3" t="s">
        <v>3967</v>
      </c>
      <c r="B1988" s="3" t="s">
        <v>3968</v>
      </c>
      <c r="C1988" s="3" t="s">
        <v>3</v>
      </c>
      <c r="D1988" s="3" t="s">
        <v>3</v>
      </c>
      <c r="E1988" s="3" t="s">
        <v>4</v>
      </c>
    </row>
    <row r="1989" spans="1:5" hidden="1" x14ac:dyDescent="0.25">
      <c r="A1989" s="3" t="s">
        <v>3969</v>
      </c>
      <c r="B1989" s="3" t="s">
        <v>3970</v>
      </c>
      <c r="C1989" s="3" t="s">
        <v>3</v>
      </c>
      <c r="D1989" s="3" t="s">
        <v>3</v>
      </c>
      <c r="E1989" s="3" t="s">
        <v>4</v>
      </c>
    </row>
    <row r="1990" spans="1:5" hidden="1" x14ac:dyDescent="0.25">
      <c r="A1990" s="3" t="s">
        <v>3971</v>
      </c>
      <c r="B1990" s="3" t="s">
        <v>3972</v>
      </c>
      <c r="C1990" s="3" t="s">
        <v>3</v>
      </c>
      <c r="D1990" s="3" t="s">
        <v>3</v>
      </c>
      <c r="E1990" s="3" t="s">
        <v>4</v>
      </c>
    </row>
    <row r="1991" spans="1:5" hidden="1" x14ac:dyDescent="0.25">
      <c r="A1991" s="3" t="s">
        <v>3973</v>
      </c>
      <c r="B1991" s="3" t="s">
        <v>3974</v>
      </c>
      <c r="C1991" s="3" t="s">
        <v>3</v>
      </c>
      <c r="D1991" s="3" t="s">
        <v>3</v>
      </c>
      <c r="E1991" s="3" t="s">
        <v>4</v>
      </c>
    </row>
    <row r="1992" spans="1:5" hidden="1" x14ac:dyDescent="0.25">
      <c r="A1992" s="3" t="s">
        <v>3975</v>
      </c>
      <c r="B1992" s="3" t="s">
        <v>3976</v>
      </c>
      <c r="C1992" s="3" t="s">
        <v>3</v>
      </c>
      <c r="D1992" s="3" t="s">
        <v>3</v>
      </c>
      <c r="E1992" s="3" t="s">
        <v>4</v>
      </c>
    </row>
    <row r="1993" spans="1:5" hidden="1" x14ac:dyDescent="0.25">
      <c r="A1993" s="3" t="s">
        <v>3977</v>
      </c>
      <c r="B1993" s="3" t="s">
        <v>3978</v>
      </c>
      <c r="C1993" s="3" t="s">
        <v>3</v>
      </c>
      <c r="D1993" s="3" t="s">
        <v>3</v>
      </c>
      <c r="E1993" s="3" t="s">
        <v>4</v>
      </c>
    </row>
    <row r="1994" spans="1:5" hidden="1" x14ac:dyDescent="0.25">
      <c r="A1994" s="3" t="s">
        <v>3979</v>
      </c>
      <c r="B1994" s="3" t="s">
        <v>3980</v>
      </c>
      <c r="C1994" s="3" t="s">
        <v>3</v>
      </c>
      <c r="D1994" s="3" t="s">
        <v>3</v>
      </c>
      <c r="E1994" s="3" t="s">
        <v>4</v>
      </c>
    </row>
    <row r="1995" spans="1:5" hidden="1" x14ac:dyDescent="0.25">
      <c r="A1995" s="3" t="s">
        <v>3981</v>
      </c>
      <c r="B1995" s="3" t="s">
        <v>3982</v>
      </c>
      <c r="C1995" s="3" t="s">
        <v>3</v>
      </c>
      <c r="D1995" s="3" t="s">
        <v>3</v>
      </c>
      <c r="E1995" s="3" t="s">
        <v>4</v>
      </c>
    </row>
    <row r="1996" spans="1:5" hidden="1" x14ac:dyDescent="0.25">
      <c r="A1996" s="3" t="s">
        <v>3983</v>
      </c>
      <c r="B1996" s="3" t="s">
        <v>3984</v>
      </c>
      <c r="C1996" s="3" t="s">
        <v>3</v>
      </c>
      <c r="D1996" s="3" t="s">
        <v>3</v>
      </c>
      <c r="E1996" s="3" t="s">
        <v>4</v>
      </c>
    </row>
    <row r="1997" spans="1:5" hidden="1" x14ac:dyDescent="0.25">
      <c r="A1997" s="3" t="s">
        <v>3985</v>
      </c>
      <c r="B1997" s="3" t="s">
        <v>3986</v>
      </c>
      <c r="C1997" s="3" t="s">
        <v>3</v>
      </c>
      <c r="D1997" s="3" t="s">
        <v>3</v>
      </c>
      <c r="E1997" s="3" t="s">
        <v>4</v>
      </c>
    </row>
    <row r="1998" spans="1:5" hidden="1" x14ac:dyDescent="0.25">
      <c r="A1998" s="3" t="s">
        <v>3987</v>
      </c>
      <c r="B1998" s="3" t="s">
        <v>3988</v>
      </c>
      <c r="C1998" s="3" t="s">
        <v>3</v>
      </c>
      <c r="D1998" s="3" t="s">
        <v>3</v>
      </c>
      <c r="E1998" s="3" t="s">
        <v>4</v>
      </c>
    </row>
    <row r="1999" spans="1:5" hidden="1" x14ac:dyDescent="0.25">
      <c r="A1999" s="3" t="s">
        <v>3989</v>
      </c>
      <c r="B1999" s="3" t="s">
        <v>3990</v>
      </c>
      <c r="C1999" s="3" t="s">
        <v>3</v>
      </c>
      <c r="D1999" s="3" t="s">
        <v>3</v>
      </c>
      <c r="E1999" s="3" t="s">
        <v>4</v>
      </c>
    </row>
    <row r="2000" spans="1:5" hidden="1" x14ac:dyDescent="0.25">
      <c r="A2000" s="3" t="s">
        <v>3991</v>
      </c>
      <c r="B2000" s="3" t="s">
        <v>3992</v>
      </c>
      <c r="C2000" s="3" t="s">
        <v>3</v>
      </c>
      <c r="D2000" s="3" t="s">
        <v>3</v>
      </c>
      <c r="E2000" s="3" t="s">
        <v>4</v>
      </c>
    </row>
    <row r="2001" spans="1:5" hidden="1" x14ac:dyDescent="0.25">
      <c r="A2001" s="3" t="s">
        <v>3993</v>
      </c>
      <c r="B2001" s="3" t="s">
        <v>3994</v>
      </c>
      <c r="C2001" s="3" t="s">
        <v>3</v>
      </c>
      <c r="D2001" s="3" t="s">
        <v>3</v>
      </c>
      <c r="E2001" s="3" t="s">
        <v>4</v>
      </c>
    </row>
    <row r="2002" spans="1:5" hidden="1" x14ac:dyDescent="0.25">
      <c r="A2002" s="3" t="s">
        <v>3995</v>
      </c>
      <c r="B2002" s="3" t="s">
        <v>3996</v>
      </c>
      <c r="C2002" s="3" t="s">
        <v>3</v>
      </c>
      <c r="D2002" s="3" t="s">
        <v>3</v>
      </c>
      <c r="E2002" s="3" t="s">
        <v>4</v>
      </c>
    </row>
    <row r="2003" spans="1:5" hidden="1" x14ac:dyDescent="0.25">
      <c r="A2003" s="3" t="s">
        <v>3997</v>
      </c>
      <c r="B2003" s="3" t="s">
        <v>3998</v>
      </c>
      <c r="C2003" s="3" t="s">
        <v>3</v>
      </c>
      <c r="D2003" s="3" t="s">
        <v>3</v>
      </c>
      <c r="E2003" s="3" t="s">
        <v>4</v>
      </c>
    </row>
    <row r="2004" spans="1:5" hidden="1" x14ac:dyDescent="0.25">
      <c r="A2004" s="3" t="s">
        <v>3999</v>
      </c>
      <c r="B2004" s="3" t="s">
        <v>4000</v>
      </c>
      <c r="C2004" s="3" t="s">
        <v>3</v>
      </c>
      <c r="D2004" s="3" t="s">
        <v>3</v>
      </c>
      <c r="E2004" s="3" t="s">
        <v>4</v>
      </c>
    </row>
    <row r="2005" spans="1:5" hidden="1" x14ac:dyDescent="0.25">
      <c r="A2005" s="3" t="s">
        <v>4001</v>
      </c>
      <c r="B2005" s="3" t="s">
        <v>4002</v>
      </c>
      <c r="C2005" s="3" t="s">
        <v>3</v>
      </c>
      <c r="D2005" s="3" t="s">
        <v>3</v>
      </c>
      <c r="E2005" s="3" t="s">
        <v>4</v>
      </c>
    </row>
    <row r="2006" spans="1:5" hidden="1" x14ac:dyDescent="0.25">
      <c r="A2006" s="3" t="s">
        <v>4003</v>
      </c>
      <c r="B2006" s="3" t="s">
        <v>4004</v>
      </c>
      <c r="C2006" s="3" t="s">
        <v>3</v>
      </c>
      <c r="D2006" s="3" t="s">
        <v>3</v>
      </c>
      <c r="E2006" s="3" t="s">
        <v>4</v>
      </c>
    </row>
    <row r="2007" spans="1:5" hidden="1" x14ac:dyDescent="0.25">
      <c r="A2007" s="3" t="s">
        <v>4005</v>
      </c>
      <c r="B2007" s="3" t="s">
        <v>4006</v>
      </c>
      <c r="C2007" s="3" t="s">
        <v>3</v>
      </c>
      <c r="D2007" s="3" t="s">
        <v>3</v>
      </c>
      <c r="E2007" s="3" t="s">
        <v>4</v>
      </c>
    </row>
    <row r="2008" spans="1:5" hidden="1" x14ac:dyDescent="0.25">
      <c r="A2008" s="3" t="s">
        <v>4007</v>
      </c>
      <c r="B2008" s="3" t="s">
        <v>4008</v>
      </c>
      <c r="C2008" s="3" t="s">
        <v>3</v>
      </c>
      <c r="D2008" s="3" t="s">
        <v>3</v>
      </c>
      <c r="E2008" s="3" t="s">
        <v>4</v>
      </c>
    </row>
    <row r="2009" spans="1:5" hidden="1" x14ac:dyDescent="0.25">
      <c r="A2009" s="3" t="s">
        <v>4009</v>
      </c>
      <c r="B2009" s="3" t="s">
        <v>4010</v>
      </c>
      <c r="C2009" s="3" t="s">
        <v>3</v>
      </c>
      <c r="D2009" s="3" t="s">
        <v>3</v>
      </c>
      <c r="E2009" s="3" t="s">
        <v>4</v>
      </c>
    </row>
    <row r="2010" spans="1:5" hidden="1" x14ac:dyDescent="0.25">
      <c r="A2010" s="3" t="s">
        <v>4011</v>
      </c>
      <c r="B2010" s="3" t="s">
        <v>4012</v>
      </c>
      <c r="C2010" s="3" t="s">
        <v>3</v>
      </c>
      <c r="D2010" s="3" t="s">
        <v>3</v>
      </c>
      <c r="E2010" s="3" t="s">
        <v>4</v>
      </c>
    </row>
    <row r="2011" spans="1:5" hidden="1" x14ac:dyDescent="0.25">
      <c r="A2011" s="3" t="s">
        <v>4013</v>
      </c>
      <c r="B2011" s="3" t="s">
        <v>4014</v>
      </c>
      <c r="C2011" s="3" t="s">
        <v>3</v>
      </c>
      <c r="D2011" s="3" t="s">
        <v>3</v>
      </c>
      <c r="E2011" s="3" t="s">
        <v>4</v>
      </c>
    </row>
    <row r="2012" spans="1:5" hidden="1" x14ac:dyDescent="0.25">
      <c r="A2012" s="3" t="s">
        <v>4015</v>
      </c>
      <c r="B2012" s="3" t="s">
        <v>4016</v>
      </c>
      <c r="C2012" s="3" t="s">
        <v>3</v>
      </c>
      <c r="D2012" s="3" t="s">
        <v>3</v>
      </c>
      <c r="E2012" s="3" t="s">
        <v>4</v>
      </c>
    </row>
    <row r="2013" spans="1:5" hidden="1" x14ac:dyDescent="0.25">
      <c r="A2013" s="3" t="s">
        <v>4017</v>
      </c>
      <c r="B2013" s="3" t="s">
        <v>4018</v>
      </c>
      <c r="C2013" s="3" t="s">
        <v>3</v>
      </c>
      <c r="D2013" s="3" t="s">
        <v>3</v>
      </c>
      <c r="E2013" s="3" t="s">
        <v>4</v>
      </c>
    </row>
    <row r="2014" spans="1:5" hidden="1" x14ac:dyDescent="0.25">
      <c r="A2014" s="3" t="s">
        <v>4019</v>
      </c>
      <c r="B2014" s="3" t="s">
        <v>4020</v>
      </c>
      <c r="C2014" s="3" t="s">
        <v>3</v>
      </c>
      <c r="D2014" s="3" t="s">
        <v>3</v>
      </c>
      <c r="E2014" s="3" t="s">
        <v>4</v>
      </c>
    </row>
    <row r="2015" spans="1:5" hidden="1" x14ac:dyDescent="0.25">
      <c r="A2015" s="3" t="s">
        <v>4021</v>
      </c>
      <c r="B2015" s="3" t="s">
        <v>4022</v>
      </c>
      <c r="C2015" s="3" t="s">
        <v>3</v>
      </c>
      <c r="D2015" s="3" t="s">
        <v>3</v>
      </c>
      <c r="E2015" s="3" t="s">
        <v>4</v>
      </c>
    </row>
    <row r="2016" spans="1:5" hidden="1" x14ac:dyDescent="0.25">
      <c r="A2016" s="3" t="s">
        <v>4023</v>
      </c>
      <c r="B2016" s="3" t="s">
        <v>4024</v>
      </c>
      <c r="C2016" s="3" t="s">
        <v>3</v>
      </c>
      <c r="D2016" s="3" t="s">
        <v>3</v>
      </c>
      <c r="E2016" s="3" t="s">
        <v>4</v>
      </c>
    </row>
    <row r="2017" spans="1:5" hidden="1" x14ac:dyDescent="0.25">
      <c r="A2017" s="3" t="s">
        <v>4025</v>
      </c>
      <c r="B2017" s="3" t="s">
        <v>4026</v>
      </c>
      <c r="C2017" s="3" t="s">
        <v>3</v>
      </c>
      <c r="D2017" s="3" t="s">
        <v>3</v>
      </c>
      <c r="E2017" s="3" t="s">
        <v>4</v>
      </c>
    </row>
    <row r="2018" spans="1:5" hidden="1" x14ac:dyDescent="0.25">
      <c r="A2018" s="3" t="s">
        <v>4027</v>
      </c>
      <c r="B2018" s="3" t="s">
        <v>4028</v>
      </c>
      <c r="C2018" s="3" t="s">
        <v>3</v>
      </c>
      <c r="D2018" s="3" t="s">
        <v>3</v>
      </c>
      <c r="E2018" s="3" t="s">
        <v>4</v>
      </c>
    </row>
    <row r="2019" spans="1:5" hidden="1" x14ac:dyDescent="0.25">
      <c r="A2019" s="3" t="s">
        <v>4029</v>
      </c>
      <c r="B2019" s="3" t="s">
        <v>4030</v>
      </c>
      <c r="C2019" s="3" t="s">
        <v>3</v>
      </c>
      <c r="D2019" s="3" t="s">
        <v>3</v>
      </c>
      <c r="E2019" s="3" t="s">
        <v>4</v>
      </c>
    </row>
    <row r="2020" spans="1:5" hidden="1" x14ac:dyDescent="0.25">
      <c r="A2020" s="3" t="s">
        <v>4031</v>
      </c>
      <c r="B2020" s="3" t="s">
        <v>4032</v>
      </c>
      <c r="C2020" s="3" t="s">
        <v>3</v>
      </c>
      <c r="D2020" s="3" t="s">
        <v>3</v>
      </c>
      <c r="E2020" s="3" t="s">
        <v>4</v>
      </c>
    </row>
    <row r="2021" spans="1:5" hidden="1" x14ac:dyDescent="0.25">
      <c r="A2021" s="3" t="s">
        <v>4033</v>
      </c>
      <c r="B2021" s="3" t="s">
        <v>4034</v>
      </c>
      <c r="C2021" s="3" t="s">
        <v>3</v>
      </c>
      <c r="D2021" s="3" t="s">
        <v>3</v>
      </c>
      <c r="E2021" s="3" t="s">
        <v>4</v>
      </c>
    </row>
    <row r="2022" spans="1:5" hidden="1" x14ac:dyDescent="0.25">
      <c r="A2022" s="3" t="s">
        <v>4035</v>
      </c>
      <c r="B2022" s="3" t="s">
        <v>4036</v>
      </c>
      <c r="C2022" s="3" t="s">
        <v>3</v>
      </c>
      <c r="D2022" s="3" t="s">
        <v>3</v>
      </c>
      <c r="E2022" s="3" t="s">
        <v>4</v>
      </c>
    </row>
    <row r="2023" spans="1:5" hidden="1" x14ac:dyDescent="0.25">
      <c r="A2023" s="3" t="s">
        <v>4037</v>
      </c>
      <c r="B2023" s="3" t="s">
        <v>4038</v>
      </c>
      <c r="C2023" s="3" t="s">
        <v>3</v>
      </c>
      <c r="D2023" s="3" t="s">
        <v>3</v>
      </c>
      <c r="E2023" s="3" t="s">
        <v>4</v>
      </c>
    </row>
    <row r="2024" spans="1:5" hidden="1" x14ac:dyDescent="0.25">
      <c r="A2024" s="3" t="s">
        <v>4039</v>
      </c>
      <c r="B2024" s="3" t="s">
        <v>4040</v>
      </c>
      <c r="C2024" s="3" t="s">
        <v>3</v>
      </c>
      <c r="D2024" s="3" t="s">
        <v>3</v>
      </c>
      <c r="E2024" s="3" t="s">
        <v>4</v>
      </c>
    </row>
    <row r="2025" spans="1:5" hidden="1" x14ac:dyDescent="0.25">
      <c r="A2025" s="3" t="s">
        <v>4041</v>
      </c>
      <c r="B2025" s="3" t="s">
        <v>4042</v>
      </c>
      <c r="C2025" s="3" t="s">
        <v>3</v>
      </c>
      <c r="D2025" s="3" t="s">
        <v>3</v>
      </c>
      <c r="E2025" s="3" t="s">
        <v>4</v>
      </c>
    </row>
    <row r="2026" spans="1:5" hidden="1" x14ac:dyDescent="0.25">
      <c r="A2026" s="3" t="s">
        <v>4043</v>
      </c>
      <c r="B2026" s="3" t="s">
        <v>4044</v>
      </c>
      <c r="C2026" s="3" t="s">
        <v>3</v>
      </c>
      <c r="D2026" s="3" t="s">
        <v>3</v>
      </c>
      <c r="E2026" s="3" t="s">
        <v>4</v>
      </c>
    </row>
    <row r="2027" spans="1:5" hidden="1" x14ac:dyDescent="0.25">
      <c r="A2027" s="3" t="s">
        <v>4045</v>
      </c>
      <c r="B2027" s="3" t="s">
        <v>4046</v>
      </c>
      <c r="C2027" s="3" t="s">
        <v>3</v>
      </c>
      <c r="D2027" s="3" t="s">
        <v>3</v>
      </c>
      <c r="E2027" s="3" t="s">
        <v>4</v>
      </c>
    </row>
    <row r="2028" spans="1:5" hidden="1" x14ac:dyDescent="0.25">
      <c r="A2028" s="3" t="s">
        <v>4047</v>
      </c>
      <c r="B2028" s="3" t="s">
        <v>4048</v>
      </c>
      <c r="C2028" s="3" t="s">
        <v>3</v>
      </c>
      <c r="D2028" s="3" t="s">
        <v>3</v>
      </c>
      <c r="E2028" s="3" t="s">
        <v>4</v>
      </c>
    </row>
    <row r="2029" spans="1:5" hidden="1" x14ac:dyDescent="0.25">
      <c r="A2029" s="3" t="s">
        <v>4049</v>
      </c>
      <c r="B2029" s="3" t="s">
        <v>4050</v>
      </c>
      <c r="C2029" s="3" t="s">
        <v>3</v>
      </c>
      <c r="D2029" s="3" t="s">
        <v>3</v>
      </c>
      <c r="E2029" s="3" t="s">
        <v>4</v>
      </c>
    </row>
    <row r="2030" spans="1:5" hidden="1" x14ac:dyDescent="0.25">
      <c r="A2030" s="3" t="s">
        <v>4051</v>
      </c>
      <c r="B2030" s="3" t="s">
        <v>4052</v>
      </c>
      <c r="C2030" s="3" t="s">
        <v>3</v>
      </c>
      <c r="D2030" s="3" t="s">
        <v>3</v>
      </c>
      <c r="E2030" s="3" t="s">
        <v>4</v>
      </c>
    </row>
    <row r="2031" spans="1:5" hidden="1" x14ac:dyDescent="0.25">
      <c r="A2031" s="3" t="s">
        <v>4053</v>
      </c>
      <c r="B2031" s="3" t="s">
        <v>4054</v>
      </c>
      <c r="C2031" s="3" t="s">
        <v>3</v>
      </c>
      <c r="D2031" s="3" t="s">
        <v>3</v>
      </c>
      <c r="E2031" s="3" t="s">
        <v>4</v>
      </c>
    </row>
    <row r="2032" spans="1:5" hidden="1" x14ac:dyDescent="0.25">
      <c r="A2032" s="3" t="s">
        <v>4055</v>
      </c>
      <c r="B2032" s="3" t="s">
        <v>4056</v>
      </c>
      <c r="C2032" s="3" t="s">
        <v>3</v>
      </c>
      <c r="D2032" s="3" t="s">
        <v>3</v>
      </c>
      <c r="E2032" s="3" t="s">
        <v>4</v>
      </c>
    </row>
    <row r="2033" spans="1:5" hidden="1" x14ac:dyDescent="0.25">
      <c r="A2033" s="3" t="s">
        <v>4057</v>
      </c>
      <c r="B2033" s="3" t="s">
        <v>4058</v>
      </c>
      <c r="C2033" s="3" t="s">
        <v>3</v>
      </c>
      <c r="D2033" s="3" t="s">
        <v>3</v>
      </c>
      <c r="E2033" s="3" t="s">
        <v>4</v>
      </c>
    </row>
    <row r="2034" spans="1:5" hidden="1" x14ac:dyDescent="0.25">
      <c r="A2034" s="3" t="s">
        <v>4059</v>
      </c>
      <c r="B2034" s="3" t="s">
        <v>4060</v>
      </c>
      <c r="C2034" s="3" t="s">
        <v>3</v>
      </c>
      <c r="D2034" s="3" t="s">
        <v>3</v>
      </c>
      <c r="E2034" s="3" t="s">
        <v>4</v>
      </c>
    </row>
    <row r="2035" spans="1:5" hidden="1" x14ac:dyDescent="0.25">
      <c r="A2035" s="3" t="s">
        <v>4061</v>
      </c>
      <c r="B2035" s="3" t="s">
        <v>4062</v>
      </c>
      <c r="C2035" s="3" t="s">
        <v>3</v>
      </c>
      <c r="D2035" s="3" t="s">
        <v>3</v>
      </c>
      <c r="E2035" s="3" t="s">
        <v>4</v>
      </c>
    </row>
    <row r="2036" spans="1:5" hidden="1" x14ac:dyDescent="0.25">
      <c r="A2036" s="3" t="s">
        <v>4063</v>
      </c>
      <c r="B2036" s="3" t="s">
        <v>4064</v>
      </c>
      <c r="C2036" s="3" t="s">
        <v>3</v>
      </c>
      <c r="D2036" s="3" t="s">
        <v>3</v>
      </c>
      <c r="E2036" s="3" t="s">
        <v>4</v>
      </c>
    </row>
    <row r="2037" spans="1:5" hidden="1" x14ac:dyDescent="0.25">
      <c r="A2037" s="3" t="s">
        <v>4065</v>
      </c>
      <c r="B2037" s="3" t="s">
        <v>4066</v>
      </c>
      <c r="C2037" s="3" t="s">
        <v>3</v>
      </c>
      <c r="D2037" s="3" t="s">
        <v>3</v>
      </c>
      <c r="E2037" s="3" t="s">
        <v>4</v>
      </c>
    </row>
    <row r="2038" spans="1:5" hidden="1" x14ac:dyDescent="0.25">
      <c r="A2038" s="3" t="s">
        <v>4067</v>
      </c>
      <c r="B2038" s="3" t="s">
        <v>4068</v>
      </c>
      <c r="C2038" s="3" t="s">
        <v>3</v>
      </c>
      <c r="D2038" s="3" t="s">
        <v>3</v>
      </c>
      <c r="E2038" s="3" t="s">
        <v>4</v>
      </c>
    </row>
    <row r="2039" spans="1:5" hidden="1" x14ac:dyDescent="0.25">
      <c r="A2039" s="3" t="s">
        <v>4069</v>
      </c>
      <c r="B2039" s="3" t="s">
        <v>4070</v>
      </c>
      <c r="C2039" s="3" t="s">
        <v>3</v>
      </c>
      <c r="D2039" s="3" t="s">
        <v>3</v>
      </c>
      <c r="E2039" s="3" t="s">
        <v>4</v>
      </c>
    </row>
    <row r="2040" spans="1:5" hidden="1" x14ac:dyDescent="0.25">
      <c r="A2040" s="3" t="s">
        <v>4071</v>
      </c>
      <c r="B2040" s="3" t="s">
        <v>4072</v>
      </c>
      <c r="C2040" s="3" t="s">
        <v>3</v>
      </c>
      <c r="D2040" s="3" t="s">
        <v>3</v>
      </c>
      <c r="E2040" s="3" t="s">
        <v>4</v>
      </c>
    </row>
    <row r="2041" spans="1:5" hidden="1" x14ac:dyDescent="0.25">
      <c r="A2041" s="3" t="s">
        <v>4073</v>
      </c>
      <c r="B2041" s="3" t="s">
        <v>4074</v>
      </c>
      <c r="C2041" s="3" t="s">
        <v>3</v>
      </c>
      <c r="D2041" s="3" t="s">
        <v>3</v>
      </c>
      <c r="E2041" s="3" t="s">
        <v>4</v>
      </c>
    </row>
    <row r="2042" spans="1:5" hidden="1" x14ac:dyDescent="0.25">
      <c r="A2042" s="3" t="s">
        <v>4075</v>
      </c>
      <c r="B2042" s="3" t="s">
        <v>4076</v>
      </c>
      <c r="C2042" s="3" t="s">
        <v>3</v>
      </c>
      <c r="D2042" s="3" t="s">
        <v>3</v>
      </c>
      <c r="E2042" s="3" t="s">
        <v>4</v>
      </c>
    </row>
    <row r="2043" spans="1:5" hidden="1" x14ac:dyDescent="0.25">
      <c r="A2043" s="3" t="s">
        <v>4077</v>
      </c>
      <c r="B2043" s="3" t="s">
        <v>4078</v>
      </c>
      <c r="C2043" s="3" t="s">
        <v>3</v>
      </c>
      <c r="D2043" s="3" t="s">
        <v>3</v>
      </c>
      <c r="E2043" s="3" t="s">
        <v>4</v>
      </c>
    </row>
    <row r="2044" spans="1:5" hidden="1" x14ac:dyDescent="0.25">
      <c r="A2044" s="3" t="s">
        <v>4079</v>
      </c>
      <c r="B2044" s="3" t="s">
        <v>4080</v>
      </c>
      <c r="C2044" s="3" t="s">
        <v>3</v>
      </c>
      <c r="D2044" s="3" t="s">
        <v>3</v>
      </c>
      <c r="E2044" s="3" t="s">
        <v>4</v>
      </c>
    </row>
    <row r="2045" spans="1:5" hidden="1" x14ac:dyDescent="0.25">
      <c r="A2045" s="3" t="s">
        <v>4081</v>
      </c>
      <c r="B2045" s="3" t="s">
        <v>4082</v>
      </c>
      <c r="C2045" s="3" t="s">
        <v>3</v>
      </c>
      <c r="D2045" s="3" t="s">
        <v>3</v>
      </c>
      <c r="E2045" s="3" t="s">
        <v>4</v>
      </c>
    </row>
    <row r="2046" spans="1:5" hidden="1" x14ac:dyDescent="0.25">
      <c r="A2046" s="3" t="s">
        <v>4083</v>
      </c>
      <c r="B2046" s="3" t="s">
        <v>4084</v>
      </c>
      <c r="C2046" s="3" t="s">
        <v>3</v>
      </c>
      <c r="D2046" s="3" t="s">
        <v>3</v>
      </c>
      <c r="E2046" s="3" t="s">
        <v>4</v>
      </c>
    </row>
    <row r="2047" spans="1:5" hidden="1" x14ac:dyDescent="0.25">
      <c r="A2047" s="3" t="s">
        <v>4085</v>
      </c>
      <c r="B2047" s="3" t="s">
        <v>4086</v>
      </c>
      <c r="C2047" s="3" t="s">
        <v>3</v>
      </c>
      <c r="D2047" s="3" t="s">
        <v>3</v>
      </c>
      <c r="E2047" s="3" t="s">
        <v>4</v>
      </c>
    </row>
    <row r="2048" spans="1:5" hidden="1" x14ac:dyDescent="0.25">
      <c r="A2048" s="3" t="s">
        <v>4087</v>
      </c>
      <c r="B2048" s="3" t="s">
        <v>4088</v>
      </c>
      <c r="C2048" s="3" t="s">
        <v>3</v>
      </c>
      <c r="D2048" s="3" t="s">
        <v>3</v>
      </c>
      <c r="E2048" s="3" t="s">
        <v>4</v>
      </c>
    </row>
    <row r="2049" spans="1:5" hidden="1" x14ac:dyDescent="0.25">
      <c r="A2049" s="3" t="s">
        <v>4089</v>
      </c>
      <c r="B2049" s="3" t="s">
        <v>4090</v>
      </c>
      <c r="C2049" s="3" t="s">
        <v>3</v>
      </c>
      <c r="D2049" s="3" t="s">
        <v>3</v>
      </c>
      <c r="E2049" s="3" t="s">
        <v>4</v>
      </c>
    </row>
    <row r="2050" spans="1:5" hidden="1" x14ac:dyDescent="0.25">
      <c r="A2050" s="3" t="s">
        <v>4091</v>
      </c>
      <c r="B2050" s="3" t="s">
        <v>4092</v>
      </c>
      <c r="C2050" s="3" t="s">
        <v>3</v>
      </c>
      <c r="D2050" s="3" t="s">
        <v>3</v>
      </c>
      <c r="E2050" s="3" t="s">
        <v>4</v>
      </c>
    </row>
    <row r="2051" spans="1:5" hidden="1" x14ac:dyDescent="0.25">
      <c r="A2051" s="3" t="s">
        <v>4093</v>
      </c>
      <c r="B2051" s="3" t="s">
        <v>4094</v>
      </c>
      <c r="C2051" s="3" t="s">
        <v>3</v>
      </c>
      <c r="D2051" s="3" t="s">
        <v>3</v>
      </c>
      <c r="E2051" s="3" t="s">
        <v>4</v>
      </c>
    </row>
    <row r="2052" spans="1:5" hidden="1" x14ac:dyDescent="0.25">
      <c r="A2052" s="3" t="s">
        <v>4095</v>
      </c>
      <c r="B2052" s="3" t="s">
        <v>4096</v>
      </c>
      <c r="C2052" s="3" t="s">
        <v>3</v>
      </c>
      <c r="D2052" s="3" t="s">
        <v>3</v>
      </c>
      <c r="E2052" s="3" t="s">
        <v>4</v>
      </c>
    </row>
    <row r="2053" spans="1:5" hidden="1" x14ac:dyDescent="0.25">
      <c r="A2053" s="3" t="s">
        <v>4097</v>
      </c>
      <c r="B2053" s="3" t="s">
        <v>4098</v>
      </c>
      <c r="C2053" s="3" t="s">
        <v>3</v>
      </c>
      <c r="D2053" s="3" t="s">
        <v>3</v>
      </c>
      <c r="E2053" s="3" t="s">
        <v>4</v>
      </c>
    </row>
    <row r="2054" spans="1:5" hidden="1" x14ac:dyDescent="0.25">
      <c r="A2054" s="3" t="s">
        <v>4099</v>
      </c>
      <c r="B2054" s="3" t="s">
        <v>4100</v>
      </c>
      <c r="C2054" s="3" t="s">
        <v>3</v>
      </c>
      <c r="D2054" s="3" t="s">
        <v>3</v>
      </c>
      <c r="E2054" s="3" t="s">
        <v>4</v>
      </c>
    </row>
    <row r="2055" spans="1:5" hidden="1" x14ac:dyDescent="0.25">
      <c r="A2055" s="3" t="s">
        <v>4101</v>
      </c>
      <c r="B2055" s="3" t="s">
        <v>4102</v>
      </c>
      <c r="C2055" s="3" t="s">
        <v>3</v>
      </c>
      <c r="D2055" s="3" t="s">
        <v>3</v>
      </c>
      <c r="E2055" s="3" t="s">
        <v>4</v>
      </c>
    </row>
    <row r="2056" spans="1:5" hidden="1" x14ac:dyDescent="0.25">
      <c r="A2056" s="3" t="s">
        <v>4103</v>
      </c>
      <c r="B2056" s="3" t="s">
        <v>4104</v>
      </c>
      <c r="C2056" s="3" t="s">
        <v>3</v>
      </c>
      <c r="D2056" s="3" t="s">
        <v>3</v>
      </c>
      <c r="E2056" s="3" t="s">
        <v>4</v>
      </c>
    </row>
    <row r="2057" spans="1:5" hidden="1" x14ac:dyDescent="0.25">
      <c r="A2057" s="3" t="s">
        <v>4105</v>
      </c>
      <c r="B2057" s="3" t="s">
        <v>4106</v>
      </c>
      <c r="C2057" s="3" t="s">
        <v>3</v>
      </c>
      <c r="D2057" s="3" t="s">
        <v>3</v>
      </c>
      <c r="E2057" s="3" t="s">
        <v>4</v>
      </c>
    </row>
    <row r="2058" spans="1:5" hidden="1" x14ac:dyDescent="0.25">
      <c r="A2058" s="3" t="s">
        <v>4107</v>
      </c>
      <c r="B2058" s="3" t="s">
        <v>4108</v>
      </c>
      <c r="C2058" s="3" t="s">
        <v>3</v>
      </c>
      <c r="D2058" s="3" t="s">
        <v>3</v>
      </c>
      <c r="E2058" s="3" t="s">
        <v>4</v>
      </c>
    </row>
    <row r="2059" spans="1:5" hidden="1" x14ac:dyDescent="0.25">
      <c r="A2059" s="3" t="s">
        <v>4109</v>
      </c>
      <c r="B2059" s="3" t="s">
        <v>4110</v>
      </c>
      <c r="C2059" s="3" t="s">
        <v>3</v>
      </c>
      <c r="D2059" s="3" t="s">
        <v>3</v>
      </c>
      <c r="E2059" s="3" t="s">
        <v>4</v>
      </c>
    </row>
    <row r="2060" spans="1:5" hidden="1" x14ac:dyDescent="0.25">
      <c r="A2060" s="3" t="s">
        <v>4111</v>
      </c>
      <c r="B2060" s="3" t="s">
        <v>4112</v>
      </c>
      <c r="C2060" s="3" t="s">
        <v>3</v>
      </c>
      <c r="D2060" s="3" t="s">
        <v>3</v>
      </c>
      <c r="E2060" s="3" t="s">
        <v>4</v>
      </c>
    </row>
    <row r="2061" spans="1:5" hidden="1" x14ac:dyDescent="0.25">
      <c r="A2061" s="3" t="s">
        <v>4113</v>
      </c>
      <c r="B2061" s="3" t="s">
        <v>4114</v>
      </c>
      <c r="C2061" s="3" t="s">
        <v>3</v>
      </c>
      <c r="D2061" s="3" t="s">
        <v>3</v>
      </c>
      <c r="E2061" s="3" t="s">
        <v>4</v>
      </c>
    </row>
    <row r="2062" spans="1:5" hidden="1" x14ac:dyDescent="0.25">
      <c r="A2062" s="3" t="s">
        <v>4115</v>
      </c>
      <c r="B2062" s="3" t="s">
        <v>4116</v>
      </c>
      <c r="C2062" s="3" t="s">
        <v>3</v>
      </c>
      <c r="D2062" s="3" t="s">
        <v>3</v>
      </c>
      <c r="E2062" s="3" t="s">
        <v>4</v>
      </c>
    </row>
    <row r="2063" spans="1:5" hidden="1" x14ac:dyDescent="0.25">
      <c r="A2063" s="3" t="s">
        <v>4117</v>
      </c>
      <c r="B2063" s="3" t="s">
        <v>4118</v>
      </c>
      <c r="C2063" s="3" t="s">
        <v>3</v>
      </c>
      <c r="D2063" s="3" t="s">
        <v>3</v>
      </c>
      <c r="E2063" s="3" t="s">
        <v>4</v>
      </c>
    </row>
    <row r="2064" spans="1:5" hidden="1" x14ac:dyDescent="0.25">
      <c r="A2064" s="3" t="s">
        <v>4119</v>
      </c>
      <c r="B2064" s="3" t="s">
        <v>4120</v>
      </c>
      <c r="C2064" s="3" t="s">
        <v>3</v>
      </c>
      <c r="D2064" s="3" t="s">
        <v>3</v>
      </c>
      <c r="E2064" s="3" t="s">
        <v>4</v>
      </c>
    </row>
    <row r="2065" spans="1:5" hidden="1" x14ac:dyDescent="0.25">
      <c r="A2065" s="3" t="s">
        <v>4121</v>
      </c>
      <c r="B2065" s="3" t="s">
        <v>4122</v>
      </c>
      <c r="C2065" s="3" t="s">
        <v>3</v>
      </c>
      <c r="D2065" s="3" t="s">
        <v>3</v>
      </c>
      <c r="E2065" s="3" t="s">
        <v>4</v>
      </c>
    </row>
    <row r="2066" spans="1:5" hidden="1" x14ac:dyDescent="0.25">
      <c r="A2066" s="3" t="s">
        <v>4123</v>
      </c>
      <c r="B2066" s="3" t="s">
        <v>4124</v>
      </c>
      <c r="C2066" s="3" t="s">
        <v>3</v>
      </c>
      <c r="D2066" s="3" t="s">
        <v>3</v>
      </c>
      <c r="E2066" s="3" t="s">
        <v>4</v>
      </c>
    </row>
    <row r="2067" spans="1:5" hidden="1" x14ac:dyDescent="0.25">
      <c r="A2067" s="3" t="s">
        <v>4125</v>
      </c>
      <c r="B2067" s="3" t="s">
        <v>4126</v>
      </c>
      <c r="C2067" s="3" t="s">
        <v>3</v>
      </c>
      <c r="D2067" s="3" t="s">
        <v>3</v>
      </c>
      <c r="E2067" s="3" t="s">
        <v>4</v>
      </c>
    </row>
    <row r="2068" spans="1:5" hidden="1" x14ac:dyDescent="0.25">
      <c r="A2068" s="3" t="s">
        <v>4127</v>
      </c>
      <c r="B2068" s="3" t="s">
        <v>4128</v>
      </c>
      <c r="C2068" s="3" t="s">
        <v>3</v>
      </c>
      <c r="D2068" s="3" t="s">
        <v>3</v>
      </c>
      <c r="E2068" s="3" t="s">
        <v>4</v>
      </c>
    </row>
    <row r="2069" spans="1:5" hidden="1" x14ac:dyDescent="0.25">
      <c r="A2069" s="3" t="s">
        <v>4129</v>
      </c>
      <c r="B2069" s="3" t="s">
        <v>4130</v>
      </c>
      <c r="C2069" s="3" t="s">
        <v>3</v>
      </c>
      <c r="D2069" s="3" t="s">
        <v>3</v>
      </c>
      <c r="E2069" s="3" t="s">
        <v>4</v>
      </c>
    </row>
    <row r="2070" spans="1:5" hidden="1" x14ac:dyDescent="0.25">
      <c r="A2070" s="3" t="s">
        <v>4131</v>
      </c>
      <c r="B2070" s="3" t="s">
        <v>4132</v>
      </c>
      <c r="C2070" s="3" t="s">
        <v>3</v>
      </c>
      <c r="D2070" s="3" t="s">
        <v>3</v>
      </c>
      <c r="E2070" s="3" t="s">
        <v>4</v>
      </c>
    </row>
    <row r="2071" spans="1:5" hidden="1" x14ac:dyDescent="0.25">
      <c r="A2071" s="3" t="s">
        <v>4133</v>
      </c>
      <c r="B2071" s="3" t="s">
        <v>4134</v>
      </c>
      <c r="C2071" s="3" t="s">
        <v>3</v>
      </c>
      <c r="D2071" s="3" t="s">
        <v>3</v>
      </c>
      <c r="E2071" s="3" t="s">
        <v>4</v>
      </c>
    </row>
    <row r="2072" spans="1:5" hidden="1" x14ac:dyDescent="0.25">
      <c r="A2072" s="3" t="s">
        <v>4135</v>
      </c>
      <c r="B2072" s="3" t="s">
        <v>4136</v>
      </c>
      <c r="C2072" s="3" t="s">
        <v>3</v>
      </c>
      <c r="D2072" s="3" t="s">
        <v>3</v>
      </c>
      <c r="E2072" s="3" t="s">
        <v>4</v>
      </c>
    </row>
    <row r="2073" spans="1:5" hidden="1" x14ac:dyDescent="0.25">
      <c r="A2073" s="3" t="s">
        <v>4137</v>
      </c>
      <c r="B2073" s="3" t="s">
        <v>4138</v>
      </c>
      <c r="C2073" s="3" t="s">
        <v>3</v>
      </c>
      <c r="D2073" s="3" t="s">
        <v>3</v>
      </c>
      <c r="E2073" s="3" t="s">
        <v>4</v>
      </c>
    </row>
    <row r="2074" spans="1:5" hidden="1" x14ac:dyDescent="0.25">
      <c r="A2074" s="3" t="s">
        <v>4139</v>
      </c>
      <c r="B2074" s="3" t="s">
        <v>4140</v>
      </c>
      <c r="C2074" s="3" t="s">
        <v>3</v>
      </c>
      <c r="D2074" s="3" t="s">
        <v>3</v>
      </c>
      <c r="E2074" s="3" t="s">
        <v>4</v>
      </c>
    </row>
    <row r="2075" spans="1:5" hidden="1" x14ac:dyDescent="0.25">
      <c r="A2075" s="3" t="s">
        <v>4141</v>
      </c>
      <c r="B2075" s="3" t="s">
        <v>4142</v>
      </c>
      <c r="C2075" s="3" t="s">
        <v>3</v>
      </c>
      <c r="D2075" s="3" t="s">
        <v>3</v>
      </c>
      <c r="E2075" s="3" t="s">
        <v>4</v>
      </c>
    </row>
    <row r="2076" spans="1:5" hidden="1" x14ac:dyDescent="0.25">
      <c r="A2076" s="3" t="s">
        <v>4143</v>
      </c>
      <c r="B2076" s="3" t="s">
        <v>4144</v>
      </c>
      <c r="C2076" s="3" t="s">
        <v>3</v>
      </c>
      <c r="D2076" s="3" t="s">
        <v>3</v>
      </c>
      <c r="E2076" s="3" t="s">
        <v>4</v>
      </c>
    </row>
    <row r="2077" spans="1:5" hidden="1" x14ac:dyDescent="0.25">
      <c r="A2077" s="3" t="s">
        <v>4145</v>
      </c>
      <c r="B2077" s="3" t="s">
        <v>4146</v>
      </c>
      <c r="C2077" s="3" t="s">
        <v>3</v>
      </c>
      <c r="D2077" s="3" t="s">
        <v>3</v>
      </c>
      <c r="E2077" s="3" t="s">
        <v>4</v>
      </c>
    </row>
    <row r="2078" spans="1:5" hidden="1" x14ac:dyDescent="0.25">
      <c r="A2078" s="3" t="s">
        <v>4147</v>
      </c>
      <c r="B2078" s="3" t="s">
        <v>4148</v>
      </c>
      <c r="C2078" s="3" t="s">
        <v>3</v>
      </c>
      <c r="D2078" s="3" t="s">
        <v>3</v>
      </c>
      <c r="E2078" s="3" t="s">
        <v>4</v>
      </c>
    </row>
    <row r="2079" spans="1:5" hidden="1" x14ac:dyDescent="0.25">
      <c r="A2079" s="3" t="s">
        <v>4149</v>
      </c>
      <c r="B2079" s="3" t="s">
        <v>4150</v>
      </c>
      <c r="C2079" s="3" t="s">
        <v>3</v>
      </c>
      <c r="D2079" s="3" t="s">
        <v>3</v>
      </c>
      <c r="E2079" s="3" t="s">
        <v>4</v>
      </c>
    </row>
    <row r="2080" spans="1:5" hidden="1" x14ac:dyDescent="0.25">
      <c r="A2080" s="3" t="s">
        <v>4151</v>
      </c>
      <c r="B2080" s="3" t="s">
        <v>4152</v>
      </c>
      <c r="C2080" s="3" t="s">
        <v>3</v>
      </c>
      <c r="D2080" s="3" t="s">
        <v>3</v>
      </c>
      <c r="E2080" s="3" t="s">
        <v>4</v>
      </c>
    </row>
    <row r="2081" spans="1:5" hidden="1" x14ac:dyDescent="0.25">
      <c r="A2081" s="3" t="s">
        <v>4153</v>
      </c>
      <c r="B2081" s="3" t="s">
        <v>4154</v>
      </c>
      <c r="C2081" s="3" t="s">
        <v>3</v>
      </c>
      <c r="D2081" s="3" t="s">
        <v>3</v>
      </c>
      <c r="E2081" s="3" t="s">
        <v>4</v>
      </c>
    </row>
    <row r="2082" spans="1:5" hidden="1" x14ac:dyDescent="0.25">
      <c r="A2082" s="3" t="s">
        <v>4155</v>
      </c>
      <c r="B2082" s="3" t="s">
        <v>4156</v>
      </c>
      <c r="C2082" s="3" t="s">
        <v>3</v>
      </c>
      <c r="D2082" s="3" t="s">
        <v>3</v>
      </c>
      <c r="E2082" s="3" t="s">
        <v>4</v>
      </c>
    </row>
    <row r="2083" spans="1:5" hidden="1" x14ac:dyDescent="0.25">
      <c r="A2083" s="3" t="s">
        <v>4157</v>
      </c>
      <c r="B2083" s="3" t="s">
        <v>4158</v>
      </c>
      <c r="C2083" s="3" t="s">
        <v>3</v>
      </c>
      <c r="D2083" s="3" t="s">
        <v>3</v>
      </c>
      <c r="E2083" s="3" t="s">
        <v>4</v>
      </c>
    </row>
    <row r="2084" spans="1:5" hidden="1" x14ac:dyDescent="0.25">
      <c r="A2084" s="3" t="s">
        <v>4159</v>
      </c>
      <c r="B2084" s="3" t="s">
        <v>4160</v>
      </c>
      <c r="C2084" s="3" t="s">
        <v>3</v>
      </c>
      <c r="D2084" s="3" t="s">
        <v>3</v>
      </c>
      <c r="E2084" s="3" t="s">
        <v>4</v>
      </c>
    </row>
    <row r="2085" spans="1:5" hidden="1" x14ac:dyDescent="0.25">
      <c r="A2085" s="3" t="s">
        <v>4161</v>
      </c>
      <c r="B2085" s="3" t="s">
        <v>4162</v>
      </c>
      <c r="C2085" s="3" t="s">
        <v>3</v>
      </c>
      <c r="D2085" s="3" t="s">
        <v>3</v>
      </c>
      <c r="E2085" s="3" t="s">
        <v>4</v>
      </c>
    </row>
    <row r="2086" spans="1:5" hidden="1" x14ac:dyDescent="0.25">
      <c r="A2086" s="3" t="s">
        <v>4163</v>
      </c>
      <c r="B2086" s="3" t="s">
        <v>4164</v>
      </c>
      <c r="C2086" s="3" t="s">
        <v>3</v>
      </c>
      <c r="D2086" s="3" t="s">
        <v>3</v>
      </c>
      <c r="E2086" s="3" t="s">
        <v>4</v>
      </c>
    </row>
    <row r="2087" spans="1:5" hidden="1" x14ac:dyDescent="0.25">
      <c r="A2087" s="3" t="s">
        <v>4165</v>
      </c>
      <c r="B2087" s="3" t="s">
        <v>4166</v>
      </c>
      <c r="C2087" s="3" t="s">
        <v>3</v>
      </c>
      <c r="D2087" s="3" t="s">
        <v>3</v>
      </c>
      <c r="E2087" s="3" t="s">
        <v>4</v>
      </c>
    </row>
    <row r="2088" spans="1:5" hidden="1" x14ac:dyDescent="0.25">
      <c r="A2088" s="3" t="s">
        <v>4167</v>
      </c>
      <c r="B2088" s="3" t="s">
        <v>4168</v>
      </c>
      <c r="C2088" s="3" t="s">
        <v>3</v>
      </c>
      <c r="D2088" s="3" t="s">
        <v>3</v>
      </c>
      <c r="E2088" s="3" t="s">
        <v>4</v>
      </c>
    </row>
    <row r="2089" spans="1:5" hidden="1" x14ac:dyDescent="0.25">
      <c r="A2089" s="3" t="s">
        <v>4169</v>
      </c>
      <c r="B2089" s="3" t="s">
        <v>4170</v>
      </c>
      <c r="C2089" s="3" t="s">
        <v>3</v>
      </c>
      <c r="D2089" s="3" t="s">
        <v>3</v>
      </c>
      <c r="E2089" s="3" t="s">
        <v>4</v>
      </c>
    </row>
    <row r="2090" spans="1:5" hidden="1" x14ac:dyDescent="0.25">
      <c r="A2090" s="3" t="s">
        <v>4171</v>
      </c>
      <c r="B2090" s="3" t="s">
        <v>4172</v>
      </c>
      <c r="C2090" s="3" t="s">
        <v>3</v>
      </c>
      <c r="D2090" s="3" t="s">
        <v>3</v>
      </c>
      <c r="E2090" s="3" t="s">
        <v>4</v>
      </c>
    </row>
    <row r="2091" spans="1:5" hidden="1" x14ac:dyDescent="0.25">
      <c r="A2091" s="3" t="s">
        <v>4173</v>
      </c>
      <c r="B2091" s="3" t="s">
        <v>4174</v>
      </c>
      <c r="C2091" s="3" t="s">
        <v>3</v>
      </c>
      <c r="D2091" s="3" t="s">
        <v>3</v>
      </c>
      <c r="E2091" s="3" t="s">
        <v>4</v>
      </c>
    </row>
    <row r="2092" spans="1:5" hidden="1" x14ac:dyDescent="0.25">
      <c r="A2092" s="3" t="s">
        <v>4175</v>
      </c>
      <c r="B2092" s="3" t="s">
        <v>4176</v>
      </c>
      <c r="C2092" s="3" t="s">
        <v>3</v>
      </c>
      <c r="D2092" s="3" t="s">
        <v>3</v>
      </c>
      <c r="E2092" s="3" t="s">
        <v>4</v>
      </c>
    </row>
    <row r="2093" spans="1:5" hidden="1" x14ac:dyDescent="0.25">
      <c r="A2093" s="3" t="s">
        <v>4177</v>
      </c>
      <c r="B2093" s="3" t="s">
        <v>4178</v>
      </c>
      <c r="C2093" s="3" t="s">
        <v>3</v>
      </c>
      <c r="D2093" s="3" t="s">
        <v>3</v>
      </c>
      <c r="E2093" s="3" t="s">
        <v>4</v>
      </c>
    </row>
    <row r="2094" spans="1:5" hidden="1" x14ac:dyDescent="0.25">
      <c r="A2094" s="3" t="s">
        <v>4179</v>
      </c>
      <c r="B2094" s="3" t="s">
        <v>4180</v>
      </c>
      <c r="C2094" s="3" t="s">
        <v>3</v>
      </c>
      <c r="D2094" s="3" t="s">
        <v>3</v>
      </c>
      <c r="E2094" s="3" t="s">
        <v>4</v>
      </c>
    </row>
    <row r="2095" spans="1:5" hidden="1" x14ac:dyDescent="0.25">
      <c r="A2095" s="3" t="s">
        <v>4181</v>
      </c>
      <c r="B2095" s="3" t="s">
        <v>4182</v>
      </c>
      <c r="C2095" s="3" t="s">
        <v>3</v>
      </c>
      <c r="D2095" s="3" t="s">
        <v>3</v>
      </c>
      <c r="E2095" s="3" t="s">
        <v>4</v>
      </c>
    </row>
    <row r="2096" spans="1:5" hidden="1" x14ac:dyDescent="0.25">
      <c r="A2096" s="3" t="s">
        <v>4183</v>
      </c>
      <c r="B2096" s="3" t="s">
        <v>4184</v>
      </c>
      <c r="C2096" s="3" t="s">
        <v>3</v>
      </c>
      <c r="D2096" s="3" t="s">
        <v>3</v>
      </c>
      <c r="E2096" s="3" t="s">
        <v>4</v>
      </c>
    </row>
    <row r="2097" spans="1:5" hidden="1" x14ac:dyDescent="0.25">
      <c r="A2097" s="3" t="s">
        <v>4185</v>
      </c>
      <c r="B2097" s="3" t="s">
        <v>4186</v>
      </c>
      <c r="C2097" s="3" t="s">
        <v>3</v>
      </c>
      <c r="D2097" s="3" t="s">
        <v>3</v>
      </c>
      <c r="E2097" s="3" t="s">
        <v>4</v>
      </c>
    </row>
    <row r="2098" spans="1:5" hidden="1" x14ac:dyDescent="0.25">
      <c r="A2098" s="3" t="s">
        <v>4187</v>
      </c>
      <c r="B2098" s="3" t="s">
        <v>4188</v>
      </c>
      <c r="C2098" s="3" t="s">
        <v>3</v>
      </c>
      <c r="D2098" s="3" t="s">
        <v>3</v>
      </c>
      <c r="E2098" s="3" t="s">
        <v>4</v>
      </c>
    </row>
    <row r="2099" spans="1:5" hidden="1" x14ac:dyDescent="0.25">
      <c r="A2099" s="3" t="s">
        <v>4189</v>
      </c>
      <c r="B2099" s="3" t="s">
        <v>4190</v>
      </c>
      <c r="C2099" s="3" t="s">
        <v>3</v>
      </c>
      <c r="D2099" s="3" t="s">
        <v>3</v>
      </c>
      <c r="E2099" s="3" t="s">
        <v>4</v>
      </c>
    </row>
    <row r="2100" spans="1:5" hidden="1" x14ac:dyDescent="0.25">
      <c r="A2100" s="3" t="s">
        <v>4191</v>
      </c>
      <c r="B2100" s="3" t="s">
        <v>4192</v>
      </c>
      <c r="C2100" s="3" t="s">
        <v>3</v>
      </c>
      <c r="D2100" s="3" t="s">
        <v>3</v>
      </c>
      <c r="E2100" s="3" t="s">
        <v>4</v>
      </c>
    </row>
    <row r="2101" spans="1:5" hidden="1" x14ac:dyDescent="0.25">
      <c r="A2101" s="3" t="s">
        <v>4193</v>
      </c>
      <c r="B2101" s="3" t="s">
        <v>4194</v>
      </c>
      <c r="C2101" s="3" t="s">
        <v>3</v>
      </c>
      <c r="D2101" s="3" t="s">
        <v>3</v>
      </c>
      <c r="E2101" s="3" t="s">
        <v>4</v>
      </c>
    </row>
    <row r="2102" spans="1:5" hidden="1" x14ac:dyDescent="0.25">
      <c r="A2102" s="3" t="s">
        <v>4195</v>
      </c>
      <c r="B2102" s="3" t="s">
        <v>4196</v>
      </c>
      <c r="C2102" s="3" t="s">
        <v>3</v>
      </c>
      <c r="D2102" s="3" t="s">
        <v>3</v>
      </c>
      <c r="E2102" s="3" t="s">
        <v>4</v>
      </c>
    </row>
    <row r="2103" spans="1:5" hidden="1" x14ac:dyDescent="0.25">
      <c r="A2103" s="3" t="s">
        <v>4197</v>
      </c>
      <c r="B2103" s="3" t="s">
        <v>4198</v>
      </c>
      <c r="C2103" s="3" t="s">
        <v>3</v>
      </c>
      <c r="D2103" s="3" t="s">
        <v>3</v>
      </c>
      <c r="E2103" s="3" t="s">
        <v>4</v>
      </c>
    </row>
    <row r="2104" spans="1:5" hidden="1" x14ac:dyDescent="0.25">
      <c r="A2104" s="3" t="s">
        <v>4199</v>
      </c>
      <c r="B2104" s="3" t="s">
        <v>4200</v>
      </c>
      <c r="C2104" s="3" t="s">
        <v>3</v>
      </c>
      <c r="D2104" s="3" t="s">
        <v>3</v>
      </c>
      <c r="E2104" s="3" t="s">
        <v>4</v>
      </c>
    </row>
    <row r="2105" spans="1:5" hidden="1" x14ac:dyDescent="0.25">
      <c r="A2105" s="3" t="s">
        <v>4201</v>
      </c>
      <c r="B2105" s="3" t="s">
        <v>4202</v>
      </c>
      <c r="C2105" s="3" t="s">
        <v>3</v>
      </c>
      <c r="D2105" s="3" t="s">
        <v>3</v>
      </c>
      <c r="E2105" s="3" t="s">
        <v>4</v>
      </c>
    </row>
    <row r="2106" spans="1:5" hidden="1" x14ac:dyDescent="0.25">
      <c r="A2106" s="3" t="s">
        <v>4203</v>
      </c>
      <c r="B2106" s="3" t="s">
        <v>4204</v>
      </c>
      <c r="C2106" s="3" t="s">
        <v>3</v>
      </c>
      <c r="D2106" s="3" t="s">
        <v>3</v>
      </c>
      <c r="E2106" s="3" t="s">
        <v>4</v>
      </c>
    </row>
    <row r="2107" spans="1:5" hidden="1" x14ac:dyDescent="0.25">
      <c r="A2107" s="3" t="s">
        <v>4205</v>
      </c>
      <c r="B2107" s="3" t="s">
        <v>4206</v>
      </c>
      <c r="C2107" s="3" t="s">
        <v>3</v>
      </c>
      <c r="D2107" s="3" t="s">
        <v>3</v>
      </c>
      <c r="E2107" s="3" t="s">
        <v>4</v>
      </c>
    </row>
    <row r="2108" spans="1:5" hidden="1" x14ac:dyDescent="0.25">
      <c r="A2108" s="3" t="s">
        <v>4207</v>
      </c>
      <c r="B2108" s="3" t="s">
        <v>4208</v>
      </c>
      <c r="C2108" s="3" t="s">
        <v>3</v>
      </c>
      <c r="D2108" s="3" t="s">
        <v>3</v>
      </c>
      <c r="E2108" s="3" t="s">
        <v>4</v>
      </c>
    </row>
    <row r="2109" spans="1:5" hidden="1" x14ac:dyDescent="0.25">
      <c r="A2109" s="3" t="s">
        <v>4209</v>
      </c>
      <c r="B2109" s="3" t="s">
        <v>4210</v>
      </c>
      <c r="C2109" s="3" t="s">
        <v>3</v>
      </c>
      <c r="D2109" s="3" t="s">
        <v>3</v>
      </c>
      <c r="E2109" s="3" t="s">
        <v>4</v>
      </c>
    </row>
    <row r="2110" spans="1:5" hidden="1" x14ac:dyDescent="0.25">
      <c r="A2110" s="3" t="s">
        <v>4211</v>
      </c>
      <c r="B2110" s="3" t="s">
        <v>4212</v>
      </c>
      <c r="C2110" s="3" t="s">
        <v>3</v>
      </c>
      <c r="D2110" s="3" t="s">
        <v>3</v>
      </c>
      <c r="E2110" s="3" t="s">
        <v>4</v>
      </c>
    </row>
    <row r="2111" spans="1:5" hidden="1" x14ac:dyDescent="0.25">
      <c r="A2111" s="3" t="s">
        <v>4213</v>
      </c>
      <c r="B2111" s="3" t="s">
        <v>4214</v>
      </c>
      <c r="C2111" s="3" t="s">
        <v>3</v>
      </c>
      <c r="D2111" s="3" t="s">
        <v>3</v>
      </c>
      <c r="E2111" s="3" t="s">
        <v>4</v>
      </c>
    </row>
    <row r="2112" spans="1:5" hidden="1" x14ac:dyDescent="0.25">
      <c r="A2112" s="3" t="s">
        <v>4215</v>
      </c>
      <c r="B2112" s="3" t="s">
        <v>4216</v>
      </c>
      <c r="C2112" s="3" t="s">
        <v>3</v>
      </c>
      <c r="D2112" s="3" t="s">
        <v>3</v>
      </c>
      <c r="E2112" s="3" t="s">
        <v>4</v>
      </c>
    </row>
    <row r="2113" spans="1:5" hidden="1" x14ac:dyDescent="0.25">
      <c r="A2113" s="3" t="s">
        <v>4217</v>
      </c>
      <c r="B2113" s="3" t="s">
        <v>4218</v>
      </c>
      <c r="C2113" s="3" t="s">
        <v>3</v>
      </c>
      <c r="D2113" s="3" t="s">
        <v>3</v>
      </c>
      <c r="E2113" s="3" t="s">
        <v>4</v>
      </c>
    </row>
    <row r="2114" spans="1:5" hidden="1" x14ac:dyDescent="0.25">
      <c r="A2114" s="3" t="s">
        <v>4219</v>
      </c>
      <c r="B2114" s="3" t="s">
        <v>4220</v>
      </c>
      <c r="C2114" s="3" t="s">
        <v>3</v>
      </c>
      <c r="D2114" s="3" t="s">
        <v>3</v>
      </c>
      <c r="E2114" s="3" t="s">
        <v>4</v>
      </c>
    </row>
    <row r="2115" spans="1:5" hidden="1" x14ac:dyDescent="0.25">
      <c r="A2115" s="3" t="s">
        <v>4221</v>
      </c>
      <c r="B2115" s="3" t="s">
        <v>4222</v>
      </c>
      <c r="C2115" s="3" t="s">
        <v>3</v>
      </c>
      <c r="D2115" s="3" t="s">
        <v>3</v>
      </c>
      <c r="E2115" s="3" t="s">
        <v>4</v>
      </c>
    </row>
    <row r="2116" spans="1:5" hidden="1" x14ac:dyDescent="0.25">
      <c r="A2116" s="3" t="s">
        <v>4223</v>
      </c>
      <c r="B2116" s="3" t="s">
        <v>4224</v>
      </c>
      <c r="C2116" s="3" t="s">
        <v>3</v>
      </c>
      <c r="D2116" s="3" t="s">
        <v>3</v>
      </c>
      <c r="E2116" s="3" t="s">
        <v>4</v>
      </c>
    </row>
    <row r="2117" spans="1:5" hidden="1" x14ac:dyDescent="0.25">
      <c r="A2117" s="3" t="s">
        <v>4225</v>
      </c>
      <c r="B2117" s="3" t="s">
        <v>4226</v>
      </c>
      <c r="C2117" s="3" t="s">
        <v>3</v>
      </c>
      <c r="D2117" s="3" t="s">
        <v>3</v>
      </c>
      <c r="E2117" s="3" t="s">
        <v>4</v>
      </c>
    </row>
    <row r="2118" spans="1:5" hidden="1" x14ac:dyDescent="0.25">
      <c r="A2118" s="3" t="s">
        <v>4227</v>
      </c>
      <c r="B2118" s="3" t="s">
        <v>4228</v>
      </c>
      <c r="C2118" s="3" t="s">
        <v>3</v>
      </c>
      <c r="D2118" s="3" t="s">
        <v>3</v>
      </c>
      <c r="E2118" s="3" t="s">
        <v>4</v>
      </c>
    </row>
    <row r="2119" spans="1:5" hidden="1" x14ac:dyDescent="0.25">
      <c r="A2119" s="3" t="s">
        <v>4229</v>
      </c>
      <c r="B2119" s="3" t="s">
        <v>4230</v>
      </c>
      <c r="C2119" s="3" t="s">
        <v>3</v>
      </c>
      <c r="D2119" s="3" t="s">
        <v>3</v>
      </c>
      <c r="E2119" s="3" t="s">
        <v>4</v>
      </c>
    </row>
    <row r="2120" spans="1:5" hidden="1" x14ac:dyDescent="0.25">
      <c r="A2120" s="3" t="s">
        <v>4231</v>
      </c>
      <c r="B2120" s="3" t="s">
        <v>4232</v>
      </c>
      <c r="C2120" s="3" t="s">
        <v>3</v>
      </c>
      <c r="D2120" s="3" t="s">
        <v>3</v>
      </c>
      <c r="E2120" s="3" t="s">
        <v>4</v>
      </c>
    </row>
    <row r="2121" spans="1:5" hidden="1" x14ac:dyDescent="0.25">
      <c r="A2121" s="3" t="s">
        <v>4233</v>
      </c>
      <c r="B2121" s="3" t="s">
        <v>4234</v>
      </c>
      <c r="C2121" s="3" t="s">
        <v>3</v>
      </c>
      <c r="D2121" s="3" t="s">
        <v>3</v>
      </c>
      <c r="E2121" s="3" t="s">
        <v>4</v>
      </c>
    </row>
    <row r="2122" spans="1:5" hidden="1" x14ac:dyDescent="0.25">
      <c r="A2122" s="3" t="s">
        <v>4235</v>
      </c>
      <c r="B2122" s="3" t="s">
        <v>4236</v>
      </c>
      <c r="C2122" s="3" t="s">
        <v>3</v>
      </c>
      <c r="D2122" s="3" t="s">
        <v>3</v>
      </c>
      <c r="E2122" s="3" t="s">
        <v>4</v>
      </c>
    </row>
    <row r="2123" spans="1:5" hidden="1" x14ac:dyDescent="0.25">
      <c r="A2123" s="3" t="s">
        <v>4237</v>
      </c>
      <c r="B2123" s="3" t="s">
        <v>4238</v>
      </c>
      <c r="C2123" s="3" t="s">
        <v>3</v>
      </c>
      <c r="D2123" s="3" t="s">
        <v>3</v>
      </c>
      <c r="E2123" s="3" t="s">
        <v>4</v>
      </c>
    </row>
    <row r="2124" spans="1:5" hidden="1" x14ac:dyDescent="0.25">
      <c r="A2124" s="3" t="s">
        <v>4239</v>
      </c>
      <c r="B2124" s="3" t="s">
        <v>4240</v>
      </c>
      <c r="C2124" s="3" t="s">
        <v>3</v>
      </c>
      <c r="D2124" s="3" t="s">
        <v>3</v>
      </c>
      <c r="E2124" s="3" t="s">
        <v>4</v>
      </c>
    </row>
    <row r="2125" spans="1:5" hidden="1" x14ac:dyDescent="0.25">
      <c r="A2125" s="3" t="s">
        <v>4241</v>
      </c>
      <c r="B2125" s="3" t="s">
        <v>4242</v>
      </c>
      <c r="C2125" s="3" t="s">
        <v>3</v>
      </c>
      <c r="D2125" s="3" t="s">
        <v>3</v>
      </c>
      <c r="E2125" s="3" t="s">
        <v>4</v>
      </c>
    </row>
    <row r="2126" spans="1:5" hidden="1" x14ac:dyDescent="0.25">
      <c r="A2126" s="3" t="s">
        <v>4243</v>
      </c>
      <c r="B2126" s="3" t="s">
        <v>4244</v>
      </c>
      <c r="C2126" s="3" t="s">
        <v>3</v>
      </c>
      <c r="D2126" s="3" t="s">
        <v>3</v>
      </c>
      <c r="E2126" s="3" t="s">
        <v>4</v>
      </c>
    </row>
    <row r="2127" spans="1:5" hidden="1" x14ac:dyDescent="0.25">
      <c r="A2127" s="3" t="s">
        <v>4245</v>
      </c>
      <c r="B2127" s="3" t="s">
        <v>4246</v>
      </c>
      <c r="C2127" s="3" t="s">
        <v>3</v>
      </c>
      <c r="D2127" s="3" t="s">
        <v>3</v>
      </c>
      <c r="E2127" s="3" t="s">
        <v>4</v>
      </c>
    </row>
    <row r="2128" spans="1:5" hidden="1" x14ac:dyDescent="0.25">
      <c r="A2128" s="3" t="s">
        <v>4247</v>
      </c>
      <c r="B2128" s="3" t="s">
        <v>4248</v>
      </c>
      <c r="C2128" s="3" t="s">
        <v>3</v>
      </c>
      <c r="D2128" s="3" t="s">
        <v>3</v>
      </c>
      <c r="E2128" s="3" t="s">
        <v>4</v>
      </c>
    </row>
    <row r="2129" spans="1:5" hidden="1" x14ac:dyDescent="0.25">
      <c r="A2129" s="3" t="s">
        <v>4249</v>
      </c>
      <c r="B2129" s="3" t="s">
        <v>4250</v>
      </c>
      <c r="C2129" s="3" t="s">
        <v>3</v>
      </c>
      <c r="D2129" s="3" t="s">
        <v>3</v>
      </c>
      <c r="E2129" s="3" t="s">
        <v>4</v>
      </c>
    </row>
    <row r="2130" spans="1:5" hidden="1" x14ac:dyDescent="0.25">
      <c r="A2130" s="3" t="s">
        <v>4251</v>
      </c>
      <c r="B2130" s="3" t="s">
        <v>4252</v>
      </c>
      <c r="C2130" s="3" t="s">
        <v>3</v>
      </c>
      <c r="D2130" s="3" t="s">
        <v>3</v>
      </c>
      <c r="E2130" s="3" t="s">
        <v>4</v>
      </c>
    </row>
    <row r="2131" spans="1:5" hidden="1" x14ac:dyDescent="0.25">
      <c r="A2131" s="3" t="s">
        <v>4253</v>
      </c>
      <c r="B2131" s="3" t="s">
        <v>4254</v>
      </c>
      <c r="C2131" s="3" t="s">
        <v>3</v>
      </c>
      <c r="D2131" s="3" t="s">
        <v>3</v>
      </c>
      <c r="E2131" s="3" t="s">
        <v>4</v>
      </c>
    </row>
    <row r="2132" spans="1:5" hidden="1" x14ac:dyDescent="0.25">
      <c r="A2132" s="3" t="s">
        <v>4255</v>
      </c>
      <c r="B2132" s="3" t="s">
        <v>4256</v>
      </c>
      <c r="C2132" s="3" t="s">
        <v>3</v>
      </c>
      <c r="D2132" s="3" t="s">
        <v>3</v>
      </c>
      <c r="E2132" s="3" t="s">
        <v>4</v>
      </c>
    </row>
    <row r="2133" spans="1:5" hidden="1" x14ac:dyDescent="0.25">
      <c r="A2133" s="3" t="s">
        <v>4257</v>
      </c>
      <c r="B2133" s="3" t="s">
        <v>4258</v>
      </c>
      <c r="C2133" s="3" t="s">
        <v>3</v>
      </c>
      <c r="D2133" s="3" t="s">
        <v>3</v>
      </c>
      <c r="E2133" s="3" t="s">
        <v>4</v>
      </c>
    </row>
    <row r="2134" spans="1:5" hidden="1" x14ac:dyDescent="0.25">
      <c r="A2134" s="3" t="s">
        <v>4259</v>
      </c>
      <c r="B2134" s="3" t="s">
        <v>4260</v>
      </c>
      <c r="C2134" s="3" t="s">
        <v>3</v>
      </c>
      <c r="D2134" s="3" t="s">
        <v>3</v>
      </c>
      <c r="E2134" s="3" t="s">
        <v>4</v>
      </c>
    </row>
    <row r="2135" spans="1:5" hidden="1" x14ac:dyDescent="0.25">
      <c r="A2135" s="3" t="s">
        <v>4261</v>
      </c>
      <c r="B2135" s="3" t="s">
        <v>4262</v>
      </c>
      <c r="C2135" s="3" t="s">
        <v>3</v>
      </c>
      <c r="D2135" s="3" t="s">
        <v>3</v>
      </c>
      <c r="E2135" s="3" t="s">
        <v>4</v>
      </c>
    </row>
    <row r="2136" spans="1:5" hidden="1" x14ac:dyDescent="0.25">
      <c r="A2136" s="3" t="s">
        <v>4263</v>
      </c>
      <c r="B2136" s="3" t="s">
        <v>4264</v>
      </c>
      <c r="C2136" s="3" t="s">
        <v>3</v>
      </c>
      <c r="D2136" s="3" t="s">
        <v>3</v>
      </c>
      <c r="E2136" s="3" t="s">
        <v>4</v>
      </c>
    </row>
    <row r="2137" spans="1:5" hidden="1" x14ac:dyDescent="0.25">
      <c r="A2137" s="3" t="s">
        <v>4265</v>
      </c>
      <c r="B2137" s="3" t="s">
        <v>4266</v>
      </c>
      <c r="C2137" s="3" t="s">
        <v>3</v>
      </c>
      <c r="D2137" s="3" t="s">
        <v>3</v>
      </c>
      <c r="E2137" s="3" t="s">
        <v>4</v>
      </c>
    </row>
    <row r="2138" spans="1:5" hidden="1" x14ac:dyDescent="0.25">
      <c r="A2138" s="3" t="s">
        <v>4267</v>
      </c>
      <c r="B2138" s="3" t="s">
        <v>4268</v>
      </c>
      <c r="C2138" s="3" t="s">
        <v>3</v>
      </c>
      <c r="D2138" s="3" t="s">
        <v>3</v>
      </c>
      <c r="E2138" s="3" t="s">
        <v>4</v>
      </c>
    </row>
    <row r="2139" spans="1:5" hidden="1" x14ac:dyDescent="0.25">
      <c r="A2139" s="3" t="s">
        <v>4269</v>
      </c>
      <c r="B2139" s="3" t="s">
        <v>4270</v>
      </c>
      <c r="C2139" s="3" t="s">
        <v>3</v>
      </c>
      <c r="D2139" s="3" t="s">
        <v>3</v>
      </c>
      <c r="E2139" s="3" t="s">
        <v>4</v>
      </c>
    </row>
    <row r="2140" spans="1:5" hidden="1" x14ac:dyDescent="0.25">
      <c r="A2140" s="3" t="s">
        <v>4271</v>
      </c>
      <c r="B2140" s="3" t="s">
        <v>4272</v>
      </c>
      <c r="C2140" s="3" t="s">
        <v>3</v>
      </c>
      <c r="D2140" s="3" t="s">
        <v>3</v>
      </c>
      <c r="E2140" s="3" t="s">
        <v>4</v>
      </c>
    </row>
    <row r="2141" spans="1:5" hidden="1" x14ac:dyDescent="0.25">
      <c r="A2141" s="3" t="s">
        <v>4273</v>
      </c>
      <c r="B2141" s="3" t="s">
        <v>4274</v>
      </c>
      <c r="C2141" s="3" t="s">
        <v>3</v>
      </c>
      <c r="D2141" s="3" t="s">
        <v>3</v>
      </c>
      <c r="E2141" s="3" t="s">
        <v>4</v>
      </c>
    </row>
    <row r="2142" spans="1:5" hidden="1" x14ac:dyDescent="0.25">
      <c r="A2142" s="3" t="s">
        <v>4275</v>
      </c>
      <c r="B2142" s="3" t="s">
        <v>4276</v>
      </c>
      <c r="C2142" s="3" t="s">
        <v>3</v>
      </c>
      <c r="D2142" s="3" t="s">
        <v>3</v>
      </c>
      <c r="E2142" s="3" t="s">
        <v>4</v>
      </c>
    </row>
    <row r="2143" spans="1:5" hidden="1" x14ac:dyDescent="0.25">
      <c r="A2143" s="3" t="s">
        <v>4277</v>
      </c>
      <c r="B2143" s="3" t="s">
        <v>4278</v>
      </c>
      <c r="C2143" s="3" t="s">
        <v>3</v>
      </c>
      <c r="D2143" s="3" t="s">
        <v>3</v>
      </c>
      <c r="E2143" s="3" t="s">
        <v>4</v>
      </c>
    </row>
    <row r="2144" spans="1:5" hidden="1" x14ac:dyDescent="0.25">
      <c r="A2144" s="3" t="s">
        <v>4279</v>
      </c>
      <c r="B2144" s="3" t="s">
        <v>4280</v>
      </c>
      <c r="C2144" s="3" t="s">
        <v>3</v>
      </c>
      <c r="D2144" s="3" t="s">
        <v>3</v>
      </c>
      <c r="E2144" s="3" t="s">
        <v>4</v>
      </c>
    </row>
    <row r="2145" spans="1:5" hidden="1" x14ac:dyDescent="0.25">
      <c r="A2145" s="3" t="s">
        <v>4281</v>
      </c>
      <c r="B2145" s="3" t="s">
        <v>4282</v>
      </c>
      <c r="C2145" s="3" t="s">
        <v>3</v>
      </c>
      <c r="D2145" s="3" t="s">
        <v>3</v>
      </c>
      <c r="E2145" s="3" t="s">
        <v>4</v>
      </c>
    </row>
    <row r="2146" spans="1:5" hidden="1" x14ac:dyDescent="0.25">
      <c r="A2146" s="3" t="s">
        <v>4283</v>
      </c>
      <c r="B2146" s="3" t="s">
        <v>4284</v>
      </c>
      <c r="C2146" s="3" t="s">
        <v>3</v>
      </c>
      <c r="D2146" s="3" t="s">
        <v>3</v>
      </c>
      <c r="E2146" s="3" t="s">
        <v>4</v>
      </c>
    </row>
    <row r="2147" spans="1:5" hidden="1" x14ac:dyDescent="0.25">
      <c r="A2147" s="3" t="s">
        <v>4285</v>
      </c>
      <c r="B2147" s="3" t="s">
        <v>4286</v>
      </c>
      <c r="C2147" s="3" t="s">
        <v>3</v>
      </c>
      <c r="D2147" s="3" t="s">
        <v>3</v>
      </c>
      <c r="E2147" s="3" t="s">
        <v>4</v>
      </c>
    </row>
    <row r="2148" spans="1:5" hidden="1" x14ac:dyDescent="0.25">
      <c r="A2148" s="3" t="s">
        <v>4287</v>
      </c>
      <c r="B2148" s="3" t="s">
        <v>4288</v>
      </c>
      <c r="C2148" s="3" t="s">
        <v>3</v>
      </c>
      <c r="D2148" s="3" t="s">
        <v>3</v>
      </c>
      <c r="E2148" s="3" t="s">
        <v>4</v>
      </c>
    </row>
    <row r="2149" spans="1:5" hidden="1" x14ac:dyDescent="0.25">
      <c r="A2149" s="3" t="s">
        <v>4289</v>
      </c>
      <c r="B2149" s="3" t="s">
        <v>4290</v>
      </c>
      <c r="C2149" s="3" t="s">
        <v>3</v>
      </c>
      <c r="D2149" s="3" t="s">
        <v>3</v>
      </c>
      <c r="E2149" s="3" t="s">
        <v>4</v>
      </c>
    </row>
    <row r="2150" spans="1:5" hidden="1" x14ac:dyDescent="0.25">
      <c r="A2150" s="3" t="s">
        <v>4291</v>
      </c>
      <c r="B2150" s="3" t="s">
        <v>4292</v>
      </c>
      <c r="C2150" s="3" t="s">
        <v>3</v>
      </c>
      <c r="D2150" s="3" t="s">
        <v>3</v>
      </c>
      <c r="E2150" s="3" t="s">
        <v>4</v>
      </c>
    </row>
    <row r="2151" spans="1:5" hidden="1" x14ac:dyDescent="0.25">
      <c r="A2151" s="3" t="s">
        <v>4293</v>
      </c>
      <c r="B2151" s="3" t="s">
        <v>4294</v>
      </c>
      <c r="C2151" s="3" t="s">
        <v>3</v>
      </c>
      <c r="D2151" s="3" t="s">
        <v>3</v>
      </c>
      <c r="E2151" s="3" t="s">
        <v>4</v>
      </c>
    </row>
    <row r="2152" spans="1:5" hidden="1" x14ac:dyDescent="0.25">
      <c r="A2152" s="3" t="s">
        <v>4295</v>
      </c>
      <c r="B2152" s="3" t="s">
        <v>4296</v>
      </c>
      <c r="C2152" s="3" t="s">
        <v>3</v>
      </c>
      <c r="D2152" s="3" t="s">
        <v>3</v>
      </c>
      <c r="E2152" s="3" t="s">
        <v>4</v>
      </c>
    </row>
    <row r="2153" spans="1:5" hidden="1" x14ac:dyDescent="0.25">
      <c r="A2153" s="3" t="s">
        <v>4297</v>
      </c>
      <c r="B2153" s="3" t="s">
        <v>4298</v>
      </c>
      <c r="C2153" s="3" t="s">
        <v>3</v>
      </c>
      <c r="D2153" s="3" t="s">
        <v>3</v>
      </c>
      <c r="E2153" s="3" t="s">
        <v>4</v>
      </c>
    </row>
    <row r="2154" spans="1:5" hidden="1" x14ac:dyDescent="0.25">
      <c r="A2154" s="3" t="s">
        <v>4299</v>
      </c>
      <c r="B2154" s="3" t="s">
        <v>4300</v>
      </c>
      <c r="C2154" s="3" t="s">
        <v>3</v>
      </c>
      <c r="D2154" s="3" t="s">
        <v>3</v>
      </c>
      <c r="E2154" s="3" t="s">
        <v>4</v>
      </c>
    </row>
    <row r="2155" spans="1:5" hidden="1" x14ac:dyDescent="0.25">
      <c r="A2155" s="3" t="s">
        <v>4301</v>
      </c>
      <c r="B2155" s="3" t="s">
        <v>4302</v>
      </c>
      <c r="C2155" s="3" t="s">
        <v>3</v>
      </c>
      <c r="D2155" s="3" t="s">
        <v>3</v>
      </c>
      <c r="E2155" s="3" t="s">
        <v>4</v>
      </c>
    </row>
    <row r="2156" spans="1:5" hidden="1" x14ac:dyDescent="0.25">
      <c r="A2156" s="3" t="s">
        <v>4303</v>
      </c>
      <c r="B2156" s="3" t="s">
        <v>4304</v>
      </c>
      <c r="C2156" s="3" t="s">
        <v>3</v>
      </c>
      <c r="D2156" s="3" t="s">
        <v>3</v>
      </c>
      <c r="E2156" s="3" t="s">
        <v>4</v>
      </c>
    </row>
    <row r="2157" spans="1:5" hidden="1" x14ac:dyDescent="0.25">
      <c r="A2157" s="3" t="s">
        <v>4305</v>
      </c>
      <c r="B2157" s="3" t="s">
        <v>4306</v>
      </c>
      <c r="C2157" s="3" t="s">
        <v>3</v>
      </c>
      <c r="D2157" s="3" t="s">
        <v>3</v>
      </c>
      <c r="E2157" s="3" t="s">
        <v>4</v>
      </c>
    </row>
    <row r="2158" spans="1:5" hidden="1" x14ac:dyDescent="0.25">
      <c r="A2158" s="3" t="s">
        <v>4307</v>
      </c>
      <c r="B2158" s="3" t="s">
        <v>4308</v>
      </c>
      <c r="C2158" s="3" t="s">
        <v>3</v>
      </c>
      <c r="D2158" s="3" t="s">
        <v>3</v>
      </c>
      <c r="E2158" s="3" t="s">
        <v>4</v>
      </c>
    </row>
    <row r="2159" spans="1:5" hidden="1" x14ac:dyDescent="0.25">
      <c r="A2159" s="3" t="s">
        <v>4309</v>
      </c>
      <c r="B2159" s="3" t="s">
        <v>4310</v>
      </c>
      <c r="C2159" s="3" t="s">
        <v>3</v>
      </c>
      <c r="D2159" s="3" t="s">
        <v>3</v>
      </c>
      <c r="E2159" s="3" t="s">
        <v>4</v>
      </c>
    </row>
    <row r="2160" spans="1:5" hidden="1" x14ac:dyDescent="0.25">
      <c r="A2160" s="3" t="s">
        <v>4311</v>
      </c>
      <c r="B2160" s="3" t="s">
        <v>4312</v>
      </c>
      <c r="C2160" s="3" t="s">
        <v>3</v>
      </c>
      <c r="D2160" s="3" t="s">
        <v>3</v>
      </c>
      <c r="E2160" s="3" t="s">
        <v>4</v>
      </c>
    </row>
    <row r="2161" spans="1:5" hidden="1" x14ac:dyDescent="0.25">
      <c r="A2161" s="3" t="s">
        <v>4313</v>
      </c>
      <c r="B2161" s="3" t="s">
        <v>4314</v>
      </c>
      <c r="C2161" s="3" t="s">
        <v>3</v>
      </c>
      <c r="D2161" s="3" t="s">
        <v>3</v>
      </c>
      <c r="E2161" s="3" t="s">
        <v>4</v>
      </c>
    </row>
    <row r="2162" spans="1:5" hidden="1" x14ac:dyDescent="0.25">
      <c r="A2162" s="3" t="s">
        <v>4315</v>
      </c>
      <c r="B2162" s="3" t="s">
        <v>4316</v>
      </c>
      <c r="C2162" s="3" t="s">
        <v>3</v>
      </c>
      <c r="D2162" s="3" t="s">
        <v>3</v>
      </c>
      <c r="E2162" s="3" t="s">
        <v>4</v>
      </c>
    </row>
    <row r="2163" spans="1:5" hidden="1" x14ac:dyDescent="0.25">
      <c r="A2163" s="3" t="s">
        <v>4317</v>
      </c>
      <c r="B2163" s="3" t="s">
        <v>4318</v>
      </c>
      <c r="C2163" s="3" t="s">
        <v>3</v>
      </c>
      <c r="D2163" s="3" t="s">
        <v>3</v>
      </c>
      <c r="E2163" s="3" t="s">
        <v>4</v>
      </c>
    </row>
    <row r="2164" spans="1:5" hidden="1" x14ac:dyDescent="0.25">
      <c r="A2164" s="3" t="s">
        <v>4319</v>
      </c>
      <c r="B2164" s="3" t="s">
        <v>4320</v>
      </c>
      <c r="C2164" s="3" t="s">
        <v>3</v>
      </c>
      <c r="D2164" s="3" t="s">
        <v>3</v>
      </c>
      <c r="E2164" s="3" t="s">
        <v>4</v>
      </c>
    </row>
    <row r="2165" spans="1:5" hidden="1" x14ac:dyDescent="0.25">
      <c r="A2165" s="3" t="s">
        <v>4321</v>
      </c>
      <c r="B2165" s="3" t="s">
        <v>4322</v>
      </c>
      <c r="C2165" s="3" t="s">
        <v>3</v>
      </c>
      <c r="D2165" s="3" t="s">
        <v>3</v>
      </c>
      <c r="E2165" s="3" t="s">
        <v>4</v>
      </c>
    </row>
    <row r="2166" spans="1:5" hidden="1" x14ac:dyDescent="0.25">
      <c r="A2166" s="3" t="s">
        <v>4323</v>
      </c>
      <c r="B2166" s="3" t="s">
        <v>4324</v>
      </c>
      <c r="C2166" s="3" t="s">
        <v>3</v>
      </c>
      <c r="D2166" s="3" t="s">
        <v>3</v>
      </c>
      <c r="E2166" s="3" t="s">
        <v>4</v>
      </c>
    </row>
    <row r="2167" spans="1:5" hidden="1" x14ac:dyDescent="0.25">
      <c r="A2167" s="3" t="s">
        <v>4325</v>
      </c>
      <c r="B2167" s="3" t="s">
        <v>4326</v>
      </c>
      <c r="C2167" s="3" t="s">
        <v>3</v>
      </c>
      <c r="D2167" s="3" t="s">
        <v>3</v>
      </c>
      <c r="E2167" s="3" t="s">
        <v>4</v>
      </c>
    </row>
    <row r="2168" spans="1:5" hidden="1" x14ac:dyDescent="0.25">
      <c r="A2168" s="3" t="s">
        <v>4327</v>
      </c>
      <c r="B2168" s="3" t="s">
        <v>4328</v>
      </c>
      <c r="C2168" s="3" t="s">
        <v>3</v>
      </c>
      <c r="D2168" s="3" t="s">
        <v>3</v>
      </c>
      <c r="E2168" s="3" t="s">
        <v>4</v>
      </c>
    </row>
    <row r="2169" spans="1:5" hidden="1" x14ac:dyDescent="0.25">
      <c r="A2169" s="3" t="s">
        <v>4329</v>
      </c>
      <c r="B2169" s="3" t="s">
        <v>4330</v>
      </c>
      <c r="C2169" s="3" t="s">
        <v>3</v>
      </c>
      <c r="D2169" s="3" t="s">
        <v>3</v>
      </c>
      <c r="E2169" s="3" t="s">
        <v>4</v>
      </c>
    </row>
    <row r="2170" spans="1:5" hidden="1" x14ac:dyDescent="0.25">
      <c r="A2170" s="3" t="s">
        <v>4331</v>
      </c>
      <c r="B2170" s="3" t="s">
        <v>4332</v>
      </c>
      <c r="C2170" s="3" t="s">
        <v>3</v>
      </c>
      <c r="D2170" s="3" t="s">
        <v>3</v>
      </c>
      <c r="E2170" s="3" t="s">
        <v>4</v>
      </c>
    </row>
    <row r="2171" spans="1:5" hidden="1" x14ac:dyDescent="0.25">
      <c r="A2171" s="3" t="s">
        <v>4333</v>
      </c>
      <c r="B2171" s="3" t="s">
        <v>4334</v>
      </c>
      <c r="C2171" s="3" t="s">
        <v>3</v>
      </c>
      <c r="D2171" s="3" t="s">
        <v>3</v>
      </c>
      <c r="E2171" s="3" t="s">
        <v>4</v>
      </c>
    </row>
    <row r="2172" spans="1:5" hidden="1" x14ac:dyDescent="0.25">
      <c r="A2172" s="3" t="s">
        <v>4335</v>
      </c>
      <c r="B2172" s="3" t="s">
        <v>4336</v>
      </c>
      <c r="C2172" s="3" t="s">
        <v>3</v>
      </c>
      <c r="D2172" s="3" t="s">
        <v>3</v>
      </c>
      <c r="E2172" s="3" t="s">
        <v>4</v>
      </c>
    </row>
    <row r="2173" spans="1:5" hidden="1" x14ac:dyDescent="0.25">
      <c r="A2173" s="3" t="s">
        <v>4337</v>
      </c>
      <c r="B2173" s="3" t="s">
        <v>4338</v>
      </c>
      <c r="C2173" s="3" t="s">
        <v>3</v>
      </c>
      <c r="D2173" s="3" t="s">
        <v>3</v>
      </c>
      <c r="E2173" s="3" t="s">
        <v>4</v>
      </c>
    </row>
    <row r="2174" spans="1:5" hidden="1" x14ac:dyDescent="0.25">
      <c r="A2174" s="3" t="s">
        <v>4339</v>
      </c>
      <c r="B2174" s="3" t="s">
        <v>4340</v>
      </c>
      <c r="C2174" s="3" t="s">
        <v>3</v>
      </c>
      <c r="D2174" s="3" t="s">
        <v>3</v>
      </c>
      <c r="E2174" s="3" t="s">
        <v>4</v>
      </c>
    </row>
    <row r="2175" spans="1:5" hidden="1" x14ac:dyDescent="0.25">
      <c r="A2175" s="3" t="s">
        <v>4341</v>
      </c>
      <c r="B2175" s="3" t="s">
        <v>4342</v>
      </c>
      <c r="C2175" s="3" t="s">
        <v>3</v>
      </c>
      <c r="D2175" s="3" t="s">
        <v>3</v>
      </c>
      <c r="E2175" s="3" t="s">
        <v>4</v>
      </c>
    </row>
    <row r="2176" spans="1:5" hidden="1" x14ac:dyDescent="0.25">
      <c r="A2176" s="3" t="s">
        <v>4343</v>
      </c>
      <c r="B2176" s="3" t="s">
        <v>4344</v>
      </c>
      <c r="C2176" s="3" t="s">
        <v>3</v>
      </c>
      <c r="D2176" s="3" t="s">
        <v>3</v>
      </c>
      <c r="E2176" s="3" t="s">
        <v>4</v>
      </c>
    </row>
    <row r="2177" spans="1:5" hidden="1" x14ac:dyDescent="0.25">
      <c r="A2177" s="3" t="s">
        <v>4345</v>
      </c>
      <c r="B2177" s="3" t="s">
        <v>4346</v>
      </c>
      <c r="C2177" s="3" t="s">
        <v>3</v>
      </c>
      <c r="D2177" s="3" t="s">
        <v>3</v>
      </c>
      <c r="E2177" s="3" t="s">
        <v>4</v>
      </c>
    </row>
    <row r="2178" spans="1:5" hidden="1" x14ac:dyDescent="0.25">
      <c r="A2178" s="3" t="s">
        <v>4347</v>
      </c>
      <c r="B2178" s="3" t="s">
        <v>4348</v>
      </c>
      <c r="C2178" s="3" t="s">
        <v>3</v>
      </c>
      <c r="D2178" s="3" t="s">
        <v>3</v>
      </c>
      <c r="E2178" s="3" t="s">
        <v>4</v>
      </c>
    </row>
    <row r="2179" spans="1:5" hidden="1" x14ac:dyDescent="0.25">
      <c r="A2179" s="3" t="s">
        <v>4349</v>
      </c>
      <c r="B2179" s="3" t="s">
        <v>4350</v>
      </c>
      <c r="C2179" s="3" t="s">
        <v>3</v>
      </c>
      <c r="D2179" s="3" t="s">
        <v>3</v>
      </c>
      <c r="E2179" s="3" t="s">
        <v>4</v>
      </c>
    </row>
    <row r="2180" spans="1:5" hidden="1" x14ac:dyDescent="0.25">
      <c r="A2180" s="3" t="s">
        <v>4351</v>
      </c>
      <c r="B2180" s="3" t="s">
        <v>4352</v>
      </c>
      <c r="C2180" s="3" t="s">
        <v>3</v>
      </c>
      <c r="D2180" s="3" t="s">
        <v>3</v>
      </c>
      <c r="E2180" s="3" t="s">
        <v>4</v>
      </c>
    </row>
    <row r="2181" spans="1:5" hidden="1" x14ac:dyDescent="0.25">
      <c r="A2181" s="3" t="s">
        <v>4353</v>
      </c>
      <c r="B2181" s="3" t="s">
        <v>4354</v>
      </c>
      <c r="C2181" s="3" t="s">
        <v>3</v>
      </c>
      <c r="D2181" s="3" t="s">
        <v>3</v>
      </c>
      <c r="E2181" s="3" t="s">
        <v>4</v>
      </c>
    </row>
    <row r="2182" spans="1:5" hidden="1" x14ac:dyDescent="0.25">
      <c r="A2182" s="3" t="s">
        <v>4355</v>
      </c>
      <c r="B2182" s="3" t="s">
        <v>4356</v>
      </c>
      <c r="C2182" s="3" t="s">
        <v>3</v>
      </c>
      <c r="D2182" s="3" t="s">
        <v>3</v>
      </c>
      <c r="E2182" s="3" t="s">
        <v>4</v>
      </c>
    </row>
    <row r="2183" spans="1:5" hidden="1" x14ac:dyDescent="0.25">
      <c r="A2183" s="3" t="s">
        <v>4357</v>
      </c>
      <c r="B2183" s="3" t="s">
        <v>4358</v>
      </c>
      <c r="C2183" s="3" t="s">
        <v>3</v>
      </c>
      <c r="D2183" s="3" t="s">
        <v>3</v>
      </c>
      <c r="E2183" s="3" t="s">
        <v>4</v>
      </c>
    </row>
    <row r="2184" spans="1:5" hidden="1" x14ac:dyDescent="0.25">
      <c r="A2184" s="3" t="s">
        <v>4359</v>
      </c>
      <c r="B2184" s="3" t="s">
        <v>4360</v>
      </c>
      <c r="C2184" s="3" t="s">
        <v>3</v>
      </c>
      <c r="D2184" s="3" t="s">
        <v>3</v>
      </c>
      <c r="E2184" s="3" t="s">
        <v>4</v>
      </c>
    </row>
    <row r="2185" spans="1:5" hidden="1" x14ac:dyDescent="0.25">
      <c r="A2185" s="3" t="s">
        <v>4361</v>
      </c>
      <c r="B2185" s="3" t="s">
        <v>4362</v>
      </c>
      <c r="C2185" s="3" t="s">
        <v>3</v>
      </c>
      <c r="D2185" s="3" t="s">
        <v>3</v>
      </c>
      <c r="E2185" s="3" t="s">
        <v>4</v>
      </c>
    </row>
    <row r="2186" spans="1:5" hidden="1" x14ac:dyDescent="0.25">
      <c r="A2186" s="3" t="s">
        <v>4363</v>
      </c>
      <c r="B2186" s="3" t="s">
        <v>4364</v>
      </c>
      <c r="C2186" s="3" t="s">
        <v>3</v>
      </c>
      <c r="D2186" s="3" t="s">
        <v>3</v>
      </c>
      <c r="E2186" s="3" t="s">
        <v>4</v>
      </c>
    </row>
    <row r="2187" spans="1:5" hidden="1" x14ac:dyDescent="0.25">
      <c r="A2187" s="3" t="s">
        <v>4365</v>
      </c>
      <c r="B2187" s="3" t="s">
        <v>4366</v>
      </c>
      <c r="C2187" s="3" t="s">
        <v>3</v>
      </c>
      <c r="D2187" s="3" t="s">
        <v>3</v>
      </c>
      <c r="E2187" s="3" t="s">
        <v>4</v>
      </c>
    </row>
    <row r="2188" spans="1:5" hidden="1" x14ac:dyDescent="0.25">
      <c r="A2188" s="3" t="s">
        <v>4367</v>
      </c>
      <c r="B2188" s="3" t="s">
        <v>4368</v>
      </c>
      <c r="C2188" s="3" t="s">
        <v>3</v>
      </c>
      <c r="D2188" s="3" t="s">
        <v>3</v>
      </c>
      <c r="E2188" s="3" t="s">
        <v>4</v>
      </c>
    </row>
    <row r="2189" spans="1:5" hidden="1" x14ac:dyDescent="0.25">
      <c r="A2189" s="3" t="s">
        <v>4369</v>
      </c>
      <c r="B2189" s="3" t="s">
        <v>4370</v>
      </c>
      <c r="C2189" s="3" t="s">
        <v>3</v>
      </c>
      <c r="D2189" s="3" t="s">
        <v>3</v>
      </c>
      <c r="E2189" s="3" t="s">
        <v>4</v>
      </c>
    </row>
    <row r="2190" spans="1:5" hidden="1" x14ac:dyDescent="0.25">
      <c r="A2190" s="3" t="s">
        <v>4371</v>
      </c>
      <c r="B2190" s="3" t="s">
        <v>4372</v>
      </c>
      <c r="C2190" s="3" t="s">
        <v>3</v>
      </c>
      <c r="D2190" s="3" t="s">
        <v>3</v>
      </c>
      <c r="E2190" s="3" t="s">
        <v>4</v>
      </c>
    </row>
    <row r="2191" spans="1:5" hidden="1" x14ac:dyDescent="0.25">
      <c r="A2191" s="3" t="s">
        <v>4373</v>
      </c>
      <c r="B2191" s="3" t="s">
        <v>4374</v>
      </c>
      <c r="C2191" s="3" t="s">
        <v>3</v>
      </c>
      <c r="D2191" s="3" t="s">
        <v>3</v>
      </c>
      <c r="E2191" s="3" t="s">
        <v>4</v>
      </c>
    </row>
    <row r="2192" spans="1:5" hidden="1" x14ac:dyDescent="0.25">
      <c r="A2192" s="3" t="s">
        <v>4375</v>
      </c>
      <c r="B2192" s="3" t="s">
        <v>4376</v>
      </c>
      <c r="C2192" s="3" t="s">
        <v>3</v>
      </c>
      <c r="D2192" s="3" t="s">
        <v>3</v>
      </c>
      <c r="E2192" s="3" t="s">
        <v>4</v>
      </c>
    </row>
    <row r="2193" spans="1:5" hidden="1" x14ac:dyDescent="0.25">
      <c r="A2193" s="3" t="s">
        <v>4377</v>
      </c>
      <c r="B2193" s="3" t="s">
        <v>4378</v>
      </c>
      <c r="C2193" s="3" t="s">
        <v>3</v>
      </c>
      <c r="D2193" s="3" t="s">
        <v>3</v>
      </c>
      <c r="E2193" s="3" t="s">
        <v>4</v>
      </c>
    </row>
    <row r="2194" spans="1:5" hidden="1" x14ac:dyDescent="0.25">
      <c r="A2194" s="3" t="s">
        <v>4379</v>
      </c>
      <c r="B2194" s="3" t="s">
        <v>4380</v>
      </c>
      <c r="C2194" s="3" t="s">
        <v>3</v>
      </c>
      <c r="D2194" s="3" t="s">
        <v>3</v>
      </c>
      <c r="E2194" s="3" t="s">
        <v>4</v>
      </c>
    </row>
    <row r="2195" spans="1:5" hidden="1" x14ac:dyDescent="0.25">
      <c r="A2195" s="3" t="s">
        <v>4381</v>
      </c>
      <c r="B2195" s="3" t="s">
        <v>4382</v>
      </c>
      <c r="C2195" s="3" t="s">
        <v>3</v>
      </c>
      <c r="D2195" s="3" t="s">
        <v>3</v>
      </c>
      <c r="E2195" s="3" t="s">
        <v>4</v>
      </c>
    </row>
    <row r="2196" spans="1:5" hidden="1" x14ac:dyDescent="0.25">
      <c r="A2196" s="3" t="s">
        <v>4383</v>
      </c>
      <c r="B2196" s="3" t="s">
        <v>4384</v>
      </c>
      <c r="C2196" s="3" t="s">
        <v>3</v>
      </c>
      <c r="D2196" s="3" t="s">
        <v>3</v>
      </c>
      <c r="E2196" s="3" t="s">
        <v>4</v>
      </c>
    </row>
    <row r="2197" spans="1:5" hidden="1" x14ac:dyDescent="0.25">
      <c r="A2197" s="3" t="s">
        <v>4385</v>
      </c>
      <c r="B2197" s="3" t="s">
        <v>4386</v>
      </c>
      <c r="C2197" s="3" t="s">
        <v>3</v>
      </c>
      <c r="D2197" s="3" t="s">
        <v>3</v>
      </c>
      <c r="E2197" s="3" t="s">
        <v>4</v>
      </c>
    </row>
    <row r="2198" spans="1:5" hidden="1" x14ac:dyDescent="0.25">
      <c r="A2198" s="3" t="s">
        <v>4387</v>
      </c>
      <c r="B2198" s="3" t="s">
        <v>4388</v>
      </c>
      <c r="C2198" s="3" t="s">
        <v>3</v>
      </c>
      <c r="D2198" s="3" t="s">
        <v>3</v>
      </c>
      <c r="E2198" s="3" t="s">
        <v>4</v>
      </c>
    </row>
    <row r="2199" spans="1:5" hidden="1" x14ac:dyDescent="0.25">
      <c r="A2199" s="3" t="s">
        <v>4389</v>
      </c>
      <c r="B2199" s="3" t="s">
        <v>4390</v>
      </c>
      <c r="C2199" s="3" t="s">
        <v>3</v>
      </c>
      <c r="D2199" s="3" t="s">
        <v>3</v>
      </c>
      <c r="E2199" s="3" t="s">
        <v>4</v>
      </c>
    </row>
    <row r="2200" spans="1:5" hidden="1" x14ac:dyDescent="0.25">
      <c r="A2200" s="3" t="s">
        <v>4391</v>
      </c>
      <c r="B2200" s="3" t="s">
        <v>4392</v>
      </c>
      <c r="C2200" s="3" t="s">
        <v>3</v>
      </c>
      <c r="D2200" s="3" t="s">
        <v>3</v>
      </c>
      <c r="E2200" s="3" t="s">
        <v>4</v>
      </c>
    </row>
    <row r="2201" spans="1:5" hidden="1" x14ac:dyDescent="0.25">
      <c r="A2201" s="3" t="s">
        <v>4393</v>
      </c>
      <c r="B2201" s="3" t="s">
        <v>4394</v>
      </c>
      <c r="C2201" s="3" t="s">
        <v>3</v>
      </c>
      <c r="D2201" s="3" t="s">
        <v>3</v>
      </c>
      <c r="E2201" s="3" t="s">
        <v>4</v>
      </c>
    </row>
    <row r="2202" spans="1:5" hidden="1" x14ac:dyDescent="0.25">
      <c r="A2202" s="3" t="s">
        <v>4395</v>
      </c>
      <c r="B2202" s="3" t="s">
        <v>4396</v>
      </c>
      <c r="C2202" s="3" t="s">
        <v>3</v>
      </c>
      <c r="D2202" s="3" t="s">
        <v>3</v>
      </c>
      <c r="E2202" s="3" t="s">
        <v>4</v>
      </c>
    </row>
    <row r="2203" spans="1:5" hidden="1" x14ac:dyDescent="0.25">
      <c r="A2203" s="3" t="s">
        <v>4397</v>
      </c>
      <c r="B2203" s="3" t="s">
        <v>4398</v>
      </c>
      <c r="C2203" s="3" t="s">
        <v>3</v>
      </c>
      <c r="D2203" s="3" t="s">
        <v>3</v>
      </c>
      <c r="E2203" s="3" t="s">
        <v>4</v>
      </c>
    </row>
    <row r="2204" spans="1:5" hidden="1" x14ac:dyDescent="0.25">
      <c r="A2204" s="3" t="s">
        <v>4399</v>
      </c>
      <c r="B2204" s="3" t="s">
        <v>4400</v>
      </c>
      <c r="C2204" s="3" t="s">
        <v>3</v>
      </c>
      <c r="D2204" s="3" t="s">
        <v>3</v>
      </c>
      <c r="E2204" s="3" t="s">
        <v>4</v>
      </c>
    </row>
    <row r="2205" spans="1:5" hidden="1" x14ac:dyDescent="0.25">
      <c r="A2205" s="3" t="s">
        <v>4401</v>
      </c>
      <c r="B2205" s="3" t="s">
        <v>4402</v>
      </c>
      <c r="C2205" s="3" t="s">
        <v>3</v>
      </c>
      <c r="D2205" s="3" t="s">
        <v>3</v>
      </c>
      <c r="E2205" s="3" t="s">
        <v>4</v>
      </c>
    </row>
    <row r="2206" spans="1:5" hidden="1" x14ac:dyDescent="0.25">
      <c r="A2206" s="3" t="s">
        <v>4403</v>
      </c>
      <c r="B2206" s="3" t="s">
        <v>4404</v>
      </c>
      <c r="C2206" s="3" t="s">
        <v>3</v>
      </c>
      <c r="D2206" s="3" t="s">
        <v>3</v>
      </c>
      <c r="E2206" s="3" t="s">
        <v>4</v>
      </c>
    </row>
    <row r="2207" spans="1:5" hidden="1" x14ac:dyDescent="0.25">
      <c r="A2207" s="3" t="s">
        <v>4405</v>
      </c>
      <c r="B2207" s="3" t="s">
        <v>4406</v>
      </c>
      <c r="C2207" s="3" t="s">
        <v>3</v>
      </c>
      <c r="D2207" s="3" t="s">
        <v>3</v>
      </c>
      <c r="E2207" s="3" t="s">
        <v>4</v>
      </c>
    </row>
    <row r="2208" spans="1:5" hidden="1" x14ac:dyDescent="0.25">
      <c r="A2208" s="3" t="s">
        <v>4407</v>
      </c>
      <c r="B2208" s="3" t="s">
        <v>4408</v>
      </c>
      <c r="C2208" s="3" t="s">
        <v>3</v>
      </c>
      <c r="D2208" s="3" t="s">
        <v>3</v>
      </c>
      <c r="E2208" s="3" t="s">
        <v>4</v>
      </c>
    </row>
    <row r="2209" spans="1:5" hidden="1" x14ac:dyDescent="0.25">
      <c r="A2209" s="3" t="s">
        <v>4409</v>
      </c>
      <c r="B2209" s="3" t="s">
        <v>4410</v>
      </c>
      <c r="C2209" s="3" t="s">
        <v>3</v>
      </c>
      <c r="D2209" s="3" t="s">
        <v>3</v>
      </c>
      <c r="E2209" s="3" t="s">
        <v>4</v>
      </c>
    </row>
    <row r="2210" spans="1:5" hidden="1" x14ac:dyDescent="0.25">
      <c r="A2210" s="3" t="s">
        <v>4411</v>
      </c>
      <c r="B2210" s="3" t="s">
        <v>4412</v>
      </c>
      <c r="C2210" s="3" t="s">
        <v>3</v>
      </c>
      <c r="D2210" s="3" t="s">
        <v>3</v>
      </c>
      <c r="E2210" s="3" t="s">
        <v>4</v>
      </c>
    </row>
    <row r="2211" spans="1:5" hidden="1" x14ac:dyDescent="0.25">
      <c r="A2211" s="3" t="s">
        <v>4413</v>
      </c>
      <c r="B2211" s="3" t="s">
        <v>4414</v>
      </c>
      <c r="C2211" s="3" t="s">
        <v>3</v>
      </c>
      <c r="D2211" s="3" t="s">
        <v>3</v>
      </c>
      <c r="E2211" s="3" t="s">
        <v>4</v>
      </c>
    </row>
    <row r="2212" spans="1:5" hidden="1" x14ac:dyDescent="0.25">
      <c r="A2212" s="3" t="s">
        <v>4415</v>
      </c>
      <c r="B2212" s="3" t="s">
        <v>4416</v>
      </c>
      <c r="C2212" s="3" t="s">
        <v>3</v>
      </c>
      <c r="D2212" s="3" t="s">
        <v>3</v>
      </c>
      <c r="E2212" s="3" t="s">
        <v>4</v>
      </c>
    </row>
    <row r="2213" spans="1:5" hidden="1" x14ac:dyDescent="0.25">
      <c r="A2213" s="3" t="s">
        <v>4417</v>
      </c>
      <c r="B2213" s="3" t="s">
        <v>4418</v>
      </c>
      <c r="C2213" s="3" t="s">
        <v>3</v>
      </c>
      <c r="D2213" s="3" t="s">
        <v>3</v>
      </c>
      <c r="E2213" s="3" t="s">
        <v>4</v>
      </c>
    </row>
    <row r="2214" spans="1:5" hidden="1" x14ac:dyDescent="0.25">
      <c r="A2214" s="3" t="s">
        <v>4419</v>
      </c>
      <c r="B2214" s="3" t="s">
        <v>4420</v>
      </c>
      <c r="C2214" s="3" t="s">
        <v>3</v>
      </c>
      <c r="D2214" s="3" t="s">
        <v>3</v>
      </c>
      <c r="E2214" s="3" t="s">
        <v>4</v>
      </c>
    </row>
    <row r="2215" spans="1:5" hidden="1" x14ac:dyDescent="0.25">
      <c r="A2215" s="3" t="s">
        <v>4421</v>
      </c>
      <c r="B2215" s="3" t="s">
        <v>4422</v>
      </c>
      <c r="C2215" s="3" t="s">
        <v>3</v>
      </c>
      <c r="D2215" s="3" t="s">
        <v>3</v>
      </c>
      <c r="E2215" s="3" t="s">
        <v>4</v>
      </c>
    </row>
    <row r="2216" spans="1:5" hidden="1" x14ac:dyDescent="0.25">
      <c r="A2216" s="3" t="s">
        <v>4423</v>
      </c>
      <c r="B2216" s="3" t="s">
        <v>4424</v>
      </c>
      <c r="C2216" s="3" t="s">
        <v>3</v>
      </c>
      <c r="D2216" s="3" t="s">
        <v>3</v>
      </c>
      <c r="E2216" s="3" t="s">
        <v>4</v>
      </c>
    </row>
    <row r="2217" spans="1:5" hidden="1" x14ac:dyDescent="0.25">
      <c r="A2217" s="3" t="s">
        <v>4425</v>
      </c>
      <c r="B2217" s="3" t="s">
        <v>4426</v>
      </c>
      <c r="C2217" s="3" t="s">
        <v>3</v>
      </c>
      <c r="D2217" s="3" t="s">
        <v>3</v>
      </c>
      <c r="E2217" s="3" t="s">
        <v>4</v>
      </c>
    </row>
    <row r="2218" spans="1:5" hidden="1" x14ac:dyDescent="0.25">
      <c r="A2218" s="3" t="s">
        <v>4427</v>
      </c>
      <c r="B2218" s="3" t="s">
        <v>4428</v>
      </c>
      <c r="C2218" s="3" t="s">
        <v>3</v>
      </c>
      <c r="D2218" s="3" t="s">
        <v>3</v>
      </c>
      <c r="E2218" s="3" t="s">
        <v>4</v>
      </c>
    </row>
  </sheetData>
  <autoFilter ref="A3:E2218" xr:uid="{8B87233C-1E08-47F9-ABBE-AE871A955A3C}">
    <filterColumn colId="0">
      <filters>
        <filter val="1418"/>
        <filter val="14180"/>
        <filter val="14181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43068-F116-47D1-B1B2-D02D4862D0D6}">
  <dimension ref="B1:K13"/>
  <sheetViews>
    <sheetView workbookViewId="0">
      <selection activeCell="K2" sqref="K2:K3"/>
    </sheetView>
  </sheetViews>
  <sheetFormatPr defaultColWidth="11.42578125" defaultRowHeight="15" x14ac:dyDescent="0.25"/>
  <cols>
    <col min="2" max="2" width="12.5703125" customWidth="1"/>
    <col min="3" max="3" width="10.85546875" customWidth="1"/>
    <col min="4" max="4" width="43.140625" customWidth="1"/>
    <col min="11" max="11" width="28.5703125" customWidth="1"/>
  </cols>
  <sheetData>
    <row r="1" spans="2:11" ht="30" customHeight="1" x14ac:dyDescent="0.4">
      <c r="B1" s="34" t="s">
        <v>4481</v>
      </c>
      <c r="C1" s="34"/>
      <c r="D1" s="34"/>
      <c r="E1" s="34"/>
      <c r="F1" s="34"/>
      <c r="G1" s="34"/>
      <c r="H1" s="34"/>
      <c r="I1" s="34"/>
    </row>
    <row r="2" spans="2:11" ht="24" x14ac:dyDescent="0.4">
      <c r="B2" s="35"/>
      <c r="C2" s="36"/>
      <c r="D2" s="36"/>
      <c r="E2" s="36"/>
      <c r="F2" s="36"/>
      <c r="G2" s="36"/>
      <c r="H2" s="37"/>
      <c r="I2" s="38" t="s">
        <v>4459</v>
      </c>
      <c r="J2" s="13" t="s">
        <v>4432</v>
      </c>
      <c r="K2" s="40" t="s">
        <v>4460</v>
      </c>
    </row>
    <row r="3" spans="2:11" ht="18.75" x14ac:dyDescent="0.3">
      <c r="B3" s="11" t="s">
        <v>4445</v>
      </c>
      <c r="C3" s="11" t="s">
        <v>4433</v>
      </c>
      <c r="D3" s="11" t="s">
        <v>4434</v>
      </c>
      <c r="E3" s="11" t="s">
        <v>4435</v>
      </c>
      <c r="F3" s="11" t="s">
        <v>4436</v>
      </c>
      <c r="G3" s="11" t="s">
        <v>4444</v>
      </c>
      <c r="H3" s="11" t="s">
        <v>4436</v>
      </c>
      <c r="I3" s="39"/>
      <c r="J3" s="11" t="s">
        <v>4447</v>
      </c>
      <c r="K3" s="41"/>
    </row>
    <row r="4" spans="2:11" x14ac:dyDescent="0.25">
      <c r="D4" s="3"/>
    </row>
    <row r="5" spans="2:11" x14ac:dyDescent="0.25">
      <c r="D5" s="3"/>
    </row>
    <row r="6" spans="2:11" x14ac:dyDescent="0.25">
      <c r="D6" s="3"/>
    </row>
    <row r="7" spans="2:11" x14ac:dyDescent="0.25">
      <c r="D7" s="3"/>
    </row>
    <row r="8" spans="2:11" x14ac:dyDescent="0.25">
      <c r="D8" s="3"/>
    </row>
    <row r="9" spans="2:11" x14ac:dyDescent="0.25">
      <c r="D9" s="3"/>
    </row>
    <row r="10" spans="2:11" x14ac:dyDescent="0.25">
      <c r="D10" s="3"/>
    </row>
    <row r="11" spans="2:11" x14ac:dyDescent="0.25">
      <c r="D11" s="3"/>
    </row>
    <row r="12" spans="2:11" x14ac:dyDescent="0.25">
      <c r="D12" s="3"/>
    </row>
    <row r="13" spans="2:11" x14ac:dyDescent="0.25">
      <c r="D13" s="3"/>
    </row>
  </sheetData>
  <mergeCells count="4">
    <mergeCell ref="B1:I1"/>
    <mergeCell ref="B2:H2"/>
    <mergeCell ref="I2:I3"/>
    <mergeCell ref="K2:K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4CB88-B64E-4651-80D7-6D6448704AA6}">
  <dimension ref="A1:C2217"/>
  <sheetViews>
    <sheetView workbookViewId="0"/>
  </sheetViews>
  <sheetFormatPr defaultRowHeight="15" x14ac:dyDescent="0.25"/>
  <cols>
    <col min="1" max="1" width="12.42578125" bestFit="1" customWidth="1"/>
    <col min="2" max="2" width="34.42578125" bestFit="1" customWidth="1"/>
    <col min="3" max="3" width="16.28515625" bestFit="1" customWidth="1"/>
  </cols>
  <sheetData>
    <row r="1" spans="1:3" x14ac:dyDescent="0.25">
      <c r="A1" t="s">
        <v>5038</v>
      </c>
      <c r="B1" t="s">
        <v>5039</v>
      </c>
      <c r="C1" t="s">
        <v>5040</v>
      </c>
    </row>
    <row r="2" spans="1:3" x14ac:dyDescent="0.25">
      <c r="A2" s="21" t="s">
        <v>1</v>
      </c>
      <c r="B2" t="s">
        <v>2</v>
      </c>
      <c r="C2">
        <v>0</v>
      </c>
    </row>
    <row r="3" spans="1:3" x14ac:dyDescent="0.25">
      <c r="A3" s="21" t="s">
        <v>5</v>
      </c>
      <c r="B3" t="s">
        <v>6</v>
      </c>
      <c r="C3">
        <v>0</v>
      </c>
    </row>
    <row r="4" spans="1:3" x14ac:dyDescent="0.25">
      <c r="A4" s="21" t="s">
        <v>7</v>
      </c>
      <c r="B4" t="s">
        <v>8</v>
      </c>
      <c r="C4">
        <v>0</v>
      </c>
    </row>
    <row r="5" spans="1:3" x14ac:dyDescent="0.25">
      <c r="A5" s="21" t="s">
        <v>9</v>
      </c>
      <c r="B5" t="s">
        <v>10</v>
      </c>
      <c r="C5">
        <v>0</v>
      </c>
    </row>
    <row r="6" spans="1:3" x14ac:dyDescent="0.25">
      <c r="A6" s="21" t="s">
        <v>11</v>
      </c>
      <c r="B6" t="s">
        <v>10</v>
      </c>
      <c r="C6">
        <v>0</v>
      </c>
    </row>
    <row r="7" spans="1:3" x14ac:dyDescent="0.25">
      <c r="A7" s="21" t="s">
        <v>12</v>
      </c>
      <c r="B7" t="s">
        <v>13</v>
      </c>
      <c r="C7">
        <v>0</v>
      </c>
    </row>
    <row r="8" spans="1:3" x14ac:dyDescent="0.25">
      <c r="A8" s="21" t="s">
        <v>14</v>
      </c>
      <c r="B8" t="s">
        <v>15</v>
      </c>
      <c r="C8">
        <v>0</v>
      </c>
    </row>
    <row r="9" spans="1:3" x14ac:dyDescent="0.25">
      <c r="A9" s="21" t="s">
        <v>16</v>
      </c>
      <c r="B9" t="s">
        <v>17</v>
      </c>
      <c r="C9">
        <v>0</v>
      </c>
    </row>
    <row r="10" spans="1:3" x14ac:dyDescent="0.25">
      <c r="A10" s="21" t="s">
        <v>18</v>
      </c>
      <c r="B10" t="s">
        <v>19</v>
      </c>
      <c r="C10">
        <v>0</v>
      </c>
    </row>
    <row r="11" spans="1:3" x14ac:dyDescent="0.25">
      <c r="A11" s="21" t="s">
        <v>20</v>
      </c>
      <c r="B11" t="s">
        <v>21</v>
      </c>
      <c r="C11">
        <v>0</v>
      </c>
    </row>
    <row r="12" spans="1:3" x14ac:dyDescent="0.25">
      <c r="A12" s="21" t="s">
        <v>22</v>
      </c>
      <c r="B12" t="s">
        <v>23</v>
      </c>
      <c r="C12">
        <v>0</v>
      </c>
    </row>
    <row r="13" spans="1:3" x14ac:dyDescent="0.25">
      <c r="A13" s="21" t="s">
        <v>24</v>
      </c>
      <c r="B13" t="s">
        <v>25</v>
      </c>
      <c r="C13">
        <v>0</v>
      </c>
    </row>
    <row r="14" spans="1:3" x14ac:dyDescent="0.25">
      <c r="A14" s="21" t="s">
        <v>26</v>
      </c>
      <c r="B14" t="s">
        <v>27</v>
      </c>
      <c r="C14">
        <v>0</v>
      </c>
    </row>
    <row r="15" spans="1:3" x14ac:dyDescent="0.25">
      <c r="A15" s="21" t="s">
        <v>28</v>
      </c>
      <c r="B15" t="s">
        <v>29</v>
      </c>
      <c r="C15">
        <v>0</v>
      </c>
    </row>
    <row r="16" spans="1:3" x14ac:dyDescent="0.25">
      <c r="A16" s="21" t="s">
        <v>30</v>
      </c>
      <c r="B16" t="s">
        <v>31</v>
      </c>
      <c r="C16">
        <v>0</v>
      </c>
    </row>
    <row r="17" spans="1:3" x14ac:dyDescent="0.25">
      <c r="A17" s="21" t="s">
        <v>32</v>
      </c>
      <c r="B17" t="s">
        <v>33</v>
      </c>
      <c r="C17">
        <v>0</v>
      </c>
    </row>
    <row r="18" spans="1:3" x14ac:dyDescent="0.25">
      <c r="A18" s="21" t="s">
        <v>34</v>
      </c>
      <c r="B18" t="s">
        <v>35</v>
      </c>
      <c r="C18">
        <v>0</v>
      </c>
    </row>
    <row r="19" spans="1:3" x14ac:dyDescent="0.25">
      <c r="A19" s="21" t="s">
        <v>36</v>
      </c>
      <c r="B19" t="s">
        <v>37</v>
      </c>
      <c r="C19">
        <v>0</v>
      </c>
    </row>
    <row r="20" spans="1:3" x14ac:dyDescent="0.25">
      <c r="A20" s="21" t="s">
        <v>38</v>
      </c>
      <c r="B20" t="s">
        <v>39</v>
      </c>
      <c r="C20">
        <v>0</v>
      </c>
    </row>
    <row r="21" spans="1:3" x14ac:dyDescent="0.25">
      <c r="A21" s="21" t="s">
        <v>40</v>
      </c>
      <c r="B21" t="s">
        <v>41</v>
      </c>
      <c r="C21">
        <v>0</v>
      </c>
    </row>
    <row r="22" spans="1:3" x14ac:dyDescent="0.25">
      <c r="A22" s="21" t="s">
        <v>42</v>
      </c>
      <c r="B22" t="s">
        <v>43</v>
      </c>
      <c r="C22">
        <v>0</v>
      </c>
    </row>
    <row r="23" spans="1:3" x14ac:dyDescent="0.25">
      <c r="A23" s="21" t="s">
        <v>44</v>
      </c>
      <c r="B23" t="s">
        <v>45</v>
      </c>
      <c r="C23">
        <v>0</v>
      </c>
    </row>
    <row r="24" spans="1:3" x14ac:dyDescent="0.25">
      <c r="A24" s="21" t="s">
        <v>46</v>
      </c>
      <c r="B24" t="s">
        <v>47</v>
      </c>
      <c r="C24">
        <v>0</v>
      </c>
    </row>
    <row r="25" spans="1:3" x14ac:dyDescent="0.25">
      <c r="A25" s="21" t="s">
        <v>48</v>
      </c>
      <c r="B25" t="s">
        <v>49</v>
      </c>
      <c r="C25">
        <v>0</v>
      </c>
    </row>
    <row r="26" spans="1:3" x14ac:dyDescent="0.25">
      <c r="A26" s="21" t="s">
        <v>50</v>
      </c>
      <c r="B26" t="s">
        <v>51</v>
      </c>
      <c r="C26">
        <v>0</v>
      </c>
    </row>
    <row r="27" spans="1:3" x14ac:dyDescent="0.25">
      <c r="A27" s="21" t="s">
        <v>52</v>
      </c>
      <c r="B27" t="s">
        <v>53</v>
      </c>
      <c r="C27">
        <v>0</v>
      </c>
    </row>
    <row r="28" spans="1:3" x14ac:dyDescent="0.25">
      <c r="A28" s="21" t="s">
        <v>54</v>
      </c>
      <c r="B28" t="s">
        <v>55</v>
      </c>
      <c r="C28">
        <v>0</v>
      </c>
    </row>
    <row r="29" spans="1:3" x14ac:dyDescent="0.25">
      <c r="A29" s="21" t="s">
        <v>56</v>
      </c>
      <c r="B29" t="s">
        <v>57</v>
      </c>
      <c r="C29">
        <v>0</v>
      </c>
    </row>
    <row r="30" spans="1:3" x14ac:dyDescent="0.25">
      <c r="A30" s="21" t="s">
        <v>58</v>
      </c>
      <c r="B30" t="s">
        <v>59</v>
      </c>
      <c r="C30">
        <v>0</v>
      </c>
    </row>
    <row r="31" spans="1:3" x14ac:dyDescent="0.25">
      <c r="A31" s="21" t="s">
        <v>60</v>
      </c>
      <c r="B31" t="s">
        <v>61</v>
      </c>
      <c r="C31">
        <v>0</v>
      </c>
    </row>
    <row r="32" spans="1:3" x14ac:dyDescent="0.25">
      <c r="A32" s="21" t="s">
        <v>62</v>
      </c>
      <c r="B32" t="s">
        <v>63</v>
      </c>
      <c r="C32">
        <v>0</v>
      </c>
    </row>
    <row r="33" spans="1:3" x14ac:dyDescent="0.25">
      <c r="A33" s="21" t="s">
        <v>64</v>
      </c>
      <c r="B33" t="s">
        <v>65</v>
      </c>
      <c r="C33">
        <v>0</v>
      </c>
    </row>
    <row r="34" spans="1:3" x14ac:dyDescent="0.25">
      <c r="A34" s="21" t="s">
        <v>66</v>
      </c>
      <c r="B34" t="s">
        <v>67</v>
      </c>
      <c r="C34">
        <v>0</v>
      </c>
    </row>
    <row r="35" spans="1:3" x14ac:dyDescent="0.25">
      <c r="A35" s="21" t="s">
        <v>68</v>
      </c>
      <c r="B35" t="s">
        <v>69</v>
      </c>
      <c r="C35">
        <v>0</v>
      </c>
    </row>
    <row r="36" spans="1:3" x14ac:dyDescent="0.25">
      <c r="A36" s="21" t="s">
        <v>70</v>
      </c>
      <c r="B36" t="s">
        <v>71</v>
      </c>
      <c r="C36">
        <v>0</v>
      </c>
    </row>
    <row r="37" spans="1:3" x14ac:dyDescent="0.25">
      <c r="A37" s="21" t="s">
        <v>72</v>
      </c>
      <c r="B37" t="s">
        <v>73</v>
      </c>
      <c r="C37">
        <v>0</v>
      </c>
    </row>
    <row r="38" spans="1:3" x14ac:dyDescent="0.25">
      <c r="A38" s="21" t="s">
        <v>74</v>
      </c>
      <c r="B38" t="s">
        <v>75</v>
      </c>
      <c r="C38">
        <v>0</v>
      </c>
    </row>
    <row r="39" spans="1:3" x14ac:dyDescent="0.25">
      <c r="A39" s="21" t="s">
        <v>76</v>
      </c>
      <c r="B39" t="s">
        <v>77</v>
      </c>
      <c r="C39">
        <v>0</v>
      </c>
    </row>
    <row r="40" spans="1:3" x14ac:dyDescent="0.25">
      <c r="A40" s="21" t="s">
        <v>78</v>
      </c>
      <c r="B40" t="s">
        <v>79</v>
      </c>
      <c r="C40">
        <v>0</v>
      </c>
    </row>
    <row r="41" spans="1:3" x14ac:dyDescent="0.25">
      <c r="A41" s="21" t="s">
        <v>80</v>
      </c>
      <c r="B41" t="s">
        <v>81</v>
      </c>
      <c r="C41">
        <v>0</v>
      </c>
    </row>
    <row r="42" spans="1:3" x14ac:dyDescent="0.25">
      <c r="A42" s="21" t="s">
        <v>82</v>
      </c>
      <c r="B42" t="s">
        <v>83</v>
      </c>
      <c r="C42">
        <v>0</v>
      </c>
    </row>
    <row r="43" spans="1:3" x14ac:dyDescent="0.25">
      <c r="A43" s="21" t="s">
        <v>84</v>
      </c>
      <c r="B43" t="s">
        <v>85</v>
      </c>
      <c r="C43">
        <v>0</v>
      </c>
    </row>
    <row r="44" spans="1:3" x14ac:dyDescent="0.25">
      <c r="A44" s="21" t="s">
        <v>86</v>
      </c>
      <c r="B44" t="s">
        <v>87</v>
      </c>
      <c r="C44">
        <v>0</v>
      </c>
    </row>
    <row r="45" spans="1:3" x14ac:dyDescent="0.25">
      <c r="A45" s="21" t="s">
        <v>88</v>
      </c>
      <c r="B45" t="s">
        <v>89</v>
      </c>
      <c r="C45">
        <v>0</v>
      </c>
    </row>
    <row r="46" spans="1:3" x14ac:dyDescent="0.25">
      <c r="A46" s="21" t="s">
        <v>90</v>
      </c>
      <c r="B46" t="s">
        <v>91</v>
      </c>
      <c r="C46">
        <v>0</v>
      </c>
    </row>
    <row r="47" spans="1:3" x14ac:dyDescent="0.25">
      <c r="A47" s="21" t="s">
        <v>92</v>
      </c>
      <c r="B47" t="s">
        <v>93</v>
      </c>
      <c r="C47">
        <v>0</v>
      </c>
    </row>
    <row r="48" spans="1:3" x14ac:dyDescent="0.25">
      <c r="A48" s="21" t="s">
        <v>94</v>
      </c>
      <c r="B48" t="s">
        <v>95</v>
      </c>
      <c r="C48">
        <v>0</v>
      </c>
    </row>
    <row r="49" spans="1:3" x14ac:dyDescent="0.25">
      <c r="A49" s="21" t="s">
        <v>96</v>
      </c>
      <c r="B49" t="s">
        <v>97</v>
      </c>
      <c r="C49">
        <v>0</v>
      </c>
    </row>
    <row r="50" spans="1:3" x14ac:dyDescent="0.25">
      <c r="A50" s="21" t="s">
        <v>98</v>
      </c>
      <c r="B50" t="s">
        <v>99</v>
      </c>
      <c r="C50">
        <v>0</v>
      </c>
    </row>
    <row r="51" spans="1:3" x14ac:dyDescent="0.25">
      <c r="A51" s="21" t="s">
        <v>100</v>
      </c>
      <c r="B51" t="s">
        <v>101</v>
      </c>
      <c r="C51">
        <v>0</v>
      </c>
    </row>
    <row r="52" spans="1:3" x14ac:dyDescent="0.25">
      <c r="A52" s="21" t="s">
        <v>102</v>
      </c>
      <c r="B52" t="s">
        <v>103</v>
      </c>
      <c r="C52">
        <v>0</v>
      </c>
    </row>
    <row r="53" spans="1:3" x14ac:dyDescent="0.25">
      <c r="A53" s="21" t="s">
        <v>104</v>
      </c>
      <c r="B53" t="s">
        <v>105</v>
      </c>
      <c r="C53">
        <v>0</v>
      </c>
    </row>
    <row r="54" spans="1:3" x14ac:dyDescent="0.25">
      <c r="A54" s="21" t="s">
        <v>106</v>
      </c>
      <c r="B54" t="s">
        <v>107</v>
      </c>
      <c r="C54">
        <v>0</v>
      </c>
    </row>
    <row r="55" spans="1:3" x14ac:dyDescent="0.25">
      <c r="A55" s="21" t="s">
        <v>108</v>
      </c>
      <c r="B55" t="s">
        <v>109</v>
      </c>
      <c r="C55">
        <v>0</v>
      </c>
    </row>
    <row r="56" spans="1:3" x14ac:dyDescent="0.25">
      <c r="A56" s="21" t="s">
        <v>110</v>
      </c>
      <c r="B56" t="s">
        <v>111</v>
      </c>
      <c r="C56">
        <v>0</v>
      </c>
    </row>
    <row r="57" spans="1:3" x14ac:dyDescent="0.25">
      <c r="A57" s="21" t="s">
        <v>112</v>
      </c>
      <c r="B57" t="s">
        <v>113</v>
      </c>
      <c r="C57">
        <v>0</v>
      </c>
    </row>
    <row r="58" spans="1:3" x14ac:dyDescent="0.25">
      <c r="A58" s="21" t="s">
        <v>114</v>
      </c>
      <c r="B58" t="s">
        <v>115</v>
      </c>
      <c r="C58">
        <v>0</v>
      </c>
    </row>
    <row r="59" spans="1:3" x14ac:dyDescent="0.25">
      <c r="A59" s="21" t="s">
        <v>116</v>
      </c>
      <c r="B59" t="s">
        <v>117</v>
      </c>
      <c r="C59">
        <v>0</v>
      </c>
    </row>
    <row r="60" spans="1:3" x14ac:dyDescent="0.25">
      <c r="A60" s="21" t="s">
        <v>118</v>
      </c>
      <c r="B60" t="s">
        <v>119</v>
      </c>
      <c r="C60">
        <v>0</v>
      </c>
    </row>
    <row r="61" spans="1:3" x14ac:dyDescent="0.25">
      <c r="A61" s="21" t="s">
        <v>120</v>
      </c>
      <c r="B61" t="s">
        <v>121</v>
      </c>
      <c r="C61">
        <v>0</v>
      </c>
    </row>
    <row r="62" spans="1:3" x14ac:dyDescent="0.25">
      <c r="A62" s="21" t="s">
        <v>122</v>
      </c>
      <c r="B62" t="s">
        <v>123</v>
      </c>
      <c r="C62">
        <v>0</v>
      </c>
    </row>
    <row r="63" spans="1:3" x14ac:dyDescent="0.25">
      <c r="A63" s="21" t="s">
        <v>124</v>
      </c>
      <c r="B63" t="s">
        <v>125</v>
      </c>
      <c r="C63">
        <v>0</v>
      </c>
    </row>
    <row r="64" spans="1:3" x14ac:dyDescent="0.25">
      <c r="A64" s="21" t="s">
        <v>126</v>
      </c>
      <c r="B64" t="s">
        <v>127</v>
      </c>
      <c r="C64">
        <v>0</v>
      </c>
    </row>
    <row r="65" spans="1:3" x14ac:dyDescent="0.25">
      <c r="A65" s="21" t="s">
        <v>128</v>
      </c>
      <c r="B65" t="s">
        <v>129</v>
      </c>
      <c r="C65">
        <v>0</v>
      </c>
    </row>
    <row r="66" spans="1:3" x14ac:dyDescent="0.25">
      <c r="A66" s="21" t="s">
        <v>130</v>
      </c>
      <c r="B66" t="s">
        <v>131</v>
      </c>
      <c r="C66">
        <v>0</v>
      </c>
    </row>
    <row r="67" spans="1:3" x14ac:dyDescent="0.25">
      <c r="A67" s="21" t="s">
        <v>132</v>
      </c>
      <c r="B67" t="s">
        <v>133</v>
      </c>
      <c r="C67">
        <v>0</v>
      </c>
    </row>
    <row r="68" spans="1:3" x14ac:dyDescent="0.25">
      <c r="A68" s="21" t="s">
        <v>134</v>
      </c>
      <c r="B68" t="s">
        <v>135</v>
      </c>
      <c r="C68">
        <v>0</v>
      </c>
    </row>
    <row r="69" spans="1:3" x14ac:dyDescent="0.25">
      <c r="A69" s="21" t="s">
        <v>136</v>
      </c>
      <c r="B69" t="s">
        <v>137</v>
      </c>
      <c r="C69">
        <v>0</v>
      </c>
    </row>
    <row r="70" spans="1:3" x14ac:dyDescent="0.25">
      <c r="A70" s="21" t="s">
        <v>138</v>
      </c>
      <c r="B70" t="s">
        <v>139</v>
      </c>
      <c r="C70">
        <v>0</v>
      </c>
    </row>
    <row r="71" spans="1:3" x14ac:dyDescent="0.25">
      <c r="A71" s="21" t="s">
        <v>140</v>
      </c>
      <c r="B71" t="s">
        <v>141</v>
      </c>
      <c r="C71">
        <v>0</v>
      </c>
    </row>
    <row r="72" spans="1:3" x14ac:dyDescent="0.25">
      <c r="A72" s="21" t="s">
        <v>142</v>
      </c>
      <c r="B72" t="s">
        <v>143</v>
      </c>
      <c r="C72">
        <v>0</v>
      </c>
    </row>
    <row r="73" spans="1:3" x14ac:dyDescent="0.25">
      <c r="A73" s="21" t="s">
        <v>144</v>
      </c>
      <c r="B73" t="s">
        <v>145</v>
      </c>
      <c r="C73">
        <v>0</v>
      </c>
    </row>
    <row r="74" spans="1:3" x14ac:dyDescent="0.25">
      <c r="A74" s="21" t="s">
        <v>146</v>
      </c>
      <c r="B74" t="s">
        <v>147</v>
      </c>
      <c r="C74">
        <v>0</v>
      </c>
    </row>
    <row r="75" spans="1:3" x14ac:dyDescent="0.25">
      <c r="A75" s="21" t="s">
        <v>148</v>
      </c>
      <c r="B75" t="s">
        <v>149</v>
      </c>
      <c r="C75">
        <v>0</v>
      </c>
    </row>
    <row r="76" spans="1:3" x14ac:dyDescent="0.25">
      <c r="A76" s="21" t="s">
        <v>150</v>
      </c>
      <c r="B76" t="s">
        <v>151</v>
      </c>
      <c r="C76">
        <v>0</v>
      </c>
    </row>
    <row r="77" spans="1:3" x14ac:dyDescent="0.25">
      <c r="A77" s="21" t="s">
        <v>152</v>
      </c>
      <c r="B77" t="s">
        <v>153</v>
      </c>
      <c r="C77">
        <v>0</v>
      </c>
    </row>
    <row r="78" spans="1:3" x14ac:dyDescent="0.25">
      <c r="A78" s="21" t="s">
        <v>154</v>
      </c>
      <c r="B78" t="s">
        <v>155</v>
      </c>
      <c r="C78">
        <v>0</v>
      </c>
    </row>
    <row r="79" spans="1:3" x14ac:dyDescent="0.25">
      <c r="A79" s="21" t="s">
        <v>156</v>
      </c>
      <c r="B79" t="s">
        <v>157</v>
      </c>
      <c r="C79">
        <v>0</v>
      </c>
    </row>
    <row r="80" spans="1:3" x14ac:dyDescent="0.25">
      <c r="A80" s="21" t="s">
        <v>158</v>
      </c>
      <c r="B80" t="s">
        <v>159</v>
      </c>
      <c r="C80">
        <v>0</v>
      </c>
    </row>
    <row r="81" spans="1:3" x14ac:dyDescent="0.25">
      <c r="A81" s="21" t="s">
        <v>160</v>
      </c>
      <c r="B81" t="s">
        <v>161</v>
      </c>
      <c r="C81">
        <v>0</v>
      </c>
    </row>
    <row r="82" spans="1:3" x14ac:dyDescent="0.25">
      <c r="A82" s="21" t="s">
        <v>162</v>
      </c>
      <c r="B82" t="s">
        <v>163</v>
      </c>
      <c r="C82">
        <v>0</v>
      </c>
    </row>
    <row r="83" spans="1:3" x14ac:dyDescent="0.25">
      <c r="A83" s="21" t="s">
        <v>164</v>
      </c>
      <c r="B83" t="s">
        <v>165</v>
      </c>
      <c r="C83">
        <v>0</v>
      </c>
    </row>
    <row r="84" spans="1:3" x14ac:dyDescent="0.25">
      <c r="A84" s="21" t="s">
        <v>166</v>
      </c>
      <c r="B84" t="s">
        <v>167</v>
      </c>
      <c r="C84">
        <v>0</v>
      </c>
    </row>
    <row r="85" spans="1:3" x14ac:dyDescent="0.25">
      <c r="A85" s="21" t="s">
        <v>168</v>
      </c>
      <c r="B85" t="s">
        <v>169</v>
      </c>
      <c r="C85">
        <v>0</v>
      </c>
    </row>
    <row r="86" spans="1:3" x14ac:dyDescent="0.25">
      <c r="A86" s="21" t="s">
        <v>170</v>
      </c>
      <c r="B86" t="s">
        <v>171</v>
      </c>
      <c r="C86">
        <v>0</v>
      </c>
    </row>
    <row r="87" spans="1:3" x14ac:dyDescent="0.25">
      <c r="A87" s="21" t="s">
        <v>172</v>
      </c>
      <c r="B87" t="s">
        <v>173</v>
      </c>
      <c r="C87">
        <v>0</v>
      </c>
    </row>
    <row r="88" spans="1:3" x14ac:dyDescent="0.25">
      <c r="A88" s="21" t="s">
        <v>174</v>
      </c>
      <c r="B88" t="s">
        <v>175</v>
      </c>
      <c r="C88">
        <v>0</v>
      </c>
    </row>
    <row r="89" spans="1:3" x14ac:dyDescent="0.25">
      <c r="A89" s="21" t="s">
        <v>176</v>
      </c>
      <c r="B89" t="s">
        <v>177</v>
      </c>
      <c r="C89">
        <v>0</v>
      </c>
    </row>
    <row r="90" spans="1:3" x14ac:dyDescent="0.25">
      <c r="A90" s="21" t="s">
        <v>178</v>
      </c>
      <c r="B90" t="s">
        <v>179</v>
      </c>
      <c r="C90">
        <v>0</v>
      </c>
    </row>
    <row r="91" spans="1:3" x14ac:dyDescent="0.25">
      <c r="A91" s="21" t="s">
        <v>180</v>
      </c>
      <c r="B91" t="s">
        <v>181</v>
      </c>
      <c r="C91">
        <v>0</v>
      </c>
    </row>
    <row r="92" spans="1:3" x14ac:dyDescent="0.25">
      <c r="A92" s="21" t="s">
        <v>182</v>
      </c>
      <c r="B92" t="s">
        <v>183</v>
      </c>
      <c r="C92">
        <v>0</v>
      </c>
    </row>
    <row r="93" spans="1:3" x14ac:dyDescent="0.25">
      <c r="A93" s="21" t="s">
        <v>184</v>
      </c>
      <c r="B93" t="s">
        <v>185</v>
      </c>
      <c r="C93">
        <v>0</v>
      </c>
    </row>
    <row r="94" spans="1:3" x14ac:dyDescent="0.25">
      <c r="A94" s="21" t="s">
        <v>186</v>
      </c>
      <c r="B94" t="s">
        <v>187</v>
      </c>
      <c r="C94">
        <v>0</v>
      </c>
    </row>
    <row r="95" spans="1:3" x14ac:dyDescent="0.25">
      <c r="A95" s="21" t="s">
        <v>188</v>
      </c>
      <c r="B95" t="s">
        <v>189</v>
      </c>
      <c r="C95">
        <v>0</v>
      </c>
    </row>
    <row r="96" spans="1:3" x14ac:dyDescent="0.25">
      <c r="A96" s="21" t="s">
        <v>190</v>
      </c>
      <c r="B96" t="s">
        <v>191</v>
      </c>
      <c r="C96">
        <v>0</v>
      </c>
    </row>
    <row r="97" spans="1:3" x14ac:dyDescent="0.25">
      <c r="A97" s="21" t="s">
        <v>192</v>
      </c>
      <c r="B97" t="s">
        <v>193</v>
      </c>
      <c r="C97">
        <v>0</v>
      </c>
    </row>
    <row r="98" spans="1:3" x14ac:dyDescent="0.25">
      <c r="A98" s="21" t="s">
        <v>194</v>
      </c>
      <c r="B98" t="s">
        <v>195</v>
      </c>
      <c r="C98">
        <v>0</v>
      </c>
    </row>
    <row r="99" spans="1:3" x14ac:dyDescent="0.25">
      <c r="A99" s="21" t="s">
        <v>196</v>
      </c>
      <c r="B99" t="s">
        <v>197</v>
      </c>
      <c r="C99">
        <v>0</v>
      </c>
    </row>
    <row r="100" spans="1:3" x14ac:dyDescent="0.25">
      <c r="A100" s="21" t="s">
        <v>198</v>
      </c>
      <c r="B100" t="s">
        <v>199</v>
      </c>
      <c r="C100">
        <v>0</v>
      </c>
    </row>
    <row r="101" spans="1:3" x14ac:dyDescent="0.25">
      <c r="A101" s="21" t="s">
        <v>200</v>
      </c>
      <c r="B101" t="s">
        <v>201</v>
      </c>
      <c r="C101">
        <v>0</v>
      </c>
    </row>
    <row r="102" spans="1:3" x14ac:dyDescent="0.25">
      <c r="A102" s="21" t="s">
        <v>202</v>
      </c>
      <c r="B102" t="s">
        <v>203</v>
      </c>
      <c r="C102">
        <v>0</v>
      </c>
    </row>
    <row r="103" spans="1:3" x14ac:dyDescent="0.25">
      <c r="A103" s="21" t="s">
        <v>204</v>
      </c>
      <c r="B103" t="s">
        <v>205</v>
      </c>
      <c r="C103">
        <v>0</v>
      </c>
    </row>
    <row r="104" spans="1:3" x14ac:dyDescent="0.25">
      <c r="A104" s="21" t="s">
        <v>206</v>
      </c>
      <c r="B104" t="s">
        <v>207</v>
      </c>
      <c r="C104">
        <v>0</v>
      </c>
    </row>
    <row r="105" spans="1:3" x14ac:dyDescent="0.25">
      <c r="A105" s="21" t="s">
        <v>208</v>
      </c>
      <c r="B105" t="s">
        <v>209</v>
      </c>
      <c r="C105">
        <v>0</v>
      </c>
    </row>
    <row r="106" spans="1:3" x14ac:dyDescent="0.25">
      <c r="A106" s="21" t="s">
        <v>210</v>
      </c>
      <c r="B106" t="s">
        <v>211</v>
      </c>
      <c r="C106">
        <v>0</v>
      </c>
    </row>
    <row r="107" spans="1:3" x14ac:dyDescent="0.25">
      <c r="A107" s="21" t="s">
        <v>212</v>
      </c>
      <c r="B107" t="s">
        <v>213</v>
      </c>
      <c r="C107">
        <v>0</v>
      </c>
    </row>
    <row r="108" spans="1:3" x14ac:dyDescent="0.25">
      <c r="A108" s="21" t="s">
        <v>214</v>
      </c>
      <c r="B108" t="s">
        <v>215</v>
      </c>
      <c r="C108">
        <v>0</v>
      </c>
    </row>
    <row r="109" spans="1:3" x14ac:dyDescent="0.25">
      <c r="A109" s="21" t="s">
        <v>216</v>
      </c>
      <c r="B109" t="s">
        <v>217</v>
      </c>
      <c r="C109">
        <v>0</v>
      </c>
    </row>
    <row r="110" spans="1:3" x14ac:dyDescent="0.25">
      <c r="A110" s="21" t="s">
        <v>218</v>
      </c>
      <c r="B110" t="s">
        <v>219</v>
      </c>
      <c r="C110">
        <v>0</v>
      </c>
    </row>
    <row r="111" spans="1:3" x14ac:dyDescent="0.25">
      <c r="A111" s="21" t="s">
        <v>220</v>
      </c>
      <c r="B111" t="s">
        <v>221</v>
      </c>
      <c r="C111">
        <v>0</v>
      </c>
    </row>
    <row r="112" spans="1:3" x14ac:dyDescent="0.25">
      <c r="A112" s="21" t="s">
        <v>222</v>
      </c>
      <c r="B112" t="s">
        <v>223</v>
      </c>
      <c r="C112">
        <v>0</v>
      </c>
    </row>
    <row r="113" spans="1:3" x14ac:dyDescent="0.25">
      <c r="A113" s="21" t="s">
        <v>224</v>
      </c>
      <c r="B113" t="s">
        <v>225</v>
      </c>
      <c r="C113">
        <v>0</v>
      </c>
    </row>
    <row r="114" spans="1:3" x14ac:dyDescent="0.25">
      <c r="A114" s="21" t="s">
        <v>226</v>
      </c>
      <c r="B114" t="s">
        <v>227</v>
      </c>
      <c r="C114">
        <v>0</v>
      </c>
    </row>
    <row r="115" spans="1:3" x14ac:dyDescent="0.25">
      <c r="A115" s="21" t="s">
        <v>228</v>
      </c>
      <c r="B115" t="s">
        <v>229</v>
      </c>
      <c r="C115">
        <v>0</v>
      </c>
    </row>
    <row r="116" spans="1:3" x14ac:dyDescent="0.25">
      <c r="A116" s="21" t="s">
        <v>230</v>
      </c>
      <c r="B116" t="s">
        <v>231</v>
      </c>
      <c r="C116">
        <v>0</v>
      </c>
    </row>
    <row r="117" spans="1:3" x14ac:dyDescent="0.25">
      <c r="A117" s="21" t="s">
        <v>232</v>
      </c>
      <c r="B117" t="s">
        <v>233</v>
      </c>
      <c r="C117">
        <v>0</v>
      </c>
    </row>
    <row r="118" spans="1:3" x14ac:dyDescent="0.25">
      <c r="A118" s="21" t="s">
        <v>234</v>
      </c>
      <c r="B118" t="s">
        <v>235</v>
      </c>
      <c r="C118">
        <v>0</v>
      </c>
    </row>
    <row r="119" spans="1:3" x14ac:dyDescent="0.25">
      <c r="A119" s="21" t="s">
        <v>236</v>
      </c>
      <c r="B119" t="s">
        <v>237</v>
      </c>
      <c r="C119">
        <v>0</v>
      </c>
    </row>
    <row r="120" spans="1:3" x14ac:dyDescent="0.25">
      <c r="A120" s="21" t="s">
        <v>238</v>
      </c>
      <c r="B120" t="s">
        <v>239</v>
      </c>
      <c r="C120">
        <v>0</v>
      </c>
    </row>
    <row r="121" spans="1:3" x14ac:dyDescent="0.25">
      <c r="A121" s="21" t="s">
        <v>240</v>
      </c>
      <c r="B121" t="s">
        <v>241</v>
      </c>
      <c r="C121">
        <v>0</v>
      </c>
    </row>
    <row r="122" spans="1:3" x14ac:dyDescent="0.25">
      <c r="A122" s="21" t="s">
        <v>242</v>
      </c>
      <c r="B122" t="s">
        <v>243</v>
      </c>
      <c r="C122">
        <v>0</v>
      </c>
    </row>
    <row r="123" spans="1:3" x14ac:dyDescent="0.25">
      <c r="A123" s="21" t="s">
        <v>244</v>
      </c>
      <c r="B123" t="s">
        <v>245</v>
      </c>
      <c r="C123">
        <v>0</v>
      </c>
    </row>
    <row r="124" spans="1:3" x14ac:dyDescent="0.25">
      <c r="A124" s="21" t="s">
        <v>246</v>
      </c>
      <c r="B124" t="s">
        <v>247</v>
      </c>
      <c r="C124">
        <v>0</v>
      </c>
    </row>
    <row r="125" spans="1:3" x14ac:dyDescent="0.25">
      <c r="A125" s="21" t="s">
        <v>248</v>
      </c>
      <c r="B125" t="s">
        <v>249</v>
      </c>
      <c r="C125">
        <v>0</v>
      </c>
    </row>
    <row r="126" spans="1:3" x14ac:dyDescent="0.25">
      <c r="A126" s="21" t="s">
        <v>250</v>
      </c>
      <c r="B126" t="s">
        <v>251</v>
      </c>
      <c r="C126">
        <v>0</v>
      </c>
    </row>
    <row r="127" spans="1:3" x14ac:dyDescent="0.25">
      <c r="A127" s="21" t="s">
        <v>252</v>
      </c>
      <c r="B127" t="s">
        <v>253</v>
      </c>
      <c r="C127">
        <v>0</v>
      </c>
    </row>
    <row r="128" spans="1:3" x14ac:dyDescent="0.25">
      <c r="A128" s="21" t="s">
        <v>254</v>
      </c>
      <c r="B128" t="s">
        <v>255</v>
      </c>
      <c r="C128">
        <v>0</v>
      </c>
    </row>
    <row r="129" spans="1:3" x14ac:dyDescent="0.25">
      <c r="A129" s="21" t="s">
        <v>256</v>
      </c>
      <c r="B129" t="s">
        <v>257</v>
      </c>
      <c r="C129">
        <v>0</v>
      </c>
    </row>
    <row r="130" spans="1:3" x14ac:dyDescent="0.25">
      <c r="A130" s="21" t="s">
        <v>258</v>
      </c>
      <c r="B130" t="s">
        <v>259</v>
      </c>
      <c r="C130">
        <v>0</v>
      </c>
    </row>
    <row r="131" spans="1:3" x14ac:dyDescent="0.25">
      <c r="A131" s="21" t="s">
        <v>260</v>
      </c>
      <c r="B131" t="s">
        <v>261</v>
      </c>
      <c r="C131">
        <v>0</v>
      </c>
    </row>
    <row r="132" spans="1:3" x14ac:dyDescent="0.25">
      <c r="A132" s="21" t="s">
        <v>262</v>
      </c>
      <c r="B132" t="s">
        <v>263</v>
      </c>
      <c r="C132">
        <v>0</v>
      </c>
    </row>
    <row r="133" spans="1:3" x14ac:dyDescent="0.25">
      <c r="A133" s="21" t="s">
        <v>264</v>
      </c>
      <c r="B133" t="s">
        <v>265</v>
      </c>
      <c r="C133">
        <v>0</v>
      </c>
    </row>
    <row r="134" spans="1:3" x14ac:dyDescent="0.25">
      <c r="A134" s="21" t="s">
        <v>266</v>
      </c>
      <c r="B134" t="s">
        <v>267</v>
      </c>
      <c r="C134">
        <v>0</v>
      </c>
    </row>
    <row r="135" spans="1:3" x14ac:dyDescent="0.25">
      <c r="A135" s="21" t="s">
        <v>268</v>
      </c>
      <c r="B135" t="s">
        <v>269</v>
      </c>
      <c r="C135">
        <v>0</v>
      </c>
    </row>
    <row r="136" spans="1:3" x14ac:dyDescent="0.25">
      <c r="A136" s="21" t="s">
        <v>270</v>
      </c>
      <c r="B136" t="s">
        <v>271</v>
      </c>
      <c r="C136">
        <v>0</v>
      </c>
    </row>
    <row r="137" spans="1:3" x14ac:dyDescent="0.25">
      <c r="A137" s="21" t="s">
        <v>272</v>
      </c>
      <c r="B137" t="s">
        <v>273</v>
      </c>
      <c r="C137">
        <v>0</v>
      </c>
    </row>
    <row r="138" spans="1:3" x14ac:dyDescent="0.25">
      <c r="A138" s="21" t="s">
        <v>274</v>
      </c>
      <c r="B138" t="s">
        <v>275</v>
      </c>
      <c r="C138">
        <v>0</v>
      </c>
    </row>
    <row r="139" spans="1:3" x14ac:dyDescent="0.25">
      <c r="A139" s="21" t="s">
        <v>276</v>
      </c>
      <c r="B139" t="s">
        <v>277</v>
      </c>
      <c r="C139">
        <v>0</v>
      </c>
    </row>
    <row r="140" spans="1:3" x14ac:dyDescent="0.25">
      <c r="A140" s="21" t="s">
        <v>278</v>
      </c>
      <c r="B140" t="s">
        <v>279</v>
      </c>
      <c r="C140">
        <v>0</v>
      </c>
    </row>
    <row r="141" spans="1:3" x14ac:dyDescent="0.25">
      <c r="A141" s="21" t="s">
        <v>280</v>
      </c>
      <c r="B141" t="s">
        <v>281</v>
      </c>
      <c r="C141">
        <v>0</v>
      </c>
    </row>
    <row r="142" spans="1:3" x14ac:dyDescent="0.25">
      <c r="A142" s="21" t="s">
        <v>282</v>
      </c>
      <c r="B142" t="s">
        <v>283</v>
      </c>
      <c r="C142">
        <v>0</v>
      </c>
    </row>
    <row r="143" spans="1:3" x14ac:dyDescent="0.25">
      <c r="A143" s="21" t="s">
        <v>284</v>
      </c>
      <c r="B143" t="s">
        <v>285</v>
      </c>
      <c r="C143">
        <v>0</v>
      </c>
    </row>
    <row r="144" spans="1:3" x14ac:dyDescent="0.25">
      <c r="A144" s="21" t="s">
        <v>286</v>
      </c>
      <c r="B144" t="s">
        <v>287</v>
      </c>
      <c r="C144">
        <v>0</v>
      </c>
    </row>
    <row r="145" spans="1:3" x14ac:dyDescent="0.25">
      <c r="A145" s="21" t="s">
        <v>288</v>
      </c>
      <c r="B145" t="s">
        <v>289</v>
      </c>
      <c r="C145">
        <v>0</v>
      </c>
    </row>
    <row r="146" spans="1:3" x14ac:dyDescent="0.25">
      <c r="A146" s="21" t="s">
        <v>290</v>
      </c>
      <c r="B146" t="s">
        <v>291</v>
      </c>
      <c r="C146">
        <v>0</v>
      </c>
    </row>
    <row r="147" spans="1:3" x14ac:dyDescent="0.25">
      <c r="A147" s="21" t="s">
        <v>292</v>
      </c>
      <c r="B147" t="s">
        <v>293</v>
      </c>
      <c r="C147">
        <v>0</v>
      </c>
    </row>
    <row r="148" spans="1:3" x14ac:dyDescent="0.25">
      <c r="A148" s="21" t="s">
        <v>294</v>
      </c>
      <c r="B148" t="s">
        <v>295</v>
      </c>
      <c r="C148">
        <v>0</v>
      </c>
    </row>
    <row r="149" spans="1:3" x14ac:dyDescent="0.25">
      <c r="A149" s="21" t="s">
        <v>296</v>
      </c>
      <c r="B149" t="s">
        <v>297</v>
      </c>
      <c r="C149">
        <v>0</v>
      </c>
    </row>
    <row r="150" spans="1:3" x14ac:dyDescent="0.25">
      <c r="A150" s="21" t="s">
        <v>298</v>
      </c>
      <c r="B150" t="s">
        <v>299</v>
      </c>
      <c r="C150">
        <v>0</v>
      </c>
    </row>
    <row r="151" spans="1:3" x14ac:dyDescent="0.25">
      <c r="A151" s="21" t="s">
        <v>300</v>
      </c>
      <c r="B151" t="s">
        <v>301</v>
      </c>
      <c r="C151">
        <v>0</v>
      </c>
    </row>
    <row r="152" spans="1:3" x14ac:dyDescent="0.25">
      <c r="A152" s="21" t="s">
        <v>302</v>
      </c>
      <c r="B152" t="s">
        <v>303</v>
      </c>
      <c r="C152">
        <v>0</v>
      </c>
    </row>
    <row r="153" spans="1:3" x14ac:dyDescent="0.25">
      <c r="A153" s="21" t="s">
        <v>304</v>
      </c>
      <c r="B153" t="s">
        <v>305</v>
      </c>
      <c r="C153">
        <v>0</v>
      </c>
    </row>
    <row r="154" spans="1:3" x14ac:dyDescent="0.25">
      <c r="A154" s="21" t="s">
        <v>306</v>
      </c>
      <c r="B154" t="s">
        <v>307</v>
      </c>
      <c r="C154">
        <v>0</v>
      </c>
    </row>
    <row r="155" spans="1:3" x14ac:dyDescent="0.25">
      <c r="A155" s="21" t="s">
        <v>308</v>
      </c>
      <c r="B155" t="s">
        <v>309</v>
      </c>
      <c r="C155">
        <v>0</v>
      </c>
    </row>
    <row r="156" spans="1:3" x14ac:dyDescent="0.25">
      <c r="A156" s="21" t="s">
        <v>310</v>
      </c>
      <c r="B156" t="s">
        <v>311</v>
      </c>
      <c r="C156">
        <v>0</v>
      </c>
    </row>
    <row r="157" spans="1:3" x14ac:dyDescent="0.25">
      <c r="A157" s="21" t="s">
        <v>312</v>
      </c>
      <c r="B157" t="s">
        <v>313</v>
      </c>
      <c r="C157">
        <v>0</v>
      </c>
    </row>
    <row r="158" spans="1:3" x14ac:dyDescent="0.25">
      <c r="A158" s="21" t="s">
        <v>314</v>
      </c>
      <c r="B158" t="s">
        <v>315</v>
      </c>
      <c r="C158">
        <v>0</v>
      </c>
    </row>
    <row r="159" spans="1:3" x14ac:dyDescent="0.25">
      <c r="A159" s="21" t="s">
        <v>316</v>
      </c>
      <c r="B159" t="s">
        <v>317</v>
      </c>
      <c r="C159">
        <v>0</v>
      </c>
    </row>
    <row r="160" spans="1:3" x14ac:dyDescent="0.25">
      <c r="A160" s="21" t="s">
        <v>318</v>
      </c>
      <c r="B160" t="s">
        <v>319</v>
      </c>
      <c r="C160">
        <v>0</v>
      </c>
    </row>
    <row r="161" spans="1:3" x14ac:dyDescent="0.25">
      <c r="A161" s="21" t="s">
        <v>320</v>
      </c>
      <c r="B161" t="s">
        <v>321</v>
      </c>
      <c r="C161">
        <v>0</v>
      </c>
    </row>
    <row r="162" spans="1:3" x14ac:dyDescent="0.25">
      <c r="A162" s="21" t="s">
        <v>322</v>
      </c>
      <c r="B162" t="s">
        <v>323</v>
      </c>
      <c r="C162">
        <v>0</v>
      </c>
    </row>
    <row r="163" spans="1:3" x14ac:dyDescent="0.25">
      <c r="A163" s="21" t="s">
        <v>324</v>
      </c>
      <c r="B163" t="s">
        <v>325</v>
      </c>
      <c r="C163">
        <v>0</v>
      </c>
    </row>
    <row r="164" spans="1:3" x14ac:dyDescent="0.25">
      <c r="A164" s="21" t="s">
        <v>326</v>
      </c>
      <c r="B164" t="s">
        <v>327</v>
      </c>
      <c r="C164">
        <v>0</v>
      </c>
    </row>
    <row r="165" spans="1:3" x14ac:dyDescent="0.25">
      <c r="A165" s="21" t="s">
        <v>328</v>
      </c>
      <c r="B165" t="s">
        <v>329</v>
      </c>
      <c r="C165">
        <v>0</v>
      </c>
    </row>
    <row r="166" spans="1:3" x14ac:dyDescent="0.25">
      <c r="A166" s="21" t="s">
        <v>330</v>
      </c>
      <c r="B166" t="s">
        <v>331</v>
      </c>
      <c r="C166">
        <v>0</v>
      </c>
    </row>
    <row r="167" spans="1:3" x14ac:dyDescent="0.25">
      <c r="A167" s="21" t="s">
        <v>332</v>
      </c>
      <c r="B167" t="s">
        <v>333</v>
      </c>
      <c r="C167">
        <v>0</v>
      </c>
    </row>
    <row r="168" spans="1:3" x14ac:dyDescent="0.25">
      <c r="A168" s="21" t="s">
        <v>334</v>
      </c>
      <c r="B168" t="s">
        <v>335</v>
      </c>
      <c r="C168">
        <v>0</v>
      </c>
    </row>
    <row r="169" spans="1:3" x14ac:dyDescent="0.25">
      <c r="A169" s="21" t="s">
        <v>336</v>
      </c>
      <c r="B169" t="s">
        <v>337</v>
      </c>
      <c r="C169">
        <v>0</v>
      </c>
    </row>
    <row r="170" spans="1:3" x14ac:dyDescent="0.25">
      <c r="A170" s="21" t="s">
        <v>338</v>
      </c>
      <c r="B170" t="s">
        <v>339</v>
      </c>
      <c r="C170">
        <v>0</v>
      </c>
    </row>
    <row r="171" spans="1:3" x14ac:dyDescent="0.25">
      <c r="A171" s="21" t="s">
        <v>340</v>
      </c>
      <c r="B171" t="s">
        <v>341</v>
      </c>
      <c r="C171">
        <v>0</v>
      </c>
    </row>
    <row r="172" spans="1:3" x14ac:dyDescent="0.25">
      <c r="A172" s="21" t="s">
        <v>342</v>
      </c>
      <c r="B172" t="s">
        <v>343</v>
      </c>
      <c r="C172">
        <v>0</v>
      </c>
    </row>
    <row r="173" spans="1:3" x14ac:dyDescent="0.25">
      <c r="A173" s="21" t="s">
        <v>344</v>
      </c>
      <c r="B173" t="s">
        <v>345</v>
      </c>
      <c r="C173">
        <v>0</v>
      </c>
    </row>
    <row r="174" spans="1:3" x14ac:dyDescent="0.25">
      <c r="A174" s="21" t="s">
        <v>346</v>
      </c>
      <c r="B174" t="s">
        <v>347</v>
      </c>
      <c r="C174">
        <v>0</v>
      </c>
    </row>
    <row r="175" spans="1:3" x14ac:dyDescent="0.25">
      <c r="A175" s="21" t="s">
        <v>348</v>
      </c>
      <c r="B175" t="s">
        <v>349</v>
      </c>
      <c r="C175">
        <v>0</v>
      </c>
    </row>
    <row r="176" spans="1:3" x14ac:dyDescent="0.25">
      <c r="A176" s="21" t="s">
        <v>350</v>
      </c>
      <c r="B176" t="s">
        <v>351</v>
      </c>
      <c r="C176">
        <v>0</v>
      </c>
    </row>
    <row r="177" spans="1:3" x14ac:dyDescent="0.25">
      <c r="A177" s="21" t="s">
        <v>352</v>
      </c>
      <c r="B177" t="s">
        <v>353</v>
      </c>
      <c r="C177">
        <v>0</v>
      </c>
    </row>
    <row r="178" spans="1:3" x14ac:dyDescent="0.25">
      <c r="A178" s="21" t="s">
        <v>354</v>
      </c>
      <c r="B178" t="s">
        <v>355</v>
      </c>
      <c r="C178">
        <v>0</v>
      </c>
    </row>
    <row r="179" spans="1:3" x14ac:dyDescent="0.25">
      <c r="A179" s="21" t="s">
        <v>356</v>
      </c>
      <c r="B179" t="s">
        <v>357</v>
      </c>
      <c r="C179">
        <v>0</v>
      </c>
    </row>
    <row r="180" spans="1:3" x14ac:dyDescent="0.25">
      <c r="A180" s="21" t="s">
        <v>358</v>
      </c>
      <c r="B180" t="s">
        <v>359</v>
      </c>
      <c r="C180">
        <v>0</v>
      </c>
    </row>
    <row r="181" spans="1:3" x14ac:dyDescent="0.25">
      <c r="A181" s="21" t="s">
        <v>360</v>
      </c>
      <c r="B181" t="s">
        <v>361</v>
      </c>
      <c r="C181">
        <v>0</v>
      </c>
    </row>
    <row r="182" spans="1:3" x14ac:dyDescent="0.25">
      <c r="A182" s="21" t="s">
        <v>362</v>
      </c>
      <c r="B182" t="s">
        <v>363</v>
      </c>
      <c r="C182">
        <v>0</v>
      </c>
    </row>
    <row r="183" spans="1:3" x14ac:dyDescent="0.25">
      <c r="A183" s="21" t="s">
        <v>364</v>
      </c>
      <c r="B183" t="s">
        <v>365</v>
      </c>
      <c r="C183">
        <v>0</v>
      </c>
    </row>
    <row r="184" spans="1:3" x14ac:dyDescent="0.25">
      <c r="A184" s="21" t="s">
        <v>366</v>
      </c>
      <c r="B184" t="s">
        <v>367</v>
      </c>
      <c r="C184">
        <v>0</v>
      </c>
    </row>
    <row r="185" spans="1:3" x14ac:dyDescent="0.25">
      <c r="A185" s="21" t="s">
        <v>368</v>
      </c>
      <c r="B185" t="s">
        <v>369</v>
      </c>
      <c r="C185">
        <v>0</v>
      </c>
    </row>
    <row r="186" spans="1:3" x14ac:dyDescent="0.25">
      <c r="A186" s="21" t="s">
        <v>370</v>
      </c>
      <c r="B186" t="s">
        <v>371</v>
      </c>
      <c r="C186">
        <v>0</v>
      </c>
    </row>
    <row r="187" spans="1:3" x14ac:dyDescent="0.25">
      <c r="A187" s="21" t="s">
        <v>372</v>
      </c>
      <c r="B187" t="s">
        <v>373</v>
      </c>
      <c r="C187">
        <v>0</v>
      </c>
    </row>
    <row r="188" spans="1:3" x14ac:dyDescent="0.25">
      <c r="A188" s="21" t="s">
        <v>374</v>
      </c>
      <c r="B188" t="s">
        <v>375</v>
      </c>
      <c r="C188">
        <v>0</v>
      </c>
    </row>
    <row r="189" spans="1:3" x14ac:dyDescent="0.25">
      <c r="A189" s="21" t="s">
        <v>376</v>
      </c>
      <c r="B189" t="s">
        <v>377</v>
      </c>
      <c r="C189">
        <v>0</v>
      </c>
    </row>
    <row r="190" spans="1:3" x14ac:dyDescent="0.25">
      <c r="A190" s="21" t="s">
        <v>378</v>
      </c>
      <c r="B190" t="s">
        <v>379</v>
      </c>
      <c r="C190">
        <v>0</v>
      </c>
    </row>
    <row r="191" spans="1:3" x14ac:dyDescent="0.25">
      <c r="A191" s="21" t="s">
        <v>380</v>
      </c>
      <c r="B191" t="s">
        <v>381</v>
      </c>
      <c r="C191">
        <v>0</v>
      </c>
    </row>
    <row r="192" spans="1:3" x14ac:dyDescent="0.25">
      <c r="A192" s="21" t="s">
        <v>382</v>
      </c>
      <c r="B192" t="s">
        <v>383</v>
      </c>
      <c r="C192">
        <v>0</v>
      </c>
    </row>
    <row r="193" spans="1:3" x14ac:dyDescent="0.25">
      <c r="A193" s="21" t="s">
        <v>384</v>
      </c>
      <c r="B193" t="s">
        <v>385</v>
      </c>
      <c r="C193">
        <v>0</v>
      </c>
    </row>
    <row r="194" spans="1:3" x14ac:dyDescent="0.25">
      <c r="A194" s="21" t="s">
        <v>386</v>
      </c>
      <c r="B194" t="s">
        <v>387</v>
      </c>
      <c r="C194">
        <v>0</v>
      </c>
    </row>
    <row r="195" spans="1:3" x14ac:dyDescent="0.25">
      <c r="A195" s="21" t="s">
        <v>388</v>
      </c>
      <c r="B195" t="s">
        <v>389</v>
      </c>
      <c r="C195">
        <v>0</v>
      </c>
    </row>
    <row r="196" spans="1:3" x14ac:dyDescent="0.25">
      <c r="A196" s="21" t="s">
        <v>390</v>
      </c>
      <c r="B196" t="s">
        <v>391</v>
      </c>
      <c r="C196">
        <v>0</v>
      </c>
    </row>
    <row r="197" spans="1:3" x14ac:dyDescent="0.25">
      <c r="A197" s="21" t="s">
        <v>392</v>
      </c>
      <c r="B197" t="s">
        <v>393</v>
      </c>
      <c r="C197">
        <v>0</v>
      </c>
    </row>
    <row r="198" spans="1:3" x14ac:dyDescent="0.25">
      <c r="A198" s="21" t="s">
        <v>394</v>
      </c>
      <c r="B198" t="s">
        <v>395</v>
      </c>
      <c r="C198">
        <v>0</v>
      </c>
    </row>
    <row r="199" spans="1:3" x14ac:dyDescent="0.25">
      <c r="A199" s="21" t="s">
        <v>396</v>
      </c>
      <c r="B199" t="s">
        <v>397</v>
      </c>
      <c r="C199">
        <v>0</v>
      </c>
    </row>
    <row r="200" spans="1:3" x14ac:dyDescent="0.25">
      <c r="A200" s="21" t="s">
        <v>398</v>
      </c>
      <c r="B200" t="s">
        <v>399</v>
      </c>
      <c r="C200">
        <v>0</v>
      </c>
    </row>
    <row r="201" spans="1:3" x14ac:dyDescent="0.25">
      <c r="A201" s="21" t="s">
        <v>400</v>
      </c>
      <c r="B201" t="s">
        <v>401</v>
      </c>
      <c r="C201">
        <v>0</v>
      </c>
    </row>
    <row r="202" spans="1:3" x14ac:dyDescent="0.25">
      <c r="A202" s="21" t="s">
        <v>402</v>
      </c>
      <c r="B202" t="s">
        <v>403</v>
      </c>
      <c r="C202">
        <v>0</v>
      </c>
    </row>
    <row r="203" spans="1:3" x14ac:dyDescent="0.25">
      <c r="A203" s="21" t="s">
        <v>404</v>
      </c>
      <c r="B203" t="s">
        <v>405</v>
      </c>
      <c r="C203">
        <v>0</v>
      </c>
    </row>
    <row r="204" spans="1:3" x14ac:dyDescent="0.25">
      <c r="A204" s="21" t="s">
        <v>406</v>
      </c>
      <c r="B204" t="s">
        <v>407</v>
      </c>
      <c r="C204">
        <v>0</v>
      </c>
    </row>
    <row r="205" spans="1:3" x14ac:dyDescent="0.25">
      <c r="A205" s="21" t="s">
        <v>408</v>
      </c>
      <c r="B205" t="s">
        <v>409</v>
      </c>
      <c r="C205">
        <v>0</v>
      </c>
    </row>
    <row r="206" spans="1:3" x14ac:dyDescent="0.25">
      <c r="A206" s="21" t="s">
        <v>410</v>
      </c>
      <c r="B206" t="s">
        <v>411</v>
      </c>
      <c r="C206">
        <v>0</v>
      </c>
    </row>
    <row r="207" spans="1:3" x14ac:dyDescent="0.25">
      <c r="A207" s="21" t="s">
        <v>412</v>
      </c>
      <c r="B207" t="s">
        <v>413</v>
      </c>
      <c r="C207">
        <v>0</v>
      </c>
    </row>
    <row r="208" spans="1:3" x14ac:dyDescent="0.25">
      <c r="A208" s="21" t="s">
        <v>414</v>
      </c>
      <c r="B208" t="s">
        <v>415</v>
      </c>
      <c r="C208">
        <v>0</v>
      </c>
    </row>
    <row r="209" spans="1:3" x14ac:dyDescent="0.25">
      <c r="A209" s="21" t="s">
        <v>416</v>
      </c>
      <c r="B209" t="s">
        <v>417</v>
      </c>
      <c r="C209">
        <v>0</v>
      </c>
    </row>
    <row r="210" spans="1:3" x14ac:dyDescent="0.25">
      <c r="A210" s="21" t="s">
        <v>418</v>
      </c>
      <c r="B210" t="s">
        <v>419</v>
      </c>
      <c r="C210">
        <v>0</v>
      </c>
    </row>
    <row r="211" spans="1:3" x14ac:dyDescent="0.25">
      <c r="A211" s="21" t="s">
        <v>420</v>
      </c>
      <c r="B211" t="s">
        <v>421</v>
      </c>
      <c r="C211">
        <v>0</v>
      </c>
    </row>
    <row r="212" spans="1:3" x14ac:dyDescent="0.25">
      <c r="A212" s="21" t="s">
        <v>422</v>
      </c>
      <c r="B212" t="s">
        <v>423</v>
      </c>
      <c r="C212">
        <v>0</v>
      </c>
    </row>
    <row r="213" spans="1:3" x14ac:dyDescent="0.25">
      <c r="A213" s="21" t="s">
        <v>424</v>
      </c>
      <c r="B213" t="s">
        <v>425</v>
      </c>
      <c r="C213">
        <v>0</v>
      </c>
    </row>
    <row r="214" spans="1:3" x14ac:dyDescent="0.25">
      <c r="A214" s="21" t="s">
        <v>426</v>
      </c>
      <c r="B214" t="s">
        <v>427</v>
      </c>
      <c r="C214">
        <v>0</v>
      </c>
    </row>
    <row r="215" spans="1:3" x14ac:dyDescent="0.25">
      <c r="A215" s="21" t="s">
        <v>428</v>
      </c>
      <c r="B215" t="s">
        <v>429</v>
      </c>
      <c r="C215">
        <v>0</v>
      </c>
    </row>
    <row r="216" spans="1:3" x14ac:dyDescent="0.25">
      <c r="A216" s="21" t="s">
        <v>430</v>
      </c>
      <c r="B216" t="s">
        <v>431</v>
      </c>
      <c r="C216">
        <v>0</v>
      </c>
    </row>
    <row r="217" spans="1:3" x14ac:dyDescent="0.25">
      <c r="A217" s="21" t="s">
        <v>432</v>
      </c>
      <c r="B217" t="s">
        <v>433</v>
      </c>
      <c r="C217">
        <v>0</v>
      </c>
    </row>
    <row r="218" spans="1:3" x14ac:dyDescent="0.25">
      <c r="A218" s="21" t="s">
        <v>434</v>
      </c>
      <c r="B218" t="s">
        <v>435</v>
      </c>
      <c r="C218">
        <v>0</v>
      </c>
    </row>
    <row r="219" spans="1:3" x14ac:dyDescent="0.25">
      <c r="A219" s="21" t="s">
        <v>436</v>
      </c>
      <c r="B219" t="s">
        <v>437</v>
      </c>
      <c r="C219">
        <v>0</v>
      </c>
    </row>
    <row r="220" spans="1:3" x14ac:dyDescent="0.25">
      <c r="A220" s="21" t="s">
        <v>438</v>
      </c>
      <c r="B220" t="s">
        <v>439</v>
      </c>
      <c r="C220">
        <v>0</v>
      </c>
    </row>
    <row r="221" spans="1:3" x14ac:dyDescent="0.25">
      <c r="A221" s="21" t="s">
        <v>440</v>
      </c>
      <c r="B221" t="s">
        <v>441</v>
      </c>
      <c r="C221">
        <v>0</v>
      </c>
    </row>
    <row r="222" spans="1:3" x14ac:dyDescent="0.25">
      <c r="A222" s="21" t="s">
        <v>442</v>
      </c>
      <c r="B222" t="s">
        <v>443</v>
      </c>
      <c r="C222">
        <v>0</v>
      </c>
    </row>
    <row r="223" spans="1:3" x14ac:dyDescent="0.25">
      <c r="A223" s="21" t="s">
        <v>444</v>
      </c>
      <c r="B223" t="s">
        <v>445</v>
      </c>
      <c r="C223">
        <v>0</v>
      </c>
    </row>
    <row r="224" spans="1:3" x14ac:dyDescent="0.25">
      <c r="A224" s="21" t="s">
        <v>446</v>
      </c>
      <c r="B224" t="s">
        <v>447</v>
      </c>
      <c r="C224">
        <v>0</v>
      </c>
    </row>
    <row r="225" spans="1:3" x14ac:dyDescent="0.25">
      <c r="A225" s="21" t="s">
        <v>448</v>
      </c>
      <c r="B225" t="s">
        <v>449</v>
      </c>
      <c r="C225">
        <v>0</v>
      </c>
    </row>
    <row r="226" spans="1:3" x14ac:dyDescent="0.25">
      <c r="A226" s="21" t="s">
        <v>450</v>
      </c>
      <c r="B226" t="s">
        <v>451</v>
      </c>
      <c r="C226">
        <v>0</v>
      </c>
    </row>
    <row r="227" spans="1:3" x14ac:dyDescent="0.25">
      <c r="A227" s="21" t="s">
        <v>452</v>
      </c>
      <c r="B227" t="s">
        <v>453</v>
      </c>
      <c r="C227">
        <v>0</v>
      </c>
    </row>
    <row r="228" spans="1:3" x14ac:dyDescent="0.25">
      <c r="A228" s="21" t="s">
        <v>454</v>
      </c>
      <c r="B228" t="s">
        <v>455</v>
      </c>
      <c r="C228">
        <v>0</v>
      </c>
    </row>
    <row r="229" spans="1:3" x14ac:dyDescent="0.25">
      <c r="A229" s="21" t="s">
        <v>456</v>
      </c>
      <c r="B229" t="s">
        <v>457</v>
      </c>
      <c r="C229">
        <v>0</v>
      </c>
    </row>
    <row r="230" spans="1:3" x14ac:dyDescent="0.25">
      <c r="A230" s="21" t="s">
        <v>458</v>
      </c>
      <c r="B230" t="s">
        <v>459</v>
      </c>
      <c r="C230">
        <v>0</v>
      </c>
    </row>
    <row r="231" spans="1:3" x14ac:dyDescent="0.25">
      <c r="A231" s="21" t="s">
        <v>460</v>
      </c>
      <c r="B231" t="s">
        <v>461</v>
      </c>
      <c r="C231">
        <v>0</v>
      </c>
    </row>
    <row r="232" spans="1:3" x14ac:dyDescent="0.25">
      <c r="A232" s="21" t="s">
        <v>462</v>
      </c>
      <c r="B232" t="s">
        <v>463</v>
      </c>
      <c r="C232">
        <v>0</v>
      </c>
    </row>
    <row r="233" spans="1:3" x14ac:dyDescent="0.25">
      <c r="A233" s="21" t="s">
        <v>464</v>
      </c>
      <c r="B233" t="s">
        <v>465</v>
      </c>
      <c r="C233">
        <v>0</v>
      </c>
    </row>
    <row r="234" spans="1:3" x14ac:dyDescent="0.25">
      <c r="A234" s="21" t="s">
        <v>466</v>
      </c>
      <c r="B234" t="s">
        <v>467</v>
      </c>
      <c r="C234">
        <v>0</v>
      </c>
    </row>
    <row r="235" spans="1:3" x14ac:dyDescent="0.25">
      <c r="A235" s="21" t="s">
        <v>468</v>
      </c>
      <c r="B235" t="s">
        <v>469</v>
      </c>
      <c r="C235">
        <v>0</v>
      </c>
    </row>
    <row r="236" spans="1:3" x14ac:dyDescent="0.25">
      <c r="A236" s="21" t="s">
        <v>470</v>
      </c>
      <c r="B236" t="s">
        <v>471</v>
      </c>
      <c r="C236">
        <v>0</v>
      </c>
    </row>
    <row r="237" spans="1:3" x14ac:dyDescent="0.25">
      <c r="A237" s="21" t="s">
        <v>472</v>
      </c>
      <c r="B237" t="s">
        <v>473</v>
      </c>
      <c r="C237">
        <v>0</v>
      </c>
    </row>
    <row r="238" spans="1:3" x14ac:dyDescent="0.25">
      <c r="A238" s="21" t="s">
        <v>474</v>
      </c>
      <c r="B238" t="s">
        <v>475</v>
      </c>
      <c r="C238">
        <v>0</v>
      </c>
    </row>
    <row r="239" spans="1:3" x14ac:dyDescent="0.25">
      <c r="A239" s="21" t="s">
        <v>476</v>
      </c>
      <c r="B239" t="s">
        <v>477</v>
      </c>
      <c r="C239">
        <v>0</v>
      </c>
    </row>
    <row r="240" spans="1:3" x14ac:dyDescent="0.25">
      <c r="A240" s="21" t="s">
        <v>478</v>
      </c>
      <c r="B240" t="s">
        <v>479</v>
      </c>
      <c r="C240">
        <v>0</v>
      </c>
    </row>
    <row r="241" spans="1:3" x14ac:dyDescent="0.25">
      <c r="A241" s="21" t="s">
        <v>480</v>
      </c>
      <c r="B241" t="s">
        <v>481</v>
      </c>
      <c r="C241">
        <v>0</v>
      </c>
    </row>
    <row r="242" spans="1:3" x14ac:dyDescent="0.25">
      <c r="A242" s="21" t="s">
        <v>482</v>
      </c>
      <c r="B242" t="s">
        <v>483</v>
      </c>
      <c r="C242">
        <v>0</v>
      </c>
    </row>
    <row r="243" spans="1:3" x14ac:dyDescent="0.25">
      <c r="A243" s="21" t="s">
        <v>484</v>
      </c>
      <c r="B243" t="s">
        <v>485</v>
      </c>
      <c r="C243">
        <v>0</v>
      </c>
    </row>
    <row r="244" spans="1:3" x14ac:dyDescent="0.25">
      <c r="A244" s="21" t="s">
        <v>486</v>
      </c>
      <c r="B244" t="s">
        <v>487</v>
      </c>
      <c r="C244">
        <v>0</v>
      </c>
    </row>
    <row r="245" spans="1:3" x14ac:dyDescent="0.25">
      <c r="A245" s="21" t="s">
        <v>488</v>
      </c>
      <c r="B245" t="s">
        <v>489</v>
      </c>
      <c r="C245">
        <v>0</v>
      </c>
    </row>
    <row r="246" spans="1:3" x14ac:dyDescent="0.25">
      <c r="A246" s="21" t="s">
        <v>490</v>
      </c>
      <c r="B246" t="s">
        <v>491</v>
      </c>
      <c r="C246">
        <v>0</v>
      </c>
    </row>
    <row r="247" spans="1:3" x14ac:dyDescent="0.25">
      <c r="A247" s="21" t="s">
        <v>492</v>
      </c>
      <c r="B247" t="s">
        <v>493</v>
      </c>
      <c r="C247">
        <v>0</v>
      </c>
    </row>
    <row r="248" spans="1:3" x14ac:dyDescent="0.25">
      <c r="A248" s="21" t="s">
        <v>494</v>
      </c>
      <c r="B248" t="s">
        <v>495</v>
      </c>
      <c r="C248">
        <v>0</v>
      </c>
    </row>
    <row r="249" spans="1:3" x14ac:dyDescent="0.25">
      <c r="A249" s="21" t="s">
        <v>496</v>
      </c>
      <c r="B249" t="s">
        <v>497</v>
      </c>
      <c r="C249">
        <v>0</v>
      </c>
    </row>
    <row r="250" spans="1:3" x14ac:dyDescent="0.25">
      <c r="A250" s="21" t="s">
        <v>498</v>
      </c>
      <c r="B250" t="s">
        <v>499</v>
      </c>
      <c r="C250">
        <v>0</v>
      </c>
    </row>
    <row r="251" spans="1:3" x14ac:dyDescent="0.25">
      <c r="A251" s="21" t="s">
        <v>500</v>
      </c>
      <c r="B251" t="s">
        <v>501</v>
      </c>
      <c r="C251">
        <v>0</v>
      </c>
    </row>
    <row r="252" spans="1:3" x14ac:dyDescent="0.25">
      <c r="A252" s="21" t="s">
        <v>502</v>
      </c>
      <c r="B252" t="s">
        <v>503</v>
      </c>
      <c r="C252">
        <v>0</v>
      </c>
    </row>
    <row r="253" spans="1:3" x14ac:dyDescent="0.25">
      <c r="A253" s="21" t="s">
        <v>504</v>
      </c>
      <c r="B253" t="s">
        <v>505</v>
      </c>
      <c r="C253">
        <v>0</v>
      </c>
    </row>
    <row r="254" spans="1:3" x14ac:dyDescent="0.25">
      <c r="A254" s="21" t="s">
        <v>506</v>
      </c>
      <c r="B254" t="s">
        <v>507</v>
      </c>
      <c r="C254">
        <v>0</v>
      </c>
    </row>
    <row r="255" spans="1:3" x14ac:dyDescent="0.25">
      <c r="A255" s="21" t="s">
        <v>508</v>
      </c>
      <c r="B255" t="s">
        <v>509</v>
      </c>
      <c r="C255">
        <v>0</v>
      </c>
    </row>
    <row r="256" spans="1:3" x14ac:dyDescent="0.25">
      <c r="A256" s="21" t="s">
        <v>510</v>
      </c>
      <c r="B256" t="s">
        <v>511</v>
      </c>
      <c r="C256">
        <v>0</v>
      </c>
    </row>
    <row r="257" spans="1:3" x14ac:dyDescent="0.25">
      <c r="A257" s="21" t="s">
        <v>512</v>
      </c>
      <c r="B257" t="s">
        <v>513</v>
      </c>
      <c r="C257">
        <v>0</v>
      </c>
    </row>
    <row r="258" spans="1:3" x14ac:dyDescent="0.25">
      <c r="A258" s="21" t="s">
        <v>514</v>
      </c>
      <c r="B258" t="s">
        <v>515</v>
      </c>
      <c r="C258">
        <v>0</v>
      </c>
    </row>
    <row r="259" spans="1:3" x14ac:dyDescent="0.25">
      <c r="A259" s="21" t="s">
        <v>516</v>
      </c>
      <c r="B259" t="s">
        <v>517</v>
      </c>
      <c r="C259">
        <v>0</v>
      </c>
    </row>
    <row r="260" spans="1:3" x14ac:dyDescent="0.25">
      <c r="A260" s="21" t="s">
        <v>518</v>
      </c>
      <c r="B260" t="s">
        <v>519</v>
      </c>
      <c r="C260">
        <v>0</v>
      </c>
    </row>
    <row r="261" spans="1:3" x14ac:dyDescent="0.25">
      <c r="A261" s="21" t="s">
        <v>520</v>
      </c>
      <c r="B261" t="s">
        <v>521</v>
      </c>
      <c r="C261">
        <v>0</v>
      </c>
    </row>
    <row r="262" spans="1:3" x14ac:dyDescent="0.25">
      <c r="A262" s="21" t="s">
        <v>522</v>
      </c>
      <c r="B262" t="s">
        <v>523</v>
      </c>
      <c r="C262">
        <v>0</v>
      </c>
    </row>
    <row r="263" spans="1:3" x14ac:dyDescent="0.25">
      <c r="A263" s="21" t="s">
        <v>524</v>
      </c>
      <c r="B263" t="s">
        <v>525</v>
      </c>
      <c r="C263">
        <v>0</v>
      </c>
    </row>
    <row r="264" spans="1:3" x14ac:dyDescent="0.25">
      <c r="A264" s="21" t="s">
        <v>526</v>
      </c>
      <c r="B264" t="s">
        <v>527</v>
      </c>
      <c r="C264">
        <v>0</v>
      </c>
    </row>
    <row r="265" spans="1:3" x14ac:dyDescent="0.25">
      <c r="A265" s="21" t="s">
        <v>528</v>
      </c>
      <c r="B265" t="s">
        <v>529</v>
      </c>
      <c r="C265">
        <v>0</v>
      </c>
    </row>
    <row r="266" spans="1:3" x14ac:dyDescent="0.25">
      <c r="A266" s="21" t="s">
        <v>530</v>
      </c>
      <c r="B266" t="s">
        <v>531</v>
      </c>
      <c r="C266">
        <v>0</v>
      </c>
    </row>
    <row r="267" spans="1:3" x14ac:dyDescent="0.25">
      <c r="A267" s="21" t="s">
        <v>532</v>
      </c>
      <c r="B267" t="s">
        <v>533</v>
      </c>
      <c r="C267">
        <v>0</v>
      </c>
    </row>
    <row r="268" spans="1:3" x14ac:dyDescent="0.25">
      <c r="A268" s="21" t="s">
        <v>534</v>
      </c>
      <c r="B268" t="s">
        <v>535</v>
      </c>
      <c r="C268">
        <v>0</v>
      </c>
    </row>
    <row r="269" spans="1:3" x14ac:dyDescent="0.25">
      <c r="A269" s="21" t="s">
        <v>536</v>
      </c>
      <c r="B269" t="s">
        <v>537</v>
      </c>
      <c r="C269">
        <v>0</v>
      </c>
    </row>
    <row r="270" spans="1:3" x14ac:dyDescent="0.25">
      <c r="A270" s="21" t="s">
        <v>538</v>
      </c>
      <c r="B270" t="s">
        <v>539</v>
      </c>
      <c r="C270">
        <v>0</v>
      </c>
    </row>
    <row r="271" spans="1:3" x14ac:dyDescent="0.25">
      <c r="A271" s="21" t="s">
        <v>540</v>
      </c>
      <c r="B271" t="s">
        <v>541</v>
      </c>
      <c r="C271">
        <v>0</v>
      </c>
    </row>
    <row r="272" spans="1:3" x14ac:dyDescent="0.25">
      <c r="A272" s="21" t="s">
        <v>542</v>
      </c>
      <c r="B272" t="s">
        <v>543</v>
      </c>
      <c r="C272">
        <v>0</v>
      </c>
    </row>
    <row r="273" spans="1:3" x14ac:dyDescent="0.25">
      <c r="A273" s="21" t="s">
        <v>544</v>
      </c>
      <c r="B273" t="s">
        <v>545</v>
      </c>
      <c r="C273">
        <v>0</v>
      </c>
    </row>
    <row r="274" spans="1:3" x14ac:dyDescent="0.25">
      <c r="A274" s="21" t="s">
        <v>546</v>
      </c>
      <c r="B274" t="s">
        <v>547</v>
      </c>
      <c r="C274">
        <v>0</v>
      </c>
    </row>
    <row r="275" spans="1:3" x14ac:dyDescent="0.25">
      <c r="A275" s="21" t="s">
        <v>548</v>
      </c>
      <c r="B275" t="s">
        <v>549</v>
      </c>
      <c r="C275">
        <v>0</v>
      </c>
    </row>
    <row r="276" spans="1:3" x14ac:dyDescent="0.25">
      <c r="A276" s="21" t="s">
        <v>550</v>
      </c>
      <c r="B276" t="s">
        <v>551</v>
      </c>
      <c r="C276">
        <v>0</v>
      </c>
    </row>
    <row r="277" spans="1:3" x14ac:dyDescent="0.25">
      <c r="A277" s="21" t="s">
        <v>552</v>
      </c>
      <c r="B277" t="s">
        <v>553</v>
      </c>
      <c r="C277">
        <v>0</v>
      </c>
    </row>
    <row r="278" spans="1:3" x14ac:dyDescent="0.25">
      <c r="A278" s="21" t="s">
        <v>554</v>
      </c>
      <c r="B278" t="s">
        <v>555</v>
      </c>
      <c r="C278">
        <v>0</v>
      </c>
    </row>
    <row r="279" spans="1:3" x14ac:dyDescent="0.25">
      <c r="A279" s="21" t="s">
        <v>556</v>
      </c>
      <c r="B279" t="s">
        <v>557</v>
      </c>
      <c r="C279">
        <v>0</v>
      </c>
    </row>
    <row r="280" spans="1:3" x14ac:dyDescent="0.25">
      <c r="A280" s="21" t="s">
        <v>558</v>
      </c>
      <c r="B280" t="s">
        <v>559</v>
      </c>
      <c r="C280">
        <v>0</v>
      </c>
    </row>
    <row r="281" spans="1:3" x14ac:dyDescent="0.25">
      <c r="A281" s="21" t="s">
        <v>560</v>
      </c>
      <c r="B281" t="s">
        <v>561</v>
      </c>
      <c r="C281">
        <v>0</v>
      </c>
    </row>
    <row r="282" spans="1:3" x14ac:dyDescent="0.25">
      <c r="A282" s="21" t="s">
        <v>562</v>
      </c>
      <c r="B282" t="s">
        <v>563</v>
      </c>
      <c r="C282">
        <v>0</v>
      </c>
    </row>
    <row r="283" spans="1:3" x14ac:dyDescent="0.25">
      <c r="A283" s="21" t="s">
        <v>564</v>
      </c>
      <c r="B283" t="s">
        <v>565</v>
      </c>
      <c r="C283">
        <v>0</v>
      </c>
    </row>
    <row r="284" spans="1:3" x14ac:dyDescent="0.25">
      <c r="A284" s="21" t="s">
        <v>566</v>
      </c>
      <c r="B284" t="s">
        <v>567</v>
      </c>
      <c r="C284">
        <v>0</v>
      </c>
    </row>
    <row r="285" spans="1:3" x14ac:dyDescent="0.25">
      <c r="A285" s="21" t="s">
        <v>568</v>
      </c>
      <c r="B285" t="s">
        <v>569</v>
      </c>
      <c r="C285">
        <v>0</v>
      </c>
    </row>
    <row r="286" spans="1:3" x14ac:dyDescent="0.25">
      <c r="A286" s="21" t="s">
        <v>570</v>
      </c>
      <c r="B286" t="s">
        <v>571</v>
      </c>
      <c r="C286">
        <v>0</v>
      </c>
    </row>
    <row r="287" spans="1:3" x14ac:dyDescent="0.25">
      <c r="A287" s="21" t="s">
        <v>572</v>
      </c>
      <c r="B287" t="s">
        <v>573</v>
      </c>
      <c r="C287">
        <v>0</v>
      </c>
    </row>
    <row r="288" spans="1:3" x14ac:dyDescent="0.25">
      <c r="A288" s="21" t="s">
        <v>574</v>
      </c>
      <c r="B288" t="s">
        <v>575</v>
      </c>
      <c r="C288">
        <v>0</v>
      </c>
    </row>
    <row r="289" spans="1:3" x14ac:dyDescent="0.25">
      <c r="A289" s="21" t="s">
        <v>576</v>
      </c>
      <c r="B289" t="s">
        <v>577</v>
      </c>
      <c r="C289">
        <v>0</v>
      </c>
    </row>
    <row r="290" spans="1:3" x14ac:dyDescent="0.25">
      <c r="A290" s="21" t="s">
        <v>578</v>
      </c>
      <c r="B290" t="s">
        <v>579</v>
      </c>
      <c r="C290">
        <v>0</v>
      </c>
    </row>
    <row r="291" spans="1:3" x14ac:dyDescent="0.25">
      <c r="A291" s="21" t="s">
        <v>580</v>
      </c>
      <c r="B291" t="s">
        <v>581</v>
      </c>
      <c r="C291">
        <v>0</v>
      </c>
    </row>
    <row r="292" spans="1:3" x14ac:dyDescent="0.25">
      <c r="A292" s="21" t="s">
        <v>582</v>
      </c>
      <c r="B292" t="s">
        <v>583</v>
      </c>
      <c r="C292">
        <v>0</v>
      </c>
    </row>
    <row r="293" spans="1:3" x14ac:dyDescent="0.25">
      <c r="A293" s="21" t="s">
        <v>584</v>
      </c>
      <c r="B293" t="s">
        <v>585</v>
      </c>
      <c r="C293">
        <v>0</v>
      </c>
    </row>
    <row r="294" spans="1:3" x14ac:dyDescent="0.25">
      <c r="A294" s="21" t="s">
        <v>586</v>
      </c>
      <c r="B294" t="s">
        <v>587</v>
      </c>
      <c r="C294">
        <v>0</v>
      </c>
    </row>
    <row r="295" spans="1:3" x14ac:dyDescent="0.25">
      <c r="A295" s="21" t="s">
        <v>588</v>
      </c>
      <c r="B295" t="s">
        <v>589</v>
      </c>
      <c r="C295">
        <v>0</v>
      </c>
    </row>
    <row r="296" spans="1:3" x14ac:dyDescent="0.25">
      <c r="A296" s="21" t="s">
        <v>590</v>
      </c>
      <c r="B296" t="s">
        <v>591</v>
      </c>
      <c r="C296">
        <v>0</v>
      </c>
    </row>
    <row r="297" spans="1:3" x14ac:dyDescent="0.25">
      <c r="A297" s="21" t="s">
        <v>592</v>
      </c>
      <c r="B297" t="s">
        <v>593</v>
      </c>
      <c r="C297">
        <v>0</v>
      </c>
    </row>
    <row r="298" spans="1:3" x14ac:dyDescent="0.25">
      <c r="A298" s="21" t="s">
        <v>594</v>
      </c>
      <c r="B298" t="s">
        <v>595</v>
      </c>
      <c r="C298">
        <v>0</v>
      </c>
    </row>
    <row r="299" spans="1:3" x14ac:dyDescent="0.25">
      <c r="A299" s="21" t="s">
        <v>596</v>
      </c>
      <c r="B299" t="s">
        <v>597</v>
      </c>
      <c r="C299">
        <v>0</v>
      </c>
    </row>
    <row r="300" spans="1:3" x14ac:dyDescent="0.25">
      <c r="A300" s="21" t="s">
        <v>598</v>
      </c>
      <c r="B300" t="s">
        <v>599</v>
      </c>
      <c r="C300">
        <v>0</v>
      </c>
    </row>
    <row r="301" spans="1:3" x14ac:dyDescent="0.25">
      <c r="A301" s="21" t="s">
        <v>600</v>
      </c>
      <c r="B301" t="s">
        <v>601</v>
      </c>
      <c r="C301">
        <v>0</v>
      </c>
    </row>
    <row r="302" spans="1:3" x14ac:dyDescent="0.25">
      <c r="A302" s="21" t="s">
        <v>602</v>
      </c>
      <c r="B302" t="s">
        <v>603</v>
      </c>
      <c r="C302">
        <v>0</v>
      </c>
    </row>
    <row r="303" spans="1:3" x14ac:dyDescent="0.25">
      <c r="A303" s="21" t="s">
        <v>604</v>
      </c>
      <c r="B303" t="s">
        <v>605</v>
      </c>
      <c r="C303">
        <v>0</v>
      </c>
    </row>
    <row r="304" spans="1:3" x14ac:dyDescent="0.25">
      <c r="A304" s="21" t="s">
        <v>606</v>
      </c>
      <c r="B304" t="s">
        <v>607</v>
      </c>
      <c r="C304">
        <v>0</v>
      </c>
    </row>
    <row r="305" spans="1:3" x14ac:dyDescent="0.25">
      <c r="A305" s="21" t="s">
        <v>608</v>
      </c>
      <c r="B305" t="s">
        <v>609</v>
      </c>
      <c r="C305">
        <v>0</v>
      </c>
    </row>
    <row r="306" spans="1:3" x14ac:dyDescent="0.25">
      <c r="A306" s="21" t="s">
        <v>610</v>
      </c>
      <c r="B306" t="s">
        <v>611</v>
      </c>
      <c r="C306">
        <v>0</v>
      </c>
    </row>
    <row r="307" spans="1:3" x14ac:dyDescent="0.25">
      <c r="A307" s="21" t="s">
        <v>612</v>
      </c>
      <c r="B307" t="s">
        <v>613</v>
      </c>
      <c r="C307">
        <v>0</v>
      </c>
    </row>
    <row r="308" spans="1:3" x14ac:dyDescent="0.25">
      <c r="A308" s="21" t="s">
        <v>614</v>
      </c>
      <c r="B308" t="s">
        <v>615</v>
      </c>
      <c r="C308">
        <v>0</v>
      </c>
    </row>
    <row r="309" spans="1:3" x14ac:dyDescent="0.25">
      <c r="A309" s="21" t="s">
        <v>616</v>
      </c>
      <c r="B309" t="s">
        <v>617</v>
      </c>
      <c r="C309">
        <v>0</v>
      </c>
    </row>
    <row r="310" spans="1:3" x14ac:dyDescent="0.25">
      <c r="A310" s="21" t="s">
        <v>618</v>
      </c>
      <c r="B310" t="s">
        <v>619</v>
      </c>
      <c r="C310">
        <v>0</v>
      </c>
    </row>
    <row r="311" spans="1:3" x14ac:dyDescent="0.25">
      <c r="A311" s="21" t="s">
        <v>620</v>
      </c>
      <c r="B311" t="s">
        <v>621</v>
      </c>
      <c r="C311">
        <v>0</v>
      </c>
    </row>
    <row r="312" spans="1:3" x14ac:dyDescent="0.25">
      <c r="A312" s="21" t="s">
        <v>622</v>
      </c>
      <c r="B312" t="s">
        <v>623</v>
      </c>
      <c r="C312">
        <v>0</v>
      </c>
    </row>
    <row r="313" spans="1:3" x14ac:dyDescent="0.25">
      <c r="A313" s="21" t="s">
        <v>624</v>
      </c>
      <c r="B313" t="s">
        <v>625</v>
      </c>
      <c r="C313">
        <v>0</v>
      </c>
    </row>
    <row r="314" spans="1:3" x14ac:dyDescent="0.25">
      <c r="A314" s="21" t="s">
        <v>626</v>
      </c>
      <c r="B314" t="s">
        <v>627</v>
      </c>
      <c r="C314">
        <v>0</v>
      </c>
    </row>
    <row r="315" spans="1:3" x14ac:dyDescent="0.25">
      <c r="A315" s="21" t="s">
        <v>628</v>
      </c>
      <c r="B315" t="s">
        <v>629</v>
      </c>
      <c r="C315">
        <v>0</v>
      </c>
    </row>
    <row r="316" spans="1:3" x14ac:dyDescent="0.25">
      <c r="A316" s="21" t="s">
        <v>630</v>
      </c>
      <c r="B316" t="s">
        <v>631</v>
      </c>
      <c r="C316">
        <v>0</v>
      </c>
    </row>
    <row r="317" spans="1:3" x14ac:dyDescent="0.25">
      <c r="A317" s="21" t="s">
        <v>632</v>
      </c>
      <c r="B317" t="s">
        <v>633</v>
      </c>
      <c r="C317">
        <v>0</v>
      </c>
    </row>
    <row r="318" spans="1:3" x14ac:dyDescent="0.25">
      <c r="A318" s="21" t="s">
        <v>634</v>
      </c>
      <c r="B318" t="s">
        <v>635</v>
      </c>
      <c r="C318">
        <v>0</v>
      </c>
    </row>
    <row r="319" spans="1:3" x14ac:dyDescent="0.25">
      <c r="A319" s="21" t="s">
        <v>636</v>
      </c>
      <c r="B319" t="s">
        <v>637</v>
      </c>
      <c r="C319">
        <v>0</v>
      </c>
    </row>
    <row r="320" spans="1:3" x14ac:dyDescent="0.25">
      <c r="A320" s="21" t="s">
        <v>638</v>
      </c>
      <c r="B320" t="s">
        <v>639</v>
      </c>
      <c r="C320">
        <v>0</v>
      </c>
    </row>
    <row r="321" spans="1:3" x14ac:dyDescent="0.25">
      <c r="A321" s="21" t="s">
        <v>640</v>
      </c>
      <c r="B321" t="s">
        <v>641</v>
      </c>
      <c r="C321">
        <v>0</v>
      </c>
    </row>
    <row r="322" spans="1:3" x14ac:dyDescent="0.25">
      <c r="A322" s="21" t="s">
        <v>642</v>
      </c>
      <c r="B322" t="s">
        <v>643</v>
      </c>
      <c r="C322">
        <v>0</v>
      </c>
    </row>
    <row r="323" spans="1:3" x14ac:dyDescent="0.25">
      <c r="A323" s="21" t="s">
        <v>644</v>
      </c>
      <c r="B323" t="s">
        <v>645</v>
      </c>
      <c r="C323">
        <v>0</v>
      </c>
    </row>
    <row r="324" spans="1:3" x14ac:dyDescent="0.25">
      <c r="A324" s="21" t="s">
        <v>646</v>
      </c>
      <c r="B324" t="s">
        <v>647</v>
      </c>
      <c r="C324">
        <v>0</v>
      </c>
    </row>
    <row r="325" spans="1:3" x14ac:dyDescent="0.25">
      <c r="A325" s="21" t="s">
        <v>648</v>
      </c>
      <c r="B325" t="s">
        <v>649</v>
      </c>
      <c r="C325">
        <v>0</v>
      </c>
    </row>
    <row r="326" spans="1:3" x14ac:dyDescent="0.25">
      <c r="A326" s="21" t="s">
        <v>650</v>
      </c>
      <c r="B326" t="s">
        <v>651</v>
      </c>
      <c r="C326">
        <v>0</v>
      </c>
    </row>
    <row r="327" spans="1:3" x14ac:dyDescent="0.25">
      <c r="A327" s="21" t="s">
        <v>652</v>
      </c>
      <c r="B327" t="s">
        <v>653</v>
      </c>
      <c r="C327">
        <v>0</v>
      </c>
    </row>
    <row r="328" spans="1:3" x14ac:dyDescent="0.25">
      <c r="A328" s="21" t="s">
        <v>654</v>
      </c>
      <c r="B328" t="s">
        <v>655</v>
      </c>
      <c r="C328">
        <v>0</v>
      </c>
    </row>
    <row r="329" spans="1:3" x14ac:dyDescent="0.25">
      <c r="A329" s="21" t="s">
        <v>656</v>
      </c>
      <c r="B329" t="s">
        <v>657</v>
      </c>
      <c r="C329">
        <v>0</v>
      </c>
    </row>
    <row r="330" spans="1:3" x14ac:dyDescent="0.25">
      <c r="A330" s="21" t="s">
        <v>658</v>
      </c>
      <c r="B330" t="s">
        <v>659</v>
      </c>
      <c r="C330">
        <v>0</v>
      </c>
    </row>
    <row r="331" spans="1:3" x14ac:dyDescent="0.25">
      <c r="A331" s="21" t="s">
        <v>660</v>
      </c>
      <c r="B331" t="s">
        <v>661</v>
      </c>
      <c r="C331">
        <v>0</v>
      </c>
    </row>
    <row r="332" spans="1:3" x14ac:dyDescent="0.25">
      <c r="A332" s="21" t="s">
        <v>662</v>
      </c>
      <c r="B332" t="s">
        <v>663</v>
      </c>
      <c r="C332">
        <v>0</v>
      </c>
    </row>
    <row r="333" spans="1:3" x14ac:dyDescent="0.25">
      <c r="A333" s="21" t="s">
        <v>664</v>
      </c>
      <c r="B333" t="s">
        <v>665</v>
      </c>
      <c r="C333">
        <v>0</v>
      </c>
    </row>
    <row r="334" spans="1:3" x14ac:dyDescent="0.25">
      <c r="A334" s="21" t="s">
        <v>666</v>
      </c>
      <c r="B334" t="s">
        <v>667</v>
      </c>
      <c r="C334">
        <v>0</v>
      </c>
    </row>
    <row r="335" spans="1:3" x14ac:dyDescent="0.25">
      <c r="A335" s="21" t="s">
        <v>668</v>
      </c>
      <c r="B335" t="s">
        <v>669</v>
      </c>
      <c r="C335">
        <v>0</v>
      </c>
    </row>
    <row r="336" spans="1:3" x14ac:dyDescent="0.25">
      <c r="A336" s="21" t="s">
        <v>670</v>
      </c>
      <c r="B336" t="s">
        <v>671</v>
      </c>
      <c r="C336">
        <v>0</v>
      </c>
    </row>
    <row r="337" spans="1:3" x14ac:dyDescent="0.25">
      <c r="A337" s="21" t="s">
        <v>672</v>
      </c>
      <c r="B337" t="s">
        <v>673</v>
      </c>
      <c r="C337">
        <v>0</v>
      </c>
    </row>
    <row r="338" spans="1:3" x14ac:dyDescent="0.25">
      <c r="A338" s="21" t="s">
        <v>674</v>
      </c>
      <c r="B338" t="s">
        <v>675</v>
      </c>
      <c r="C338">
        <v>0</v>
      </c>
    </row>
    <row r="339" spans="1:3" x14ac:dyDescent="0.25">
      <c r="A339" s="21" t="s">
        <v>676</v>
      </c>
      <c r="B339" t="s">
        <v>677</v>
      </c>
      <c r="C339">
        <v>0</v>
      </c>
    </row>
    <row r="340" spans="1:3" x14ac:dyDescent="0.25">
      <c r="A340" s="21" t="s">
        <v>678</v>
      </c>
      <c r="B340" t="s">
        <v>679</v>
      </c>
      <c r="C340">
        <v>0</v>
      </c>
    </row>
    <row r="341" spans="1:3" x14ac:dyDescent="0.25">
      <c r="A341" s="21" t="s">
        <v>680</v>
      </c>
      <c r="B341" t="s">
        <v>681</v>
      </c>
      <c r="C341">
        <v>0</v>
      </c>
    </row>
    <row r="342" spans="1:3" x14ac:dyDescent="0.25">
      <c r="A342" s="21" t="s">
        <v>682</v>
      </c>
      <c r="B342" t="s">
        <v>683</v>
      </c>
      <c r="C342">
        <v>0</v>
      </c>
    </row>
    <row r="343" spans="1:3" x14ac:dyDescent="0.25">
      <c r="A343" s="21" t="s">
        <v>684</v>
      </c>
      <c r="B343" t="s">
        <v>685</v>
      </c>
      <c r="C343">
        <v>0</v>
      </c>
    </row>
    <row r="344" spans="1:3" x14ac:dyDescent="0.25">
      <c r="A344" s="21" t="s">
        <v>686</v>
      </c>
      <c r="B344" t="s">
        <v>687</v>
      </c>
      <c r="C344">
        <v>0</v>
      </c>
    </row>
    <row r="345" spans="1:3" x14ac:dyDescent="0.25">
      <c r="A345" s="21" t="s">
        <v>688</v>
      </c>
      <c r="B345" t="s">
        <v>689</v>
      </c>
      <c r="C345">
        <v>0</v>
      </c>
    </row>
    <row r="346" spans="1:3" x14ac:dyDescent="0.25">
      <c r="A346" s="21" t="s">
        <v>690</v>
      </c>
      <c r="B346" t="s">
        <v>691</v>
      </c>
      <c r="C346">
        <v>0</v>
      </c>
    </row>
    <row r="347" spans="1:3" x14ac:dyDescent="0.25">
      <c r="A347" s="21" t="s">
        <v>692</v>
      </c>
      <c r="B347" t="s">
        <v>693</v>
      </c>
      <c r="C347">
        <v>0</v>
      </c>
    </row>
    <row r="348" spans="1:3" x14ac:dyDescent="0.25">
      <c r="A348" s="21" t="s">
        <v>694</v>
      </c>
      <c r="B348" t="s">
        <v>695</v>
      </c>
      <c r="C348">
        <v>0</v>
      </c>
    </row>
    <row r="349" spans="1:3" x14ac:dyDescent="0.25">
      <c r="A349" s="21" t="s">
        <v>696</v>
      </c>
      <c r="B349" t="s">
        <v>697</v>
      </c>
      <c r="C349">
        <v>0</v>
      </c>
    </row>
    <row r="350" spans="1:3" x14ac:dyDescent="0.25">
      <c r="A350" s="21" t="s">
        <v>698</v>
      </c>
      <c r="B350" t="s">
        <v>699</v>
      </c>
      <c r="C350">
        <v>0</v>
      </c>
    </row>
    <row r="351" spans="1:3" x14ac:dyDescent="0.25">
      <c r="A351" s="21" t="s">
        <v>700</v>
      </c>
      <c r="B351" t="s">
        <v>701</v>
      </c>
      <c r="C351">
        <v>0</v>
      </c>
    </row>
    <row r="352" spans="1:3" x14ac:dyDescent="0.25">
      <c r="A352" s="21" t="s">
        <v>702</v>
      </c>
      <c r="B352" t="s">
        <v>703</v>
      </c>
      <c r="C352">
        <v>0</v>
      </c>
    </row>
    <row r="353" spans="1:3" x14ac:dyDescent="0.25">
      <c r="A353" s="21" t="s">
        <v>704</v>
      </c>
      <c r="B353" t="s">
        <v>705</v>
      </c>
      <c r="C353">
        <v>0</v>
      </c>
    </row>
    <row r="354" spans="1:3" x14ac:dyDescent="0.25">
      <c r="A354" s="21" t="s">
        <v>706</v>
      </c>
      <c r="B354" t="s">
        <v>707</v>
      </c>
      <c r="C354">
        <v>0</v>
      </c>
    </row>
    <row r="355" spans="1:3" x14ac:dyDescent="0.25">
      <c r="A355" s="21" t="s">
        <v>708</v>
      </c>
      <c r="B355" t="s">
        <v>709</v>
      </c>
      <c r="C355">
        <v>0</v>
      </c>
    </row>
    <row r="356" spans="1:3" x14ac:dyDescent="0.25">
      <c r="A356" s="21" t="s">
        <v>710</v>
      </c>
      <c r="B356" t="s">
        <v>711</v>
      </c>
      <c r="C356">
        <v>0</v>
      </c>
    </row>
    <row r="357" spans="1:3" x14ac:dyDescent="0.25">
      <c r="A357" s="21" t="s">
        <v>712</v>
      </c>
      <c r="B357" t="s">
        <v>713</v>
      </c>
      <c r="C357">
        <v>0</v>
      </c>
    </row>
    <row r="358" spans="1:3" x14ac:dyDescent="0.25">
      <c r="A358" s="21" t="s">
        <v>714</v>
      </c>
      <c r="B358" t="s">
        <v>715</v>
      </c>
      <c r="C358">
        <v>0</v>
      </c>
    </row>
    <row r="359" spans="1:3" x14ac:dyDescent="0.25">
      <c r="A359" s="21" t="s">
        <v>716</v>
      </c>
      <c r="B359" t="s">
        <v>717</v>
      </c>
      <c r="C359">
        <v>0</v>
      </c>
    </row>
    <row r="360" spans="1:3" x14ac:dyDescent="0.25">
      <c r="A360" s="21" t="s">
        <v>718</v>
      </c>
      <c r="B360" t="s">
        <v>719</v>
      </c>
      <c r="C360">
        <v>0</v>
      </c>
    </row>
    <row r="361" spans="1:3" x14ac:dyDescent="0.25">
      <c r="A361" s="21" t="s">
        <v>720</v>
      </c>
      <c r="B361" t="s">
        <v>721</v>
      </c>
      <c r="C361">
        <v>0</v>
      </c>
    </row>
    <row r="362" spans="1:3" x14ac:dyDescent="0.25">
      <c r="A362" s="21" t="s">
        <v>722</v>
      </c>
      <c r="B362" t="s">
        <v>723</v>
      </c>
      <c r="C362">
        <v>0</v>
      </c>
    </row>
    <row r="363" spans="1:3" x14ac:dyDescent="0.25">
      <c r="A363" s="21" t="s">
        <v>724</v>
      </c>
      <c r="B363" t="s">
        <v>725</v>
      </c>
      <c r="C363">
        <v>0</v>
      </c>
    </row>
    <row r="364" spans="1:3" x14ac:dyDescent="0.25">
      <c r="A364" s="21" t="s">
        <v>726</v>
      </c>
      <c r="B364" t="s">
        <v>727</v>
      </c>
      <c r="C364">
        <v>0</v>
      </c>
    </row>
    <row r="365" spans="1:3" x14ac:dyDescent="0.25">
      <c r="A365" s="21" t="s">
        <v>728</v>
      </c>
      <c r="B365" t="s">
        <v>729</v>
      </c>
      <c r="C365">
        <v>0</v>
      </c>
    </row>
    <row r="366" spans="1:3" x14ac:dyDescent="0.25">
      <c r="A366" s="21" t="s">
        <v>730</v>
      </c>
      <c r="B366" t="s">
        <v>731</v>
      </c>
      <c r="C366">
        <v>0</v>
      </c>
    </row>
    <row r="367" spans="1:3" x14ac:dyDescent="0.25">
      <c r="A367" s="21" t="s">
        <v>732</v>
      </c>
      <c r="B367" t="s">
        <v>733</v>
      </c>
      <c r="C367">
        <v>0</v>
      </c>
    </row>
    <row r="368" spans="1:3" x14ac:dyDescent="0.25">
      <c r="A368" s="21" t="s">
        <v>734</v>
      </c>
      <c r="B368" t="s">
        <v>735</v>
      </c>
      <c r="C368">
        <v>0</v>
      </c>
    </row>
    <row r="369" spans="1:3" x14ac:dyDescent="0.25">
      <c r="A369" s="21" t="s">
        <v>736</v>
      </c>
      <c r="B369" t="s">
        <v>737</v>
      </c>
      <c r="C369">
        <v>0</v>
      </c>
    </row>
    <row r="370" spans="1:3" x14ac:dyDescent="0.25">
      <c r="A370" s="21" t="s">
        <v>738</v>
      </c>
      <c r="B370" t="s">
        <v>739</v>
      </c>
      <c r="C370">
        <v>0</v>
      </c>
    </row>
    <row r="371" spans="1:3" x14ac:dyDescent="0.25">
      <c r="A371" s="21" t="s">
        <v>740</v>
      </c>
      <c r="B371" t="s">
        <v>741</v>
      </c>
      <c r="C371">
        <v>0</v>
      </c>
    </row>
    <row r="372" spans="1:3" x14ac:dyDescent="0.25">
      <c r="A372" s="21" t="s">
        <v>742</v>
      </c>
      <c r="B372" t="s">
        <v>743</v>
      </c>
      <c r="C372">
        <v>0</v>
      </c>
    </row>
    <row r="373" spans="1:3" x14ac:dyDescent="0.25">
      <c r="A373" s="21" t="s">
        <v>744</v>
      </c>
      <c r="B373" t="s">
        <v>745</v>
      </c>
      <c r="C373">
        <v>0</v>
      </c>
    </row>
    <row r="374" spans="1:3" x14ac:dyDescent="0.25">
      <c r="A374" s="21" t="s">
        <v>746</v>
      </c>
      <c r="B374" t="s">
        <v>747</v>
      </c>
      <c r="C374">
        <v>0</v>
      </c>
    </row>
    <row r="375" spans="1:3" x14ac:dyDescent="0.25">
      <c r="A375" s="21" t="s">
        <v>748</v>
      </c>
      <c r="B375" t="s">
        <v>749</v>
      </c>
      <c r="C375">
        <v>0</v>
      </c>
    </row>
    <row r="376" spans="1:3" x14ac:dyDescent="0.25">
      <c r="A376" s="21" t="s">
        <v>750</v>
      </c>
      <c r="B376" t="s">
        <v>751</v>
      </c>
      <c r="C376">
        <v>0</v>
      </c>
    </row>
    <row r="377" spans="1:3" x14ac:dyDescent="0.25">
      <c r="A377" s="21" t="s">
        <v>752</v>
      </c>
      <c r="B377" t="s">
        <v>753</v>
      </c>
      <c r="C377">
        <v>0</v>
      </c>
    </row>
    <row r="378" spans="1:3" x14ac:dyDescent="0.25">
      <c r="A378" s="21" t="s">
        <v>754</v>
      </c>
      <c r="B378" t="s">
        <v>755</v>
      </c>
      <c r="C378">
        <v>0</v>
      </c>
    </row>
    <row r="379" spans="1:3" x14ac:dyDescent="0.25">
      <c r="A379" s="21" t="s">
        <v>756</v>
      </c>
      <c r="B379" t="s">
        <v>757</v>
      </c>
      <c r="C379">
        <v>0</v>
      </c>
    </row>
    <row r="380" spans="1:3" x14ac:dyDescent="0.25">
      <c r="A380" s="21" t="s">
        <v>758</v>
      </c>
      <c r="B380" t="s">
        <v>759</v>
      </c>
      <c r="C380">
        <v>0</v>
      </c>
    </row>
    <row r="381" spans="1:3" x14ac:dyDescent="0.25">
      <c r="A381" s="21" t="s">
        <v>760</v>
      </c>
      <c r="B381" t="s">
        <v>761</v>
      </c>
      <c r="C381">
        <v>0</v>
      </c>
    </row>
    <row r="382" spans="1:3" x14ac:dyDescent="0.25">
      <c r="A382" s="21" t="s">
        <v>762</v>
      </c>
      <c r="B382" t="s">
        <v>763</v>
      </c>
      <c r="C382">
        <v>0</v>
      </c>
    </row>
    <row r="383" spans="1:3" x14ac:dyDescent="0.25">
      <c r="A383" s="21" t="s">
        <v>764</v>
      </c>
      <c r="B383" t="s">
        <v>765</v>
      </c>
      <c r="C383">
        <v>0</v>
      </c>
    </row>
    <row r="384" spans="1:3" x14ac:dyDescent="0.25">
      <c r="A384" s="21" t="s">
        <v>766</v>
      </c>
      <c r="B384" t="s">
        <v>767</v>
      </c>
      <c r="C384">
        <v>0</v>
      </c>
    </row>
    <row r="385" spans="1:3" x14ac:dyDescent="0.25">
      <c r="A385" s="21" t="s">
        <v>768</v>
      </c>
      <c r="B385" t="s">
        <v>769</v>
      </c>
      <c r="C385">
        <v>0</v>
      </c>
    </row>
    <row r="386" spans="1:3" x14ac:dyDescent="0.25">
      <c r="A386" s="21" t="s">
        <v>770</v>
      </c>
      <c r="B386" t="s">
        <v>771</v>
      </c>
      <c r="C386">
        <v>0</v>
      </c>
    </row>
    <row r="387" spans="1:3" x14ac:dyDescent="0.25">
      <c r="A387" s="21" t="s">
        <v>772</v>
      </c>
      <c r="B387" t="s">
        <v>773</v>
      </c>
      <c r="C387">
        <v>0</v>
      </c>
    </row>
    <row r="388" spans="1:3" x14ac:dyDescent="0.25">
      <c r="A388" s="21" t="s">
        <v>774</v>
      </c>
      <c r="B388" t="s">
        <v>775</v>
      </c>
      <c r="C388">
        <v>0</v>
      </c>
    </row>
    <row r="389" spans="1:3" x14ac:dyDescent="0.25">
      <c r="A389" s="21" t="s">
        <v>776</v>
      </c>
      <c r="B389" t="s">
        <v>777</v>
      </c>
      <c r="C389">
        <v>0</v>
      </c>
    </row>
    <row r="390" spans="1:3" x14ac:dyDescent="0.25">
      <c r="A390" s="21" t="s">
        <v>778</v>
      </c>
      <c r="B390" t="s">
        <v>779</v>
      </c>
      <c r="C390">
        <v>0</v>
      </c>
    </row>
    <row r="391" spans="1:3" x14ac:dyDescent="0.25">
      <c r="A391" s="21" t="s">
        <v>780</v>
      </c>
      <c r="B391" t="s">
        <v>781</v>
      </c>
      <c r="C391">
        <v>0</v>
      </c>
    </row>
    <row r="392" spans="1:3" x14ac:dyDescent="0.25">
      <c r="A392" s="21" t="s">
        <v>782</v>
      </c>
      <c r="B392" t="s">
        <v>783</v>
      </c>
      <c r="C392">
        <v>0</v>
      </c>
    </row>
    <row r="393" spans="1:3" x14ac:dyDescent="0.25">
      <c r="A393" s="21" t="s">
        <v>784</v>
      </c>
      <c r="B393" t="s">
        <v>785</v>
      </c>
      <c r="C393">
        <v>0</v>
      </c>
    </row>
    <row r="394" spans="1:3" x14ac:dyDescent="0.25">
      <c r="A394" s="21" t="s">
        <v>786</v>
      </c>
      <c r="B394" t="s">
        <v>787</v>
      </c>
      <c r="C394">
        <v>0</v>
      </c>
    </row>
    <row r="395" spans="1:3" x14ac:dyDescent="0.25">
      <c r="A395" s="21" t="s">
        <v>788</v>
      </c>
      <c r="B395" t="s">
        <v>789</v>
      </c>
      <c r="C395">
        <v>0</v>
      </c>
    </row>
    <row r="396" spans="1:3" x14ac:dyDescent="0.25">
      <c r="A396" s="21" t="s">
        <v>790</v>
      </c>
      <c r="B396" t="s">
        <v>791</v>
      </c>
      <c r="C396">
        <v>0</v>
      </c>
    </row>
    <row r="397" spans="1:3" x14ac:dyDescent="0.25">
      <c r="A397" s="21" t="s">
        <v>792</v>
      </c>
      <c r="B397" t="s">
        <v>793</v>
      </c>
      <c r="C397">
        <v>0</v>
      </c>
    </row>
    <row r="398" spans="1:3" x14ac:dyDescent="0.25">
      <c r="A398" s="21" t="s">
        <v>794</v>
      </c>
      <c r="B398" t="s">
        <v>795</v>
      </c>
      <c r="C398">
        <v>0</v>
      </c>
    </row>
    <row r="399" spans="1:3" x14ac:dyDescent="0.25">
      <c r="A399" s="21" t="s">
        <v>796</v>
      </c>
      <c r="B399" t="s">
        <v>797</v>
      </c>
      <c r="C399">
        <v>0</v>
      </c>
    </row>
    <row r="400" spans="1:3" x14ac:dyDescent="0.25">
      <c r="A400" s="21" t="s">
        <v>798</v>
      </c>
      <c r="B400" t="s">
        <v>799</v>
      </c>
      <c r="C400">
        <v>0</v>
      </c>
    </row>
    <row r="401" spans="1:3" x14ac:dyDescent="0.25">
      <c r="A401" s="21" t="s">
        <v>800</v>
      </c>
      <c r="B401" t="s">
        <v>801</v>
      </c>
      <c r="C401">
        <v>0</v>
      </c>
    </row>
    <row r="402" spans="1:3" x14ac:dyDescent="0.25">
      <c r="A402" s="21" t="s">
        <v>802</v>
      </c>
      <c r="B402" t="s">
        <v>803</v>
      </c>
      <c r="C402">
        <v>0</v>
      </c>
    </row>
    <row r="403" spans="1:3" x14ac:dyDescent="0.25">
      <c r="A403" s="21" t="s">
        <v>804</v>
      </c>
      <c r="B403" t="s">
        <v>805</v>
      </c>
      <c r="C403">
        <v>0</v>
      </c>
    </row>
    <row r="404" spans="1:3" x14ac:dyDescent="0.25">
      <c r="A404" s="21" t="s">
        <v>806</v>
      </c>
      <c r="B404" t="s">
        <v>807</v>
      </c>
      <c r="C404">
        <v>0</v>
      </c>
    </row>
    <row r="405" spans="1:3" x14ac:dyDescent="0.25">
      <c r="A405" s="21" t="s">
        <v>808</v>
      </c>
      <c r="B405" t="s">
        <v>809</v>
      </c>
      <c r="C405">
        <v>0</v>
      </c>
    </row>
    <row r="406" spans="1:3" x14ac:dyDescent="0.25">
      <c r="A406" s="21" t="s">
        <v>810</v>
      </c>
      <c r="B406" t="s">
        <v>811</v>
      </c>
      <c r="C406">
        <v>0</v>
      </c>
    </row>
    <row r="407" spans="1:3" x14ac:dyDescent="0.25">
      <c r="A407" s="21" t="s">
        <v>812</v>
      </c>
      <c r="B407" t="s">
        <v>813</v>
      </c>
      <c r="C407">
        <v>0</v>
      </c>
    </row>
    <row r="408" spans="1:3" x14ac:dyDescent="0.25">
      <c r="A408" s="21" t="s">
        <v>814</v>
      </c>
      <c r="B408" t="s">
        <v>815</v>
      </c>
      <c r="C408">
        <v>0</v>
      </c>
    </row>
    <row r="409" spans="1:3" x14ac:dyDescent="0.25">
      <c r="A409" s="21" t="s">
        <v>816</v>
      </c>
      <c r="B409" t="s">
        <v>817</v>
      </c>
      <c r="C409">
        <v>0</v>
      </c>
    </row>
    <row r="410" spans="1:3" x14ac:dyDescent="0.25">
      <c r="A410" s="21" t="s">
        <v>818</v>
      </c>
      <c r="B410" t="s">
        <v>819</v>
      </c>
      <c r="C410">
        <v>0</v>
      </c>
    </row>
    <row r="411" spans="1:3" x14ac:dyDescent="0.25">
      <c r="A411" s="21" t="s">
        <v>820</v>
      </c>
      <c r="B411" t="s">
        <v>821</v>
      </c>
      <c r="C411">
        <v>0</v>
      </c>
    </row>
    <row r="412" spans="1:3" x14ac:dyDescent="0.25">
      <c r="A412" s="21" t="s">
        <v>822</v>
      </c>
      <c r="B412" t="s">
        <v>823</v>
      </c>
      <c r="C412">
        <v>0</v>
      </c>
    </row>
    <row r="413" spans="1:3" x14ac:dyDescent="0.25">
      <c r="A413" s="21" t="s">
        <v>824</v>
      </c>
      <c r="B413" t="s">
        <v>825</v>
      </c>
      <c r="C413">
        <v>0</v>
      </c>
    </row>
    <row r="414" spans="1:3" x14ac:dyDescent="0.25">
      <c r="A414" s="21" t="s">
        <v>826</v>
      </c>
      <c r="B414" t="s">
        <v>827</v>
      </c>
      <c r="C414">
        <v>0</v>
      </c>
    </row>
    <row r="415" spans="1:3" x14ac:dyDescent="0.25">
      <c r="A415" s="21" t="s">
        <v>828</v>
      </c>
      <c r="B415" t="s">
        <v>829</v>
      </c>
      <c r="C415">
        <v>0</v>
      </c>
    </row>
    <row r="416" spans="1:3" x14ac:dyDescent="0.25">
      <c r="A416" s="21" t="s">
        <v>830</v>
      </c>
      <c r="B416" t="s">
        <v>831</v>
      </c>
      <c r="C416">
        <v>0</v>
      </c>
    </row>
    <row r="417" spans="1:3" x14ac:dyDescent="0.25">
      <c r="A417" s="21" t="s">
        <v>832</v>
      </c>
      <c r="B417" t="s">
        <v>833</v>
      </c>
      <c r="C417">
        <v>0</v>
      </c>
    </row>
    <row r="418" spans="1:3" x14ac:dyDescent="0.25">
      <c r="A418" s="21" t="s">
        <v>834</v>
      </c>
      <c r="B418" t="s">
        <v>835</v>
      </c>
      <c r="C418">
        <v>0</v>
      </c>
    </row>
    <row r="419" spans="1:3" x14ac:dyDescent="0.25">
      <c r="A419" s="21" t="s">
        <v>836</v>
      </c>
      <c r="B419" t="s">
        <v>837</v>
      </c>
      <c r="C419">
        <v>0</v>
      </c>
    </row>
    <row r="420" spans="1:3" x14ac:dyDescent="0.25">
      <c r="A420" s="21" t="s">
        <v>838</v>
      </c>
      <c r="B420" t="s">
        <v>839</v>
      </c>
      <c r="C420">
        <v>0</v>
      </c>
    </row>
    <row r="421" spans="1:3" x14ac:dyDescent="0.25">
      <c r="A421" s="21" t="s">
        <v>840</v>
      </c>
      <c r="B421" t="s">
        <v>841</v>
      </c>
      <c r="C421">
        <v>0</v>
      </c>
    </row>
    <row r="422" spans="1:3" x14ac:dyDescent="0.25">
      <c r="A422" s="21" t="s">
        <v>842</v>
      </c>
      <c r="B422" t="s">
        <v>843</v>
      </c>
      <c r="C422">
        <v>0</v>
      </c>
    </row>
    <row r="423" spans="1:3" x14ac:dyDescent="0.25">
      <c r="A423" s="21" t="s">
        <v>844</v>
      </c>
      <c r="B423" t="s">
        <v>845</v>
      </c>
      <c r="C423">
        <v>0</v>
      </c>
    </row>
    <row r="424" spans="1:3" x14ac:dyDescent="0.25">
      <c r="A424" s="21" t="s">
        <v>846</v>
      </c>
      <c r="B424" t="s">
        <v>847</v>
      </c>
      <c r="C424">
        <v>0</v>
      </c>
    </row>
    <row r="425" spans="1:3" x14ac:dyDescent="0.25">
      <c r="A425" s="21" t="s">
        <v>848</v>
      </c>
      <c r="B425" t="s">
        <v>849</v>
      </c>
      <c r="C425">
        <v>0</v>
      </c>
    </row>
    <row r="426" spans="1:3" x14ac:dyDescent="0.25">
      <c r="A426" s="21" t="s">
        <v>850</v>
      </c>
      <c r="B426" t="s">
        <v>851</v>
      </c>
      <c r="C426">
        <v>0</v>
      </c>
    </row>
    <row r="427" spans="1:3" x14ac:dyDescent="0.25">
      <c r="A427" s="21" t="s">
        <v>852</v>
      </c>
      <c r="B427" t="s">
        <v>853</v>
      </c>
      <c r="C427">
        <v>0</v>
      </c>
    </row>
    <row r="428" spans="1:3" x14ac:dyDescent="0.25">
      <c r="A428" s="21" t="s">
        <v>854</v>
      </c>
      <c r="B428" t="s">
        <v>855</v>
      </c>
      <c r="C428">
        <v>0</v>
      </c>
    </row>
    <row r="429" spans="1:3" x14ac:dyDescent="0.25">
      <c r="A429" s="21" t="s">
        <v>856</v>
      </c>
      <c r="B429" t="s">
        <v>857</v>
      </c>
      <c r="C429">
        <v>0</v>
      </c>
    </row>
    <row r="430" spans="1:3" x14ac:dyDescent="0.25">
      <c r="A430" s="21" t="s">
        <v>858</v>
      </c>
      <c r="B430" t="s">
        <v>859</v>
      </c>
      <c r="C430">
        <v>0</v>
      </c>
    </row>
    <row r="431" spans="1:3" x14ac:dyDescent="0.25">
      <c r="A431" s="21" t="s">
        <v>860</v>
      </c>
      <c r="B431" t="s">
        <v>861</v>
      </c>
      <c r="C431">
        <v>0</v>
      </c>
    </row>
    <row r="432" spans="1:3" x14ac:dyDescent="0.25">
      <c r="A432" s="21" t="s">
        <v>862</v>
      </c>
      <c r="B432" t="s">
        <v>863</v>
      </c>
      <c r="C432">
        <v>0</v>
      </c>
    </row>
    <row r="433" spans="1:3" x14ac:dyDescent="0.25">
      <c r="A433" s="21" t="s">
        <v>864</v>
      </c>
      <c r="B433" t="s">
        <v>865</v>
      </c>
      <c r="C433">
        <v>0</v>
      </c>
    </row>
    <row r="434" spans="1:3" x14ac:dyDescent="0.25">
      <c r="A434" s="21" t="s">
        <v>866</v>
      </c>
      <c r="B434" t="s">
        <v>867</v>
      </c>
      <c r="C434">
        <v>0</v>
      </c>
    </row>
    <row r="435" spans="1:3" x14ac:dyDescent="0.25">
      <c r="A435" s="21" t="s">
        <v>868</v>
      </c>
      <c r="B435" t="s">
        <v>869</v>
      </c>
      <c r="C435">
        <v>0</v>
      </c>
    </row>
    <row r="436" spans="1:3" x14ac:dyDescent="0.25">
      <c r="A436" s="21" t="s">
        <v>870</v>
      </c>
      <c r="B436" t="s">
        <v>871</v>
      </c>
      <c r="C436">
        <v>0</v>
      </c>
    </row>
    <row r="437" spans="1:3" x14ac:dyDescent="0.25">
      <c r="A437" s="21" t="s">
        <v>872</v>
      </c>
      <c r="B437" t="s">
        <v>873</v>
      </c>
      <c r="C437">
        <v>0</v>
      </c>
    </row>
    <row r="438" spans="1:3" x14ac:dyDescent="0.25">
      <c r="A438" s="21" t="s">
        <v>874</v>
      </c>
      <c r="B438" t="s">
        <v>875</v>
      </c>
      <c r="C438">
        <v>0</v>
      </c>
    </row>
    <row r="439" spans="1:3" x14ac:dyDescent="0.25">
      <c r="A439" s="21" t="s">
        <v>876</v>
      </c>
      <c r="B439" t="s">
        <v>877</v>
      </c>
      <c r="C439">
        <v>0</v>
      </c>
    </row>
    <row r="440" spans="1:3" x14ac:dyDescent="0.25">
      <c r="A440" s="21" t="s">
        <v>878</v>
      </c>
      <c r="B440" t="s">
        <v>879</v>
      </c>
      <c r="C440">
        <v>0</v>
      </c>
    </row>
    <row r="441" spans="1:3" x14ac:dyDescent="0.25">
      <c r="A441" s="21" t="s">
        <v>880</v>
      </c>
      <c r="B441" t="s">
        <v>881</v>
      </c>
      <c r="C441">
        <v>0</v>
      </c>
    </row>
    <row r="442" spans="1:3" x14ac:dyDescent="0.25">
      <c r="A442" s="21" t="s">
        <v>882</v>
      </c>
      <c r="B442" t="s">
        <v>883</v>
      </c>
      <c r="C442">
        <v>0</v>
      </c>
    </row>
    <row r="443" spans="1:3" x14ac:dyDescent="0.25">
      <c r="A443" s="21" t="s">
        <v>884</v>
      </c>
      <c r="B443" t="s">
        <v>885</v>
      </c>
      <c r="C443">
        <v>0</v>
      </c>
    </row>
    <row r="444" spans="1:3" x14ac:dyDescent="0.25">
      <c r="A444" s="21" t="s">
        <v>886</v>
      </c>
      <c r="B444" t="s">
        <v>887</v>
      </c>
      <c r="C444">
        <v>0</v>
      </c>
    </row>
    <row r="445" spans="1:3" x14ac:dyDescent="0.25">
      <c r="A445" s="21" t="s">
        <v>888</v>
      </c>
      <c r="B445" t="s">
        <v>889</v>
      </c>
      <c r="C445">
        <v>0</v>
      </c>
    </row>
    <row r="446" spans="1:3" x14ac:dyDescent="0.25">
      <c r="A446" s="21" t="s">
        <v>890</v>
      </c>
      <c r="B446" t="s">
        <v>891</v>
      </c>
      <c r="C446">
        <v>0</v>
      </c>
    </row>
    <row r="447" spans="1:3" x14ac:dyDescent="0.25">
      <c r="A447" s="21" t="s">
        <v>892</v>
      </c>
      <c r="B447" t="s">
        <v>893</v>
      </c>
      <c r="C447">
        <v>0</v>
      </c>
    </row>
    <row r="448" spans="1:3" x14ac:dyDescent="0.25">
      <c r="A448" s="21" t="s">
        <v>894</v>
      </c>
      <c r="B448" t="s">
        <v>895</v>
      </c>
      <c r="C448">
        <v>0</v>
      </c>
    </row>
    <row r="449" spans="1:3" x14ac:dyDescent="0.25">
      <c r="A449" s="21" t="s">
        <v>896</v>
      </c>
      <c r="B449" t="s">
        <v>897</v>
      </c>
      <c r="C449">
        <v>0</v>
      </c>
    </row>
    <row r="450" spans="1:3" x14ac:dyDescent="0.25">
      <c r="A450" s="21" t="s">
        <v>898</v>
      </c>
      <c r="B450" t="s">
        <v>899</v>
      </c>
      <c r="C450">
        <v>0</v>
      </c>
    </row>
    <row r="451" spans="1:3" x14ac:dyDescent="0.25">
      <c r="A451" s="21" t="s">
        <v>900</v>
      </c>
      <c r="B451" t="s">
        <v>901</v>
      </c>
      <c r="C451">
        <v>0</v>
      </c>
    </row>
    <row r="452" spans="1:3" x14ac:dyDescent="0.25">
      <c r="A452" s="21" t="s">
        <v>902</v>
      </c>
      <c r="B452" t="s">
        <v>903</v>
      </c>
      <c r="C452">
        <v>0</v>
      </c>
    </row>
    <row r="453" spans="1:3" x14ac:dyDescent="0.25">
      <c r="A453" s="21" t="s">
        <v>904</v>
      </c>
      <c r="B453" t="s">
        <v>905</v>
      </c>
      <c r="C453">
        <v>0</v>
      </c>
    </row>
    <row r="454" spans="1:3" x14ac:dyDescent="0.25">
      <c r="A454" s="21" t="s">
        <v>906</v>
      </c>
      <c r="B454" t="s">
        <v>907</v>
      </c>
      <c r="C454">
        <v>0</v>
      </c>
    </row>
    <row r="455" spans="1:3" x14ac:dyDescent="0.25">
      <c r="A455" s="21" t="s">
        <v>908</v>
      </c>
      <c r="B455" t="s">
        <v>909</v>
      </c>
      <c r="C455">
        <v>0</v>
      </c>
    </row>
    <row r="456" spans="1:3" x14ac:dyDescent="0.25">
      <c r="A456" s="21" t="s">
        <v>910</v>
      </c>
      <c r="B456" t="s">
        <v>911</v>
      </c>
      <c r="C456">
        <v>0</v>
      </c>
    </row>
    <row r="457" spans="1:3" x14ac:dyDescent="0.25">
      <c r="A457" s="21" t="s">
        <v>912</v>
      </c>
      <c r="B457" t="s">
        <v>913</v>
      </c>
      <c r="C457">
        <v>0</v>
      </c>
    </row>
    <row r="458" spans="1:3" x14ac:dyDescent="0.25">
      <c r="A458" s="21" t="s">
        <v>914</v>
      </c>
      <c r="B458" t="s">
        <v>915</v>
      </c>
      <c r="C458">
        <v>0</v>
      </c>
    </row>
    <row r="459" spans="1:3" x14ac:dyDescent="0.25">
      <c r="A459" s="21" t="s">
        <v>916</v>
      </c>
      <c r="B459" t="s">
        <v>917</v>
      </c>
      <c r="C459">
        <v>0</v>
      </c>
    </row>
    <row r="460" spans="1:3" x14ac:dyDescent="0.25">
      <c r="A460" s="21" t="s">
        <v>918</v>
      </c>
      <c r="B460" t="s">
        <v>919</v>
      </c>
      <c r="C460">
        <v>0</v>
      </c>
    </row>
    <row r="461" spans="1:3" x14ac:dyDescent="0.25">
      <c r="A461" s="21" t="s">
        <v>920</v>
      </c>
      <c r="B461" t="s">
        <v>921</v>
      </c>
      <c r="C461">
        <v>0</v>
      </c>
    </row>
    <row r="462" spans="1:3" x14ac:dyDescent="0.25">
      <c r="A462" s="21" t="s">
        <v>922</v>
      </c>
      <c r="B462" t="s">
        <v>923</v>
      </c>
      <c r="C462">
        <v>0</v>
      </c>
    </row>
    <row r="463" spans="1:3" x14ac:dyDescent="0.25">
      <c r="A463" s="21" t="s">
        <v>924</v>
      </c>
      <c r="B463" t="s">
        <v>925</v>
      </c>
      <c r="C463">
        <v>0</v>
      </c>
    </row>
    <row r="464" spans="1:3" x14ac:dyDescent="0.25">
      <c r="A464" s="21" t="s">
        <v>926</v>
      </c>
      <c r="B464" t="s">
        <v>927</v>
      </c>
      <c r="C464">
        <v>0</v>
      </c>
    </row>
    <row r="465" spans="1:3" x14ac:dyDescent="0.25">
      <c r="A465" s="21" t="s">
        <v>928</v>
      </c>
      <c r="B465" t="s">
        <v>929</v>
      </c>
      <c r="C465">
        <v>0</v>
      </c>
    </row>
    <row r="466" spans="1:3" x14ac:dyDescent="0.25">
      <c r="A466" s="21" t="s">
        <v>930</v>
      </c>
      <c r="B466" t="s">
        <v>931</v>
      </c>
      <c r="C466">
        <v>0</v>
      </c>
    </row>
    <row r="467" spans="1:3" x14ac:dyDescent="0.25">
      <c r="A467" s="21" t="s">
        <v>932</v>
      </c>
      <c r="B467" t="s">
        <v>933</v>
      </c>
      <c r="C467">
        <v>0</v>
      </c>
    </row>
    <row r="468" spans="1:3" x14ac:dyDescent="0.25">
      <c r="A468" s="21" t="s">
        <v>934</v>
      </c>
      <c r="B468" t="s">
        <v>935</v>
      </c>
      <c r="C468">
        <v>0</v>
      </c>
    </row>
    <row r="469" spans="1:3" x14ac:dyDescent="0.25">
      <c r="A469" s="21" t="s">
        <v>936</v>
      </c>
      <c r="B469" t="s">
        <v>937</v>
      </c>
      <c r="C469">
        <v>0</v>
      </c>
    </row>
    <row r="470" spans="1:3" x14ac:dyDescent="0.25">
      <c r="A470" s="21" t="s">
        <v>938</v>
      </c>
      <c r="B470" t="s">
        <v>939</v>
      </c>
      <c r="C470">
        <v>0</v>
      </c>
    </row>
    <row r="471" spans="1:3" x14ac:dyDescent="0.25">
      <c r="A471" s="21" t="s">
        <v>940</v>
      </c>
      <c r="B471" t="s">
        <v>941</v>
      </c>
      <c r="C471">
        <v>0</v>
      </c>
    </row>
    <row r="472" spans="1:3" x14ac:dyDescent="0.25">
      <c r="A472" s="21" t="s">
        <v>942</v>
      </c>
      <c r="B472" t="s">
        <v>943</v>
      </c>
      <c r="C472">
        <v>0</v>
      </c>
    </row>
    <row r="473" spans="1:3" x14ac:dyDescent="0.25">
      <c r="A473" s="21" t="s">
        <v>944</v>
      </c>
      <c r="B473" t="s">
        <v>945</v>
      </c>
      <c r="C473">
        <v>0</v>
      </c>
    </row>
    <row r="474" spans="1:3" x14ac:dyDescent="0.25">
      <c r="A474" s="21" t="s">
        <v>946</v>
      </c>
      <c r="B474" t="s">
        <v>947</v>
      </c>
      <c r="C474">
        <v>0</v>
      </c>
    </row>
    <row r="475" spans="1:3" x14ac:dyDescent="0.25">
      <c r="A475" s="21" t="s">
        <v>948</v>
      </c>
      <c r="B475" t="s">
        <v>949</v>
      </c>
      <c r="C475">
        <v>0</v>
      </c>
    </row>
    <row r="476" spans="1:3" x14ac:dyDescent="0.25">
      <c r="A476" s="21" t="s">
        <v>950</v>
      </c>
      <c r="B476" t="s">
        <v>951</v>
      </c>
      <c r="C476">
        <v>0</v>
      </c>
    </row>
    <row r="477" spans="1:3" x14ac:dyDescent="0.25">
      <c r="A477" s="21" t="s">
        <v>952</v>
      </c>
      <c r="B477" t="s">
        <v>953</v>
      </c>
      <c r="C477">
        <v>0</v>
      </c>
    </row>
    <row r="478" spans="1:3" x14ac:dyDescent="0.25">
      <c r="A478" s="21" t="s">
        <v>954</v>
      </c>
      <c r="B478" t="s">
        <v>955</v>
      </c>
      <c r="C478">
        <v>0</v>
      </c>
    </row>
    <row r="479" spans="1:3" x14ac:dyDescent="0.25">
      <c r="A479" s="21" t="s">
        <v>956</v>
      </c>
      <c r="B479" t="s">
        <v>957</v>
      </c>
      <c r="C479">
        <v>0</v>
      </c>
    </row>
    <row r="480" spans="1:3" x14ac:dyDescent="0.25">
      <c r="A480" s="21" t="s">
        <v>958</v>
      </c>
      <c r="B480" t="s">
        <v>959</v>
      </c>
      <c r="C480">
        <v>0</v>
      </c>
    </row>
    <row r="481" spans="1:3" x14ac:dyDescent="0.25">
      <c r="A481" s="21" t="s">
        <v>960</v>
      </c>
      <c r="B481" t="s">
        <v>961</v>
      </c>
      <c r="C481">
        <v>0</v>
      </c>
    </row>
    <row r="482" spans="1:3" x14ac:dyDescent="0.25">
      <c r="A482" s="21" t="s">
        <v>962</v>
      </c>
      <c r="B482" t="s">
        <v>963</v>
      </c>
      <c r="C482">
        <v>0</v>
      </c>
    </row>
    <row r="483" spans="1:3" x14ac:dyDescent="0.25">
      <c r="A483" s="21" t="s">
        <v>964</v>
      </c>
      <c r="B483" t="s">
        <v>965</v>
      </c>
      <c r="C483">
        <v>0</v>
      </c>
    </row>
    <row r="484" spans="1:3" x14ac:dyDescent="0.25">
      <c r="A484" s="21" t="s">
        <v>966</v>
      </c>
      <c r="B484" t="s">
        <v>967</v>
      </c>
      <c r="C484">
        <v>0</v>
      </c>
    </row>
    <row r="485" spans="1:3" x14ac:dyDescent="0.25">
      <c r="A485" s="21" t="s">
        <v>968</v>
      </c>
      <c r="B485" t="s">
        <v>969</v>
      </c>
      <c r="C485">
        <v>0</v>
      </c>
    </row>
    <row r="486" spans="1:3" x14ac:dyDescent="0.25">
      <c r="A486" s="21" t="s">
        <v>970</v>
      </c>
      <c r="B486" t="s">
        <v>971</v>
      </c>
      <c r="C486">
        <v>0</v>
      </c>
    </row>
    <row r="487" spans="1:3" x14ac:dyDescent="0.25">
      <c r="A487" s="21" t="s">
        <v>972</v>
      </c>
      <c r="B487" t="s">
        <v>973</v>
      </c>
      <c r="C487">
        <v>0</v>
      </c>
    </row>
    <row r="488" spans="1:3" x14ac:dyDescent="0.25">
      <c r="A488" s="21" t="s">
        <v>974</v>
      </c>
      <c r="B488" t="s">
        <v>975</v>
      </c>
      <c r="C488">
        <v>0</v>
      </c>
    </row>
    <row r="489" spans="1:3" x14ac:dyDescent="0.25">
      <c r="A489">
        <v>1000</v>
      </c>
      <c r="B489" t="s">
        <v>977</v>
      </c>
      <c r="C489">
        <v>0</v>
      </c>
    </row>
    <row r="490" spans="1:3" x14ac:dyDescent="0.25">
      <c r="A490">
        <v>1001</v>
      </c>
      <c r="B490" t="s">
        <v>979</v>
      </c>
      <c r="C490">
        <v>0</v>
      </c>
    </row>
    <row r="491" spans="1:3" x14ac:dyDescent="0.25">
      <c r="A491">
        <v>1002</v>
      </c>
      <c r="B491" t="s">
        <v>981</v>
      </c>
      <c r="C491">
        <v>0</v>
      </c>
    </row>
    <row r="492" spans="1:3" x14ac:dyDescent="0.25">
      <c r="A492">
        <v>1003</v>
      </c>
      <c r="B492" t="s">
        <v>983</v>
      </c>
      <c r="C492">
        <v>0</v>
      </c>
    </row>
    <row r="493" spans="1:3" x14ac:dyDescent="0.25">
      <c r="A493">
        <v>1004</v>
      </c>
      <c r="B493" t="s">
        <v>985</v>
      </c>
      <c r="C493">
        <v>0</v>
      </c>
    </row>
    <row r="494" spans="1:3" x14ac:dyDescent="0.25">
      <c r="A494">
        <v>1005</v>
      </c>
      <c r="B494" t="s">
        <v>987</v>
      </c>
      <c r="C494">
        <v>0</v>
      </c>
    </row>
    <row r="495" spans="1:3" x14ac:dyDescent="0.25">
      <c r="A495">
        <v>1006</v>
      </c>
      <c r="B495" t="s">
        <v>989</v>
      </c>
      <c r="C495">
        <v>0</v>
      </c>
    </row>
    <row r="496" spans="1:3" x14ac:dyDescent="0.25">
      <c r="A496">
        <v>1007</v>
      </c>
      <c r="B496" t="s">
        <v>991</v>
      </c>
      <c r="C496">
        <v>0</v>
      </c>
    </row>
    <row r="497" spans="1:3" x14ac:dyDescent="0.25">
      <c r="A497">
        <v>1008</v>
      </c>
      <c r="B497" t="s">
        <v>993</v>
      </c>
      <c r="C497">
        <v>0</v>
      </c>
    </row>
    <row r="498" spans="1:3" x14ac:dyDescent="0.25">
      <c r="A498">
        <v>1009</v>
      </c>
      <c r="B498" t="s">
        <v>995</v>
      </c>
      <c r="C498">
        <v>0</v>
      </c>
    </row>
    <row r="499" spans="1:3" x14ac:dyDescent="0.25">
      <c r="A499">
        <v>10090</v>
      </c>
      <c r="B499" t="s">
        <v>997</v>
      </c>
      <c r="C499">
        <v>0</v>
      </c>
    </row>
    <row r="500" spans="1:3" x14ac:dyDescent="0.25">
      <c r="A500">
        <v>10091</v>
      </c>
      <c r="B500" t="s">
        <v>999</v>
      </c>
      <c r="C500">
        <v>0</v>
      </c>
    </row>
    <row r="501" spans="1:3" x14ac:dyDescent="0.25">
      <c r="A501">
        <v>10092</v>
      </c>
      <c r="B501" t="s">
        <v>1001</v>
      </c>
      <c r="C501">
        <v>0</v>
      </c>
    </row>
    <row r="502" spans="1:3" x14ac:dyDescent="0.25">
      <c r="A502">
        <v>10093</v>
      </c>
      <c r="B502" t="s">
        <v>1003</v>
      </c>
      <c r="C502">
        <v>0</v>
      </c>
    </row>
    <row r="503" spans="1:3" x14ac:dyDescent="0.25">
      <c r="A503">
        <v>1010</v>
      </c>
      <c r="B503" t="s">
        <v>1005</v>
      </c>
      <c r="C503">
        <v>0</v>
      </c>
    </row>
    <row r="504" spans="1:3" x14ac:dyDescent="0.25">
      <c r="A504">
        <v>10100</v>
      </c>
      <c r="B504" t="s">
        <v>1007</v>
      </c>
      <c r="C504">
        <v>0</v>
      </c>
    </row>
    <row r="505" spans="1:3" x14ac:dyDescent="0.25">
      <c r="A505">
        <v>10101</v>
      </c>
      <c r="B505" t="s">
        <v>1009</v>
      </c>
      <c r="C505">
        <v>0</v>
      </c>
    </row>
    <row r="506" spans="1:3" x14ac:dyDescent="0.25">
      <c r="A506">
        <v>1011</v>
      </c>
      <c r="B506" t="s">
        <v>1011</v>
      </c>
      <c r="C506">
        <v>0</v>
      </c>
    </row>
    <row r="507" spans="1:3" x14ac:dyDescent="0.25">
      <c r="A507">
        <v>1012</v>
      </c>
      <c r="B507" t="s">
        <v>1013</v>
      </c>
      <c r="C507">
        <v>0</v>
      </c>
    </row>
    <row r="508" spans="1:3" x14ac:dyDescent="0.25">
      <c r="A508">
        <v>1013</v>
      </c>
      <c r="B508" t="s">
        <v>1015</v>
      </c>
      <c r="C508">
        <v>0</v>
      </c>
    </row>
    <row r="509" spans="1:3" x14ac:dyDescent="0.25">
      <c r="A509">
        <v>1014</v>
      </c>
      <c r="B509" t="s">
        <v>1017</v>
      </c>
      <c r="C509">
        <v>0</v>
      </c>
    </row>
    <row r="510" spans="1:3" x14ac:dyDescent="0.25">
      <c r="A510">
        <v>1015</v>
      </c>
      <c r="B510" t="s">
        <v>1019</v>
      </c>
      <c r="C510">
        <v>0</v>
      </c>
    </row>
    <row r="511" spans="1:3" x14ac:dyDescent="0.25">
      <c r="A511">
        <v>1016</v>
      </c>
      <c r="B511" t="s">
        <v>1021</v>
      </c>
      <c r="C511">
        <v>0</v>
      </c>
    </row>
    <row r="512" spans="1:3" x14ac:dyDescent="0.25">
      <c r="A512">
        <v>1017</v>
      </c>
      <c r="B512" t="s">
        <v>1023</v>
      </c>
      <c r="C512">
        <v>0</v>
      </c>
    </row>
    <row r="513" spans="1:3" x14ac:dyDescent="0.25">
      <c r="A513">
        <v>1018</v>
      </c>
      <c r="B513" t="s">
        <v>1025</v>
      </c>
      <c r="C513">
        <v>0</v>
      </c>
    </row>
    <row r="514" spans="1:3" x14ac:dyDescent="0.25">
      <c r="A514">
        <v>1019</v>
      </c>
      <c r="B514" t="s">
        <v>1027</v>
      </c>
      <c r="C514">
        <v>0</v>
      </c>
    </row>
    <row r="515" spans="1:3" x14ac:dyDescent="0.25">
      <c r="A515">
        <v>1020</v>
      </c>
      <c r="B515" t="s">
        <v>1029</v>
      </c>
      <c r="C515">
        <v>0</v>
      </c>
    </row>
    <row r="516" spans="1:3" x14ac:dyDescent="0.25">
      <c r="A516">
        <v>1021</v>
      </c>
      <c r="B516" t="s">
        <v>1031</v>
      </c>
      <c r="C516">
        <v>0</v>
      </c>
    </row>
    <row r="517" spans="1:3" x14ac:dyDescent="0.25">
      <c r="A517">
        <v>1022</v>
      </c>
      <c r="B517" t="s">
        <v>1033</v>
      </c>
      <c r="C517">
        <v>0</v>
      </c>
    </row>
    <row r="518" spans="1:3" x14ac:dyDescent="0.25">
      <c r="A518">
        <v>1023</v>
      </c>
      <c r="B518" t="s">
        <v>1035</v>
      </c>
      <c r="C518">
        <v>0</v>
      </c>
    </row>
    <row r="519" spans="1:3" x14ac:dyDescent="0.25">
      <c r="A519">
        <v>1024</v>
      </c>
      <c r="B519" t="s">
        <v>1037</v>
      </c>
      <c r="C519">
        <v>0</v>
      </c>
    </row>
    <row r="520" spans="1:3" x14ac:dyDescent="0.25">
      <c r="A520">
        <v>1025</v>
      </c>
      <c r="B520" t="s">
        <v>1039</v>
      </c>
      <c r="C520">
        <v>0</v>
      </c>
    </row>
    <row r="521" spans="1:3" x14ac:dyDescent="0.25">
      <c r="A521">
        <v>1026</v>
      </c>
      <c r="B521" t="s">
        <v>1041</v>
      </c>
      <c r="C521">
        <v>0</v>
      </c>
    </row>
    <row r="522" spans="1:3" x14ac:dyDescent="0.25">
      <c r="A522">
        <v>1027</v>
      </c>
      <c r="B522" t="s">
        <v>1043</v>
      </c>
      <c r="C522">
        <v>0</v>
      </c>
    </row>
    <row r="523" spans="1:3" x14ac:dyDescent="0.25">
      <c r="A523">
        <v>1028</v>
      </c>
      <c r="B523" t="s">
        <v>1045</v>
      </c>
      <c r="C523">
        <v>0</v>
      </c>
    </row>
    <row r="524" spans="1:3" x14ac:dyDescent="0.25">
      <c r="A524">
        <v>1029</v>
      </c>
      <c r="B524" t="s">
        <v>1047</v>
      </c>
      <c r="C524">
        <v>0</v>
      </c>
    </row>
    <row r="525" spans="1:3" x14ac:dyDescent="0.25">
      <c r="A525">
        <v>1030</v>
      </c>
      <c r="B525" t="s">
        <v>1049</v>
      </c>
      <c r="C525">
        <v>0</v>
      </c>
    </row>
    <row r="526" spans="1:3" x14ac:dyDescent="0.25">
      <c r="A526">
        <v>1031</v>
      </c>
      <c r="B526" t="s">
        <v>1051</v>
      </c>
      <c r="C526">
        <v>0</v>
      </c>
    </row>
    <row r="527" spans="1:3" x14ac:dyDescent="0.25">
      <c r="A527">
        <v>1032</v>
      </c>
      <c r="B527" t="s">
        <v>1053</v>
      </c>
      <c r="C527">
        <v>0</v>
      </c>
    </row>
    <row r="528" spans="1:3" x14ac:dyDescent="0.25">
      <c r="A528">
        <v>1033</v>
      </c>
      <c r="B528" t="s">
        <v>1055</v>
      </c>
      <c r="C528">
        <v>0</v>
      </c>
    </row>
    <row r="529" spans="1:3" x14ac:dyDescent="0.25">
      <c r="A529">
        <v>1034</v>
      </c>
      <c r="B529" t="s">
        <v>1057</v>
      </c>
      <c r="C529">
        <v>0</v>
      </c>
    </row>
    <row r="530" spans="1:3" x14ac:dyDescent="0.25">
      <c r="A530">
        <v>1035</v>
      </c>
      <c r="B530" t="s">
        <v>1059</v>
      </c>
      <c r="C530">
        <v>0</v>
      </c>
    </row>
    <row r="531" spans="1:3" x14ac:dyDescent="0.25">
      <c r="A531">
        <v>1036</v>
      </c>
      <c r="B531" t="s">
        <v>1061</v>
      </c>
      <c r="C531">
        <v>0</v>
      </c>
    </row>
    <row r="532" spans="1:3" x14ac:dyDescent="0.25">
      <c r="A532">
        <v>1037</v>
      </c>
      <c r="B532" t="s">
        <v>1063</v>
      </c>
      <c r="C532">
        <v>0</v>
      </c>
    </row>
    <row r="533" spans="1:3" x14ac:dyDescent="0.25">
      <c r="A533">
        <v>1038</v>
      </c>
      <c r="B533" t="s">
        <v>1065</v>
      </c>
      <c r="C533">
        <v>0</v>
      </c>
    </row>
    <row r="534" spans="1:3" x14ac:dyDescent="0.25">
      <c r="A534">
        <v>1039</v>
      </c>
      <c r="B534" t="s">
        <v>1067</v>
      </c>
      <c r="C534">
        <v>0</v>
      </c>
    </row>
    <row r="535" spans="1:3" x14ac:dyDescent="0.25">
      <c r="A535">
        <v>1040</v>
      </c>
      <c r="B535" t="s">
        <v>1069</v>
      </c>
      <c r="C535">
        <v>0</v>
      </c>
    </row>
    <row r="536" spans="1:3" x14ac:dyDescent="0.25">
      <c r="A536">
        <v>1100</v>
      </c>
      <c r="B536" t="s">
        <v>1071</v>
      </c>
      <c r="C536">
        <v>0</v>
      </c>
    </row>
    <row r="537" spans="1:3" x14ac:dyDescent="0.25">
      <c r="A537">
        <v>1101</v>
      </c>
      <c r="B537" t="s">
        <v>1073</v>
      </c>
      <c r="C537">
        <v>0</v>
      </c>
    </row>
    <row r="538" spans="1:3" x14ac:dyDescent="0.25">
      <c r="A538">
        <v>1102</v>
      </c>
      <c r="B538" t="s">
        <v>1075</v>
      </c>
      <c r="C538">
        <v>0</v>
      </c>
    </row>
    <row r="539" spans="1:3" x14ac:dyDescent="0.25">
      <c r="A539">
        <v>1103</v>
      </c>
      <c r="B539" t="s">
        <v>1077</v>
      </c>
      <c r="C539">
        <v>0</v>
      </c>
    </row>
    <row r="540" spans="1:3" x14ac:dyDescent="0.25">
      <c r="A540">
        <v>1104</v>
      </c>
      <c r="B540" t="s">
        <v>1079</v>
      </c>
      <c r="C540">
        <v>0</v>
      </c>
    </row>
    <row r="541" spans="1:3" x14ac:dyDescent="0.25">
      <c r="A541">
        <v>1105</v>
      </c>
      <c r="B541" t="s">
        <v>1081</v>
      </c>
      <c r="C541">
        <v>0</v>
      </c>
    </row>
    <row r="542" spans="1:3" x14ac:dyDescent="0.25">
      <c r="A542">
        <v>1106</v>
      </c>
      <c r="B542" t="s">
        <v>1083</v>
      </c>
      <c r="C542">
        <v>0</v>
      </c>
    </row>
    <row r="543" spans="1:3" x14ac:dyDescent="0.25">
      <c r="A543">
        <v>1107</v>
      </c>
      <c r="B543" t="s">
        <v>1085</v>
      </c>
      <c r="C543">
        <v>0</v>
      </c>
    </row>
    <row r="544" spans="1:3" x14ac:dyDescent="0.25">
      <c r="A544">
        <v>1108</v>
      </c>
      <c r="B544" t="s">
        <v>1087</v>
      </c>
      <c r="C544">
        <v>0</v>
      </c>
    </row>
    <row r="545" spans="1:3" x14ac:dyDescent="0.25">
      <c r="A545">
        <v>1109</v>
      </c>
      <c r="B545" t="s">
        <v>1089</v>
      </c>
      <c r="C545">
        <v>0</v>
      </c>
    </row>
    <row r="546" spans="1:3" x14ac:dyDescent="0.25">
      <c r="A546">
        <v>1110</v>
      </c>
      <c r="B546" t="s">
        <v>1091</v>
      </c>
      <c r="C546">
        <v>0</v>
      </c>
    </row>
    <row r="547" spans="1:3" x14ac:dyDescent="0.25">
      <c r="A547">
        <v>11101</v>
      </c>
      <c r="B547" t="s">
        <v>1093</v>
      </c>
      <c r="C547">
        <v>0</v>
      </c>
    </row>
    <row r="548" spans="1:3" x14ac:dyDescent="0.25">
      <c r="A548">
        <v>111010</v>
      </c>
      <c r="B548" t="s">
        <v>1095</v>
      </c>
      <c r="C548">
        <v>0</v>
      </c>
    </row>
    <row r="549" spans="1:3" x14ac:dyDescent="0.25">
      <c r="A549">
        <v>111011</v>
      </c>
      <c r="B549" t="s">
        <v>1097</v>
      </c>
      <c r="C549">
        <v>0</v>
      </c>
    </row>
    <row r="550" spans="1:3" x14ac:dyDescent="0.25">
      <c r="A550">
        <v>111012</v>
      </c>
      <c r="B550" t="s">
        <v>1099</v>
      </c>
      <c r="C550">
        <v>0</v>
      </c>
    </row>
    <row r="551" spans="1:3" x14ac:dyDescent="0.25">
      <c r="A551">
        <v>111013</v>
      </c>
      <c r="B551" t="s">
        <v>1101</v>
      </c>
      <c r="C551">
        <v>0</v>
      </c>
    </row>
    <row r="552" spans="1:3" x14ac:dyDescent="0.25">
      <c r="A552">
        <v>11102</v>
      </c>
      <c r="B552" t="s">
        <v>1103</v>
      </c>
      <c r="C552">
        <v>0</v>
      </c>
    </row>
    <row r="553" spans="1:3" x14ac:dyDescent="0.25">
      <c r="A553">
        <v>11103</v>
      </c>
      <c r="B553" t="s">
        <v>1105</v>
      </c>
      <c r="C553">
        <v>0</v>
      </c>
    </row>
    <row r="554" spans="1:3" x14ac:dyDescent="0.25">
      <c r="A554">
        <v>11104</v>
      </c>
      <c r="B554" t="s">
        <v>1107</v>
      </c>
      <c r="C554">
        <v>0</v>
      </c>
    </row>
    <row r="555" spans="1:3" x14ac:dyDescent="0.25">
      <c r="A555">
        <v>11105</v>
      </c>
      <c r="B555" t="s">
        <v>1109</v>
      </c>
      <c r="C555">
        <v>0</v>
      </c>
    </row>
    <row r="556" spans="1:3" x14ac:dyDescent="0.25">
      <c r="A556">
        <v>11106</v>
      </c>
      <c r="B556" t="s">
        <v>1111</v>
      </c>
      <c r="C556">
        <v>0</v>
      </c>
    </row>
    <row r="557" spans="1:3" x14ac:dyDescent="0.25">
      <c r="A557">
        <v>11107</v>
      </c>
      <c r="B557" t="s">
        <v>1113</v>
      </c>
      <c r="C557">
        <v>0</v>
      </c>
    </row>
    <row r="558" spans="1:3" x14ac:dyDescent="0.25">
      <c r="A558">
        <v>11108</v>
      </c>
      <c r="B558" t="s">
        <v>1115</v>
      </c>
      <c r="C558">
        <v>0</v>
      </c>
    </row>
    <row r="559" spans="1:3" x14ac:dyDescent="0.25">
      <c r="A559">
        <v>11109</v>
      </c>
      <c r="B559" t="s">
        <v>1117</v>
      </c>
      <c r="C559">
        <v>0</v>
      </c>
    </row>
    <row r="560" spans="1:3" x14ac:dyDescent="0.25">
      <c r="A560">
        <v>1111</v>
      </c>
      <c r="B560" t="s">
        <v>1119</v>
      </c>
      <c r="C560">
        <v>0</v>
      </c>
    </row>
    <row r="561" spans="1:3" x14ac:dyDescent="0.25">
      <c r="A561">
        <v>1112</v>
      </c>
      <c r="B561" t="s">
        <v>1121</v>
      </c>
      <c r="C561">
        <v>0</v>
      </c>
    </row>
    <row r="562" spans="1:3" x14ac:dyDescent="0.25">
      <c r="A562">
        <v>1113</v>
      </c>
      <c r="B562" t="s">
        <v>1123</v>
      </c>
      <c r="C562">
        <v>0</v>
      </c>
    </row>
    <row r="563" spans="1:3" x14ac:dyDescent="0.25">
      <c r="A563">
        <v>1114</v>
      </c>
      <c r="B563" t="s">
        <v>1125</v>
      </c>
      <c r="C563">
        <v>0</v>
      </c>
    </row>
    <row r="564" spans="1:3" x14ac:dyDescent="0.25">
      <c r="A564">
        <v>1115</v>
      </c>
      <c r="B564" t="s">
        <v>1127</v>
      </c>
      <c r="C564">
        <v>0</v>
      </c>
    </row>
    <row r="565" spans="1:3" x14ac:dyDescent="0.25">
      <c r="A565">
        <v>1116</v>
      </c>
      <c r="B565" t="s">
        <v>1129</v>
      </c>
      <c r="C565">
        <v>0</v>
      </c>
    </row>
    <row r="566" spans="1:3" x14ac:dyDescent="0.25">
      <c r="A566">
        <v>1117</v>
      </c>
      <c r="B566" t="s">
        <v>1131</v>
      </c>
      <c r="C566">
        <v>0</v>
      </c>
    </row>
    <row r="567" spans="1:3" x14ac:dyDescent="0.25">
      <c r="A567">
        <v>1118</v>
      </c>
      <c r="B567" t="s">
        <v>1133</v>
      </c>
      <c r="C567">
        <v>0</v>
      </c>
    </row>
    <row r="568" spans="1:3" x14ac:dyDescent="0.25">
      <c r="A568">
        <v>1119</v>
      </c>
      <c r="B568" t="s">
        <v>1135</v>
      </c>
      <c r="C568">
        <v>0</v>
      </c>
    </row>
    <row r="569" spans="1:3" x14ac:dyDescent="0.25">
      <c r="A569">
        <v>1120</v>
      </c>
      <c r="B569" t="s">
        <v>1137</v>
      </c>
      <c r="C569">
        <v>0</v>
      </c>
    </row>
    <row r="570" spans="1:3" x14ac:dyDescent="0.25">
      <c r="A570">
        <v>1121</v>
      </c>
      <c r="B570" t="s">
        <v>1139</v>
      </c>
      <c r="C570">
        <v>0</v>
      </c>
    </row>
    <row r="571" spans="1:3" x14ac:dyDescent="0.25">
      <c r="A571">
        <v>1122</v>
      </c>
      <c r="B571" t="s">
        <v>1141</v>
      </c>
      <c r="C571">
        <v>0</v>
      </c>
    </row>
    <row r="572" spans="1:3" x14ac:dyDescent="0.25">
      <c r="A572">
        <v>1123</v>
      </c>
      <c r="B572" t="s">
        <v>1143</v>
      </c>
      <c r="C572">
        <v>0</v>
      </c>
    </row>
    <row r="573" spans="1:3" x14ac:dyDescent="0.25">
      <c r="A573">
        <v>1126</v>
      </c>
      <c r="B573" t="s">
        <v>1145</v>
      </c>
      <c r="C573">
        <v>0</v>
      </c>
    </row>
    <row r="574" spans="1:3" x14ac:dyDescent="0.25">
      <c r="A574">
        <v>1127</v>
      </c>
      <c r="B574" t="s">
        <v>1147</v>
      </c>
      <c r="C574">
        <v>0</v>
      </c>
    </row>
    <row r="575" spans="1:3" x14ac:dyDescent="0.25">
      <c r="A575">
        <v>1128</v>
      </c>
      <c r="B575" t="s">
        <v>1149</v>
      </c>
      <c r="C575">
        <v>0</v>
      </c>
    </row>
    <row r="576" spans="1:3" x14ac:dyDescent="0.25">
      <c r="A576">
        <v>1129</v>
      </c>
      <c r="B576" t="s">
        <v>1151</v>
      </c>
      <c r="C576">
        <v>0</v>
      </c>
    </row>
    <row r="577" spans="1:3" x14ac:dyDescent="0.25">
      <c r="A577">
        <v>1130</v>
      </c>
      <c r="B577" t="s">
        <v>1153</v>
      </c>
      <c r="C577">
        <v>0</v>
      </c>
    </row>
    <row r="578" spans="1:3" x14ac:dyDescent="0.25">
      <c r="A578">
        <v>1131</v>
      </c>
      <c r="B578" t="s">
        <v>1155</v>
      </c>
      <c r="C578">
        <v>0</v>
      </c>
    </row>
    <row r="579" spans="1:3" x14ac:dyDescent="0.25">
      <c r="A579">
        <v>1132</v>
      </c>
      <c r="B579" t="s">
        <v>1157</v>
      </c>
      <c r="C579">
        <v>0</v>
      </c>
    </row>
    <row r="580" spans="1:3" x14ac:dyDescent="0.25">
      <c r="A580">
        <v>1133</v>
      </c>
      <c r="B580" t="s">
        <v>1159</v>
      </c>
      <c r="C580">
        <v>0</v>
      </c>
    </row>
    <row r="581" spans="1:3" x14ac:dyDescent="0.25">
      <c r="A581">
        <v>1134</v>
      </c>
      <c r="B581" t="s">
        <v>1161</v>
      </c>
      <c r="C581">
        <v>0</v>
      </c>
    </row>
    <row r="582" spans="1:3" x14ac:dyDescent="0.25">
      <c r="A582">
        <v>1135</v>
      </c>
      <c r="B582" t="s">
        <v>1163</v>
      </c>
      <c r="C582">
        <v>0</v>
      </c>
    </row>
    <row r="583" spans="1:3" x14ac:dyDescent="0.25">
      <c r="A583">
        <v>1136</v>
      </c>
      <c r="B583" t="s">
        <v>1165</v>
      </c>
      <c r="C583">
        <v>0</v>
      </c>
    </row>
    <row r="584" spans="1:3" x14ac:dyDescent="0.25">
      <c r="A584">
        <v>1137</v>
      </c>
      <c r="B584" t="s">
        <v>1167</v>
      </c>
      <c r="C584">
        <v>0</v>
      </c>
    </row>
    <row r="585" spans="1:3" x14ac:dyDescent="0.25">
      <c r="A585">
        <v>1138</v>
      </c>
      <c r="B585" t="s">
        <v>1169</v>
      </c>
      <c r="C585">
        <v>0</v>
      </c>
    </row>
    <row r="586" spans="1:3" x14ac:dyDescent="0.25">
      <c r="A586">
        <v>1139</v>
      </c>
      <c r="B586" t="s">
        <v>1171</v>
      </c>
      <c r="C586">
        <v>0</v>
      </c>
    </row>
    <row r="587" spans="1:3" x14ac:dyDescent="0.25">
      <c r="A587">
        <v>1140</v>
      </c>
      <c r="B587" t="s">
        <v>1173</v>
      </c>
      <c r="C587">
        <v>0</v>
      </c>
    </row>
    <row r="588" spans="1:3" x14ac:dyDescent="0.25">
      <c r="A588">
        <v>1141</v>
      </c>
      <c r="B588" t="s">
        <v>1175</v>
      </c>
      <c r="C588">
        <v>0</v>
      </c>
    </row>
    <row r="589" spans="1:3" x14ac:dyDescent="0.25">
      <c r="A589">
        <v>1142</v>
      </c>
      <c r="B589" t="s">
        <v>1177</v>
      </c>
      <c r="C589">
        <v>0</v>
      </c>
    </row>
    <row r="590" spans="1:3" x14ac:dyDescent="0.25">
      <c r="A590">
        <v>1143</v>
      </c>
      <c r="B590" t="s">
        <v>1179</v>
      </c>
      <c r="C590">
        <v>0</v>
      </c>
    </row>
    <row r="591" spans="1:3" x14ac:dyDescent="0.25">
      <c r="A591">
        <v>1144</v>
      </c>
      <c r="B591" t="s">
        <v>1181</v>
      </c>
      <c r="C591">
        <v>0</v>
      </c>
    </row>
    <row r="592" spans="1:3" x14ac:dyDescent="0.25">
      <c r="A592">
        <v>1145</v>
      </c>
      <c r="B592" t="s">
        <v>1183</v>
      </c>
      <c r="C592">
        <v>0</v>
      </c>
    </row>
    <row r="593" spans="1:3" x14ac:dyDescent="0.25">
      <c r="A593">
        <v>1146</v>
      </c>
      <c r="B593" t="s">
        <v>1185</v>
      </c>
      <c r="C593">
        <v>0</v>
      </c>
    </row>
    <row r="594" spans="1:3" x14ac:dyDescent="0.25">
      <c r="A594">
        <v>1147</v>
      </c>
      <c r="B594" t="s">
        <v>1187</v>
      </c>
      <c r="C594">
        <v>0</v>
      </c>
    </row>
    <row r="595" spans="1:3" x14ac:dyDescent="0.25">
      <c r="A595">
        <v>1148</v>
      </c>
      <c r="B595" t="s">
        <v>1189</v>
      </c>
      <c r="C595">
        <v>0</v>
      </c>
    </row>
    <row r="596" spans="1:3" x14ac:dyDescent="0.25">
      <c r="A596">
        <v>11480</v>
      </c>
      <c r="B596" t="s">
        <v>1191</v>
      </c>
      <c r="C596">
        <v>0</v>
      </c>
    </row>
    <row r="597" spans="1:3" x14ac:dyDescent="0.25">
      <c r="A597">
        <v>11481</v>
      </c>
      <c r="B597" t="s">
        <v>1193</v>
      </c>
      <c r="C597">
        <v>0</v>
      </c>
    </row>
    <row r="598" spans="1:3" x14ac:dyDescent="0.25">
      <c r="A598">
        <v>11482</v>
      </c>
      <c r="B598" t="s">
        <v>1195</v>
      </c>
      <c r="C598">
        <v>0</v>
      </c>
    </row>
    <row r="599" spans="1:3" x14ac:dyDescent="0.25">
      <c r="A599">
        <v>1149</v>
      </c>
      <c r="B599" t="s">
        <v>1197</v>
      </c>
      <c r="C599">
        <v>0</v>
      </c>
    </row>
    <row r="600" spans="1:3" x14ac:dyDescent="0.25">
      <c r="A600">
        <v>11491</v>
      </c>
      <c r="B600" t="s">
        <v>1199</v>
      </c>
      <c r="C600">
        <v>0</v>
      </c>
    </row>
    <row r="601" spans="1:3" x14ac:dyDescent="0.25">
      <c r="A601">
        <v>11492</v>
      </c>
      <c r="B601" t="s">
        <v>1201</v>
      </c>
      <c r="C601">
        <v>0</v>
      </c>
    </row>
    <row r="602" spans="1:3" x14ac:dyDescent="0.25">
      <c r="A602">
        <v>1150</v>
      </c>
      <c r="B602" t="s">
        <v>1203</v>
      </c>
      <c r="C602">
        <v>0</v>
      </c>
    </row>
    <row r="603" spans="1:3" x14ac:dyDescent="0.25">
      <c r="A603">
        <v>1151</v>
      </c>
      <c r="B603" t="s">
        <v>1205</v>
      </c>
      <c r="C603">
        <v>0</v>
      </c>
    </row>
    <row r="604" spans="1:3" x14ac:dyDescent="0.25">
      <c r="A604">
        <v>1152</v>
      </c>
      <c r="B604" t="s">
        <v>1207</v>
      </c>
      <c r="C604">
        <v>0</v>
      </c>
    </row>
    <row r="605" spans="1:3" x14ac:dyDescent="0.25">
      <c r="A605">
        <v>1153</v>
      </c>
      <c r="B605" t="s">
        <v>1209</v>
      </c>
      <c r="C605">
        <v>0</v>
      </c>
    </row>
    <row r="606" spans="1:3" x14ac:dyDescent="0.25">
      <c r="A606">
        <v>1154</v>
      </c>
      <c r="B606" t="s">
        <v>1211</v>
      </c>
      <c r="C606">
        <v>0</v>
      </c>
    </row>
    <row r="607" spans="1:3" x14ac:dyDescent="0.25">
      <c r="A607">
        <v>11541</v>
      </c>
      <c r="B607" t="s">
        <v>1213</v>
      </c>
      <c r="C607">
        <v>0</v>
      </c>
    </row>
    <row r="608" spans="1:3" x14ac:dyDescent="0.25">
      <c r="A608">
        <v>1155</v>
      </c>
      <c r="B608" t="s">
        <v>1215</v>
      </c>
      <c r="C608">
        <v>0</v>
      </c>
    </row>
    <row r="609" spans="1:3" x14ac:dyDescent="0.25">
      <c r="A609">
        <v>1156</v>
      </c>
      <c r="B609" t="s">
        <v>1217</v>
      </c>
      <c r="C609">
        <v>0</v>
      </c>
    </row>
    <row r="610" spans="1:3" x14ac:dyDescent="0.25">
      <c r="A610">
        <v>1157</v>
      </c>
      <c r="B610" t="s">
        <v>1219</v>
      </c>
      <c r="C610">
        <v>0</v>
      </c>
    </row>
    <row r="611" spans="1:3" x14ac:dyDescent="0.25">
      <c r="A611">
        <v>1158</v>
      </c>
      <c r="B611" t="s">
        <v>1221</v>
      </c>
      <c r="C611">
        <v>0</v>
      </c>
    </row>
    <row r="612" spans="1:3" x14ac:dyDescent="0.25">
      <c r="A612">
        <v>1159</v>
      </c>
      <c r="B612" t="s">
        <v>1223</v>
      </c>
      <c r="C612">
        <v>0</v>
      </c>
    </row>
    <row r="613" spans="1:3" x14ac:dyDescent="0.25">
      <c r="A613">
        <v>1160</v>
      </c>
      <c r="B613" t="s">
        <v>1225</v>
      </c>
      <c r="C613">
        <v>0</v>
      </c>
    </row>
    <row r="614" spans="1:3" x14ac:dyDescent="0.25">
      <c r="A614">
        <v>1161</v>
      </c>
      <c r="B614" t="s">
        <v>1227</v>
      </c>
      <c r="C614">
        <v>0</v>
      </c>
    </row>
    <row r="615" spans="1:3" x14ac:dyDescent="0.25">
      <c r="A615">
        <v>1194</v>
      </c>
      <c r="B615" t="s">
        <v>1229</v>
      </c>
      <c r="C615">
        <v>0</v>
      </c>
    </row>
    <row r="616" spans="1:3" x14ac:dyDescent="0.25">
      <c r="A616">
        <v>1195</v>
      </c>
      <c r="B616" t="s">
        <v>1231</v>
      </c>
      <c r="C616">
        <v>0</v>
      </c>
    </row>
    <row r="617" spans="1:3" x14ac:dyDescent="0.25">
      <c r="A617">
        <v>1196</v>
      </c>
      <c r="B617" t="s">
        <v>1233</v>
      </c>
      <c r="C617">
        <v>0</v>
      </c>
    </row>
    <row r="618" spans="1:3" x14ac:dyDescent="0.25">
      <c r="A618">
        <v>1197</v>
      </c>
      <c r="B618" t="s">
        <v>1235</v>
      </c>
      <c r="C618">
        <v>0</v>
      </c>
    </row>
    <row r="619" spans="1:3" x14ac:dyDescent="0.25">
      <c r="A619">
        <v>1198</v>
      </c>
      <c r="B619" t="s">
        <v>1237</v>
      </c>
      <c r="C619">
        <v>0</v>
      </c>
    </row>
    <row r="620" spans="1:3" x14ac:dyDescent="0.25">
      <c r="A620">
        <v>119801</v>
      </c>
      <c r="B620" t="s">
        <v>1239</v>
      </c>
      <c r="C620">
        <v>0</v>
      </c>
    </row>
    <row r="621" spans="1:3" x14ac:dyDescent="0.25">
      <c r="A621">
        <v>1199</v>
      </c>
      <c r="B621" t="s">
        <v>1241</v>
      </c>
      <c r="C621">
        <v>0</v>
      </c>
    </row>
    <row r="622" spans="1:3" x14ac:dyDescent="0.25">
      <c r="A622">
        <v>1200</v>
      </c>
      <c r="B622" t="s">
        <v>1243</v>
      </c>
      <c r="C622">
        <v>0</v>
      </c>
    </row>
    <row r="623" spans="1:3" x14ac:dyDescent="0.25">
      <c r="A623">
        <v>1201</v>
      </c>
      <c r="B623" t="s">
        <v>1245</v>
      </c>
      <c r="C623">
        <v>0</v>
      </c>
    </row>
    <row r="624" spans="1:3" x14ac:dyDescent="0.25">
      <c r="A624">
        <v>1202</v>
      </c>
      <c r="B624" t="s">
        <v>1247</v>
      </c>
      <c r="C624">
        <v>0</v>
      </c>
    </row>
    <row r="625" spans="1:3" x14ac:dyDescent="0.25">
      <c r="A625">
        <v>1203</v>
      </c>
      <c r="B625" t="s">
        <v>1249</v>
      </c>
      <c r="C625">
        <v>0</v>
      </c>
    </row>
    <row r="626" spans="1:3" x14ac:dyDescent="0.25">
      <c r="A626">
        <v>1204</v>
      </c>
      <c r="B626" t="s">
        <v>1251</v>
      </c>
      <c r="C626">
        <v>0</v>
      </c>
    </row>
    <row r="627" spans="1:3" x14ac:dyDescent="0.25">
      <c r="A627">
        <v>12041</v>
      </c>
      <c r="B627" t="s">
        <v>1253</v>
      </c>
      <c r="C627">
        <v>0</v>
      </c>
    </row>
    <row r="628" spans="1:3" x14ac:dyDescent="0.25">
      <c r="A628">
        <v>1205</v>
      </c>
      <c r="B628" t="s">
        <v>1255</v>
      </c>
      <c r="C628">
        <v>0</v>
      </c>
    </row>
    <row r="629" spans="1:3" x14ac:dyDescent="0.25">
      <c r="A629">
        <v>12051</v>
      </c>
      <c r="B629" t="s">
        <v>1257</v>
      </c>
      <c r="C629">
        <v>0</v>
      </c>
    </row>
    <row r="630" spans="1:3" x14ac:dyDescent="0.25">
      <c r="A630">
        <v>1206</v>
      </c>
      <c r="B630" t="s">
        <v>1259</v>
      </c>
      <c r="C630">
        <v>0</v>
      </c>
    </row>
    <row r="631" spans="1:3" x14ac:dyDescent="0.25">
      <c r="A631">
        <v>1207</v>
      </c>
      <c r="B631" t="s">
        <v>1261</v>
      </c>
      <c r="C631">
        <v>0</v>
      </c>
    </row>
    <row r="632" spans="1:3" x14ac:dyDescent="0.25">
      <c r="A632">
        <v>1208</v>
      </c>
      <c r="B632" t="s">
        <v>1263</v>
      </c>
      <c r="C632">
        <v>0</v>
      </c>
    </row>
    <row r="633" spans="1:3" x14ac:dyDescent="0.25">
      <c r="A633">
        <v>1209</v>
      </c>
      <c r="B633" t="s">
        <v>1265</v>
      </c>
      <c r="C633">
        <v>0</v>
      </c>
    </row>
    <row r="634" spans="1:3" x14ac:dyDescent="0.25">
      <c r="A634">
        <v>12091</v>
      </c>
      <c r="B634" t="s">
        <v>1267</v>
      </c>
      <c r="C634">
        <v>0</v>
      </c>
    </row>
    <row r="635" spans="1:3" x14ac:dyDescent="0.25">
      <c r="A635">
        <v>1210</v>
      </c>
      <c r="B635" t="s">
        <v>1269</v>
      </c>
      <c r="C635">
        <v>0</v>
      </c>
    </row>
    <row r="636" spans="1:3" x14ac:dyDescent="0.25">
      <c r="A636">
        <v>1211</v>
      </c>
      <c r="B636" t="s">
        <v>1271</v>
      </c>
      <c r="C636">
        <v>0</v>
      </c>
    </row>
    <row r="637" spans="1:3" x14ac:dyDescent="0.25">
      <c r="A637">
        <v>1212</v>
      </c>
      <c r="B637" t="s">
        <v>1273</v>
      </c>
      <c r="C637">
        <v>0</v>
      </c>
    </row>
    <row r="638" spans="1:3" x14ac:dyDescent="0.25">
      <c r="A638">
        <v>1213</v>
      </c>
      <c r="B638" t="s">
        <v>1275</v>
      </c>
      <c r="C638">
        <v>0</v>
      </c>
    </row>
    <row r="639" spans="1:3" x14ac:dyDescent="0.25">
      <c r="A639">
        <v>1214</v>
      </c>
      <c r="B639" t="s">
        <v>1277</v>
      </c>
      <c r="C639">
        <v>0</v>
      </c>
    </row>
    <row r="640" spans="1:3" x14ac:dyDescent="0.25">
      <c r="A640">
        <v>1215</v>
      </c>
      <c r="B640" t="s">
        <v>1279</v>
      </c>
      <c r="C640">
        <v>0</v>
      </c>
    </row>
    <row r="641" spans="1:3" x14ac:dyDescent="0.25">
      <c r="A641">
        <v>1216</v>
      </c>
      <c r="B641" t="s">
        <v>1281</v>
      </c>
      <c r="C641">
        <v>0</v>
      </c>
    </row>
    <row r="642" spans="1:3" x14ac:dyDescent="0.25">
      <c r="A642">
        <v>1217</v>
      </c>
      <c r="B642" t="s">
        <v>1283</v>
      </c>
      <c r="C642">
        <v>0</v>
      </c>
    </row>
    <row r="643" spans="1:3" x14ac:dyDescent="0.25">
      <c r="A643">
        <v>1218</v>
      </c>
      <c r="B643" t="s">
        <v>1285</v>
      </c>
      <c r="C643">
        <v>0</v>
      </c>
    </row>
    <row r="644" spans="1:3" x14ac:dyDescent="0.25">
      <c r="A644">
        <v>1220</v>
      </c>
      <c r="B644" t="s">
        <v>1287</v>
      </c>
      <c r="C644">
        <v>0</v>
      </c>
    </row>
    <row r="645" spans="1:3" x14ac:dyDescent="0.25">
      <c r="A645">
        <v>1221</v>
      </c>
      <c r="B645" t="s">
        <v>1289</v>
      </c>
      <c r="C645">
        <v>0</v>
      </c>
    </row>
    <row r="646" spans="1:3" x14ac:dyDescent="0.25">
      <c r="A646">
        <v>1222</v>
      </c>
      <c r="B646" t="s">
        <v>1291</v>
      </c>
      <c r="C646">
        <v>0</v>
      </c>
    </row>
    <row r="647" spans="1:3" x14ac:dyDescent="0.25">
      <c r="A647">
        <v>1223</v>
      </c>
      <c r="B647" t="s">
        <v>1293</v>
      </c>
      <c r="C647">
        <v>0</v>
      </c>
    </row>
    <row r="648" spans="1:3" x14ac:dyDescent="0.25">
      <c r="A648">
        <v>1224</v>
      </c>
      <c r="B648" t="s">
        <v>1295</v>
      </c>
      <c r="C648">
        <v>0</v>
      </c>
    </row>
    <row r="649" spans="1:3" x14ac:dyDescent="0.25">
      <c r="A649">
        <v>1225</v>
      </c>
      <c r="B649" t="s">
        <v>1297</v>
      </c>
      <c r="C649">
        <v>0</v>
      </c>
    </row>
    <row r="650" spans="1:3" x14ac:dyDescent="0.25">
      <c r="A650">
        <v>1226</v>
      </c>
      <c r="B650" t="s">
        <v>1299</v>
      </c>
      <c r="C650">
        <v>0</v>
      </c>
    </row>
    <row r="651" spans="1:3" x14ac:dyDescent="0.25">
      <c r="A651">
        <v>1227</v>
      </c>
      <c r="B651" t="s">
        <v>1301</v>
      </c>
      <c r="C651">
        <v>0</v>
      </c>
    </row>
    <row r="652" spans="1:3" x14ac:dyDescent="0.25">
      <c r="A652">
        <v>1228</v>
      </c>
      <c r="B652" t="s">
        <v>1303</v>
      </c>
      <c r="C652">
        <v>0</v>
      </c>
    </row>
    <row r="653" spans="1:3" x14ac:dyDescent="0.25">
      <c r="A653">
        <v>1229</v>
      </c>
      <c r="B653" t="s">
        <v>1305</v>
      </c>
      <c r="C653">
        <v>0</v>
      </c>
    </row>
    <row r="654" spans="1:3" x14ac:dyDescent="0.25">
      <c r="A654">
        <v>12290</v>
      </c>
      <c r="B654" t="s">
        <v>1307</v>
      </c>
      <c r="C654">
        <v>0</v>
      </c>
    </row>
    <row r="655" spans="1:3" x14ac:dyDescent="0.25">
      <c r="A655">
        <v>12291</v>
      </c>
      <c r="B655" t="s">
        <v>1309</v>
      </c>
      <c r="C655">
        <v>0</v>
      </c>
    </row>
    <row r="656" spans="1:3" x14ac:dyDescent="0.25">
      <c r="A656">
        <v>12294</v>
      </c>
      <c r="B656" t="s">
        <v>1311</v>
      </c>
      <c r="C656">
        <v>0</v>
      </c>
    </row>
    <row r="657" spans="1:3" x14ac:dyDescent="0.25">
      <c r="A657">
        <v>12299</v>
      </c>
      <c r="B657" t="s">
        <v>1313</v>
      </c>
      <c r="C657">
        <v>0</v>
      </c>
    </row>
    <row r="658" spans="1:3" x14ac:dyDescent="0.25">
      <c r="A658">
        <v>1230</v>
      </c>
      <c r="B658" t="s">
        <v>1315</v>
      </c>
      <c r="C658">
        <v>0</v>
      </c>
    </row>
    <row r="659" spans="1:3" x14ac:dyDescent="0.25">
      <c r="A659">
        <v>12300</v>
      </c>
      <c r="B659" t="s">
        <v>1317</v>
      </c>
      <c r="C659">
        <v>0</v>
      </c>
    </row>
    <row r="660" spans="1:3" x14ac:dyDescent="0.25">
      <c r="A660">
        <v>12308</v>
      </c>
      <c r="B660" t="s">
        <v>1319</v>
      </c>
      <c r="C660">
        <v>0</v>
      </c>
    </row>
    <row r="661" spans="1:3" x14ac:dyDescent="0.25">
      <c r="A661">
        <v>1231</v>
      </c>
      <c r="B661" t="s">
        <v>1321</v>
      </c>
      <c r="C661">
        <v>0</v>
      </c>
    </row>
    <row r="662" spans="1:3" x14ac:dyDescent="0.25">
      <c r="A662">
        <v>1232</v>
      </c>
      <c r="B662" t="s">
        <v>1323</v>
      </c>
      <c r="C662">
        <v>0</v>
      </c>
    </row>
    <row r="663" spans="1:3" x14ac:dyDescent="0.25">
      <c r="A663">
        <v>1233</v>
      </c>
      <c r="B663" t="s">
        <v>1325</v>
      </c>
      <c r="C663">
        <v>0</v>
      </c>
    </row>
    <row r="664" spans="1:3" x14ac:dyDescent="0.25">
      <c r="A664">
        <v>1234</v>
      </c>
      <c r="B664" t="s">
        <v>1327</v>
      </c>
      <c r="C664">
        <v>0</v>
      </c>
    </row>
    <row r="665" spans="1:3" x14ac:dyDescent="0.25">
      <c r="A665">
        <v>1235</v>
      </c>
      <c r="B665" t="s">
        <v>1329</v>
      </c>
      <c r="C665">
        <v>0</v>
      </c>
    </row>
    <row r="666" spans="1:3" x14ac:dyDescent="0.25">
      <c r="A666">
        <v>1236</v>
      </c>
      <c r="B666" t="s">
        <v>1331</v>
      </c>
      <c r="C666">
        <v>0</v>
      </c>
    </row>
    <row r="667" spans="1:3" x14ac:dyDescent="0.25">
      <c r="A667">
        <v>1237</v>
      </c>
      <c r="B667" t="s">
        <v>1333</v>
      </c>
      <c r="C667">
        <v>0</v>
      </c>
    </row>
    <row r="668" spans="1:3" x14ac:dyDescent="0.25">
      <c r="A668">
        <v>1238</v>
      </c>
      <c r="B668" t="s">
        <v>1335</v>
      </c>
      <c r="C668">
        <v>0</v>
      </c>
    </row>
    <row r="669" spans="1:3" x14ac:dyDescent="0.25">
      <c r="A669">
        <v>1239</v>
      </c>
      <c r="B669" t="s">
        <v>1337</v>
      </c>
      <c r="C669">
        <v>0</v>
      </c>
    </row>
    <row r="670" spans="1:3" x14ac:dyDescent="0.25">
      <c r="A670">
        <v>1240</v>
      </c>
      <c r="B670" t="s">
        <v>1339</v>
      </c>
      <c r="C670">
        <v>0</v>
      </c>
    </row>
    <row r="671" spans="1:3" x14ac:dyDescent="0.25">
      <c r="A671">
        <v>1241</v>
      </c>
      <c r="B671" t="s">
        <v>1341</v>
      </c>
      <c r="C671">
        <v>0</v>
      </c>
    </row>
    <row r="672" spans="1:3" x14ac:dyDescent="0.25">
      <c r="A672">
        <v>1242</v>
      </c>
      <c r="B672" t="s">
        <v>1343</v>
      </c>
      <c r="C672">
        <v>0</v>
      </c>
    </row>
    <row r="673" spans="1:3" x14ac:dyDescent="0.25">
      <c r="A673">
        <v>1243</v>
      </c>
      <c r="B673" t="s">
        <v>1345</v>
      </c>
      <c r="C673">
        <v>0</v>
      </c>
    </row>
    <row r="674" spans="1:3" x14ac:dyDescent="0.25">
      <c r="A674">
        <v>12431</v>
      </c>
      <c r="B674" t="s">
        <v>1347</v>
      </c>
      <c r="C674">
        <v>0</v>
      </c>
    </row>
    <row r="675" spans="1:3" x14ac:dyDescent="0.25">
      <c r="A675">
        <v>1244</v>
      </c>
      <c r="B675" t="s">
        <v>1349</v>
      </c>
      <c r="C675">
        <v>0</v>
      </c>
    </row>
    <row r="676" spans="1:3" x14ac:dyDescent="0.25">
      <c r="A676">
        <v>12441</v>
      </c>
      <c r="B676" t="s">
        <v>1351</v>
      </c>
      <c r="C676">
        <v>0</v>
      </c>
    </row>
    <row r="677" spans="1:3" x14ac:dyDescent="0.25">
      <c r="A677">
        <v>1245</v>
      </c>
      <c r="B677" t="s">
        <v>1353</v>
      </c>
      <c r="C677">
        <v>0</v>
      </c>
    </row>
    <row r="678" spans="1:3" x14ac:dyDescent="0.25">
      <c r="A678">
        <v>12451</v>
      </c>
      <c r="B678" t="s">
        <v>1355</v>
      </c>
      <c r="C678">
        <v>0</v>
      </c>
    </row>
    <row r="679" spans="1:3" x14ac:dyDescent="0.25">
      <c r="A679">
        <v>1246</v>
      </c>
      <c r="B679" t="s">
        <v>1357</v>
      </c>
      <c r="C679">
        <v>0</v>
      </c>
    </row>
    <row r="680" spans="1:3" x14ac:dyDescent="0.25">
      <c r="A680">
        <v>1247</v>
      </c>
      <c r="B680" t="s">
        <v>1359</v>
      </c>
      <c r="C680">
        <v>0</v>
      </c>
    </row>
    <row r="681" spans="1:3" x14ac:dyDescent="0.25">
      <c r="A681">
        <v>1248</v>
      </c>
      <c r="B681" t="s">
        <v>1361</v>
      </c>
      <c r="C681">
        <v>0</v>
      </c>
    </row>
    <row r="682" spans="1:3" x14ac:dyDescent="0.25">
      <c r="A682">
        <v>1249</v>
      </c>
      <c r="B682" t="s">
        <v>1363</v>
      </c>
      <c r="C682">
        <v>0</v>
      </c>
    </row>
    <row r="683" spans="1:3" x14ac:dyDescent="0.25">
      <c r="A683">
        <v>1250</v>
      </c>
      <c r="B683" t="s">
        <v>1365</v>
      </c>
      <c r="C683">
        <v>0</v>
      </c>
    </row>
    <row r="684" spans="1:3" x14ac:dyDescent="0.25">
      <c r="A684">
        <v>12501</v>
      </c>
      <c r="B684" t="s">
        <v>1367</v>
      </c>
      <c r="C684">
        <v>0</v>
      </c>
    </row>
    <row r="685" spans="1:3" x14ac:dyDescent="0.25">
      <c r="A685">
        <v>1251</v>
      </c>
      <c r="B685" t="s">
        <v>1369</v>
      </c>
      <c r="C685">
        <v>0</v>
      </c>
    </row>
    <row r="686" spans="1:3" x14ac:dyDescent="0.25">
      <c r="A686">
        <v>12511</v>
      </c>
      <c r="B686" t="s">
        <v>1371</v>
      </c>
      <c r="C686">
        <v>0</v>
      </c>
    </row>
    <row r="687" spans="1:3" x14ac:dyDescent="0.25">
      <c r="A687">
        <v>1252</v>
      </c>
      <c r="B687" t="s">
        <v>1373</v>
      </c>
      <c r="C687">
        <v>0</v>
      </c>
    </row>
    <row r="688" spans="1:3" x14ac:dyDescent="0.25">
      <c r="A688">
        <v>12521</v>
      </c>
      <c r="B688" t="s">
        <v>1375</v>
      </c>
      <c r="C688">
        <v>0</v>
      </c>
    </row>
    <row r="689" spans="1:3" x14ac:dyDescent="0.25">
      <c r="A689">
        <v>1253</v>
      </c>
      <c r="B689" t="s">
        <v>1377</v>
      </c>
      <c r="C689">
        <v>0</v>
      </c>
    </row>
    <row r="690" spans="1:3" x14ac:dyDescent="0.25">
      <c r="A690">
        <v>12531</v>
      </c>
      <c r="B690" t="s">
        <v>1379</v>
      </c>
      <c r="C690">
        <v>0</v>
      </c>
    </row>
    <row r="691" spans="1:3" x14ac:dyDescent="0.25">
      <c r="A691">
        <v>12532</v>
      </c>
      <c r="B691" t="s">
        <v>1381</v>
      </c>
      <c r="C691">
        <v>0</v>
      </c>
    </row>
    <row r="692" spans="1:3" x14ac:dyDescent="0.25">
      <c r="A692">
        <v>12533</v>
      </c>
      <c r="B692" t="s">
        <v>1383</v>
      </c>
      <c r="C692">
        <v>0</v>
      </c>
    </row>
    <row r="693" spans="1:3" x14ac:dyDescent="0.25">
      <c r="A693">
        <v>12534</v>
      </c>
      <c r="B693" t="s">
        <v>1385</v>
      </c>
      <c r="C693">
        <v>0</v>
      </c>
    </row>
    <row r="694" spans="1:3" x14ac:dyDescent="0.25">
      <c r="A694">
        <v>12535</v>
      </c>
      <c r="B694" t="s">
        <v>1387</v>
      </c>
      <c r="C694">
        <v>0</v>
      </c>
    </row>
    <row r="695" spans="1:3" x14ac:dyDescent="0.25">
      <c r="A695">
        <v>12536</v>
      </c>
      <c r="B695" t="s">
        <v>1389</v>
      </c>
      <c r="C695">
        <v>0</v>
      </c>
    </row>
    <row r="696" spans="1:3" x14ac:dyDescent="0.25">
      <c r="A696">
        <v>1254</v>
      </c>
      <c r="B696" t="s">
        <v>1391</v>
      </c>
      <c r="C696">
        <v>0</v>
      </c>
    </row>
    <row r="697" spans="1:3" x14ac:dyDescent="0.25">
      <c r="A697">
        <v>12541</v>
      </c>
      <c r="B697" t="s">
        <v>1393</v>
      </c>
      <c r="C697">
        <v>0</v>
      </c>
    </row>
    <row r="698" spans="1:3" x14ac:dyDescent="0.25">
      <c r="A698">
        <v>1255</v>
      </c>
      <c r="B698" t="s">
        <v>1395</v>
      </c>
      <c r="C698">
        <v>0</v>
      </c>
    </row>
    <row r="699" spans="1:3" x14ac:dyDescent="0.25">
      <c r="A699">
        <v>12551</v>
      </c>
      <c r="B699" t="s">
        <v>1397</v>
      </c>
      <c r="C699">
        <v>0</v>
      </c>
    </row>
    <row r="700" spans="1:3" x14ac:dyDescent="0.25">
      <c r="A700">
        <v>1256</v>
      </c>
      <c r="B700" t="s">
        <v>1399</v>
      </c>
      <c r="C700">
        <v>0</v>
      </c>
    </row>
    <row r="701" spans="1:3" x14ac:dyDescent="0.25">
      <c r="A701">
        <v>12561</v>
      </c>
      <c r="B701" t="s">
        <v>1401</v>
      </c>
      <c r="C701">
        <v>0</v>
      </c>
    </row>
    <row r="702" spans="1:3" x14ac:dyDescent="0.25">
      <c r="A702">
        <v>1257</v>
      </c>
      <c r="B702" t="s">
        <v>1403</v>
      </c>
      <c r="C702">
        <v>0</v>
      </c>
    </row>
    <row r="703" spans="1:3" x14ac:dyDescent="0.25">
      <c r="A703">
        <v>12571</v>
      </c>
      <c r="B703" t="s">
        <v>1405</v>
      </c>
      <c r="C703">
        <v>0</v>
      </c>
    </row>
    <row r="704" spans="1:3" x14ac:dyDescent="0.25">
      <c r="A704">
        <v>1258</v>
      </c>
      <c r="B704" t="s">
        <v>1407</v>
      </c>
      <c r="C704">
        <v>0</v>
      </c>
    </row>
    <row r="705" spans="1:3" x14ac:dyDescent="0.25">
      <c r="A705">
        <v>12581</v>
      </c>
      <c r="B705" t="s">
        <v>1409</v>
      </c>
      <c r="C705">
        <v>0</v>
      </c>
    </row>
    <row r="706" spans="1:3" x14ac:dyDescent="0.25">
      <c r="A706">
        <v>1259</v>
      </c>
      <c r="B706" t="s">
        <v>1411</v>
      </c>
      <c r="C706">
        <v>0</v>
      </c>
    </row>
    <row r="707" spans="1:3" x14ac:dyDescent="0.25">
      <c r="A707">
        <v>12591</v>
      </c>
      <c r="B707" t="s">
        <v>1413</v>
      </c>
      <c r="C707">
        <v>0</v>
      </c>
    </row>
    <row r="708" spans="1:3" x14ac:dyDescent="0.25">
      <c r="A708">
        <v>1260</v>
      </c>
      <c r="B708" t="s">
        <v>1415</v>
      </c>
      <c r="C708">
        <v>0</v>
      </c>
    </row>
    <row r="709" spans="1:3" x14ac:dyDescent="0.25">
      <c r="A709">
        <v>12601</v>
      </c>
      <c r="B709" t="s">
        <v>1417</v>
      </c>
      <c r="C709">
        <v>0</v>
      </c>
    </row>
    <row r="710" spans="1:3" x14ac:dyDescent="0.25">
      <c r="A710">
        <v>126010</v>
      </c>
      <c r="B710" t="s">
        <v>1419</v>
      </c>
      <c r="C710">
        <v>0</v>
      </c>
    </row>
    <row r="711" spans="1:3" x14ac:dyDescent="0.25">
      <c r="A711">
        <v>12602</v>
      </c>
      <c r="B711" t="s">
        <v>1421</v>
      </c>
      <c r="C711">
        <v>0</v>
      </c>
    </row>
    <row r="712" spans="1:3" x14ac:dyDescent="0.25">
      <c r="A712">
        <v>12603</v>
      </c>
      <c r="B712" t="s">
        <v>1423</v>
      </c>
      <c r="C712">
        <v>0</v>
      </c>
    </row>
    <row r="713" spans="1:3" x14ac:dyDescent="0.25">
      <c r="A713">
        <v>12604</v>
      </c>
      <c r="B713" t="s">
        <v>1425</v>
      </c>
      <c r="C713">
        <v>0</v>
      </c>
    </row>
    <row r="714" spans="1:3" x14ac:dyDescent="0.25">
      <c r="A714">
        <v>12605</v>
      </c>
      <c r="B714" t="s">
        <v>1427</v>
      </c>
      <c r="C714">
        <v>0</v>
      </c>
    </row>
    <row r="715" spans="1:3" x14ac:dyDescent="0.25">
      <c r="A715">
        <v>12606</v>
      </c>
      <c r="B715" t="s">
        <v>1429</v>
      </c>
      <c r="C715">
        <v>0</v>
      </c>
    </row>
    <row r="716" spans="1:3" x14ac:dyDescent="0.25">
      <c r="A716">
        <v>12607</v>
      </c>
      <c r="B716" t="s">
        <v>1431</v>
      </c>
      <c r="C716">
        <v>0</v>
      </c>
    </row>
    <row r="717" spans="1:3" x14ac:dyDescent="0.25">
      <c r="A717">
        <v>12608</v>
      </c>
      <c r="B717" t="s">
        <v>1433</v>
      </c>
      <c r="C717">
        <v>0</v>
      </c>
    </row>
    <row r="718" spans="1:3" x14ac:dyDescent="0.25">
      <c r="A718">
        <v>12609</v>
      </c>
      <c r="B718" t="s">
        <v>1435</v>
      </c>
      <c r="C718">
        <v>0</v>
      </c>
    </row>
    <row r="719" spans="1:3" x14ac:dyDescent="0.25">
      <c r="A719">
        <v>1261</v>
      </c>
      <c r="B719" t="s">
        <v>1437</v>
      </c>
      <c r="C719">
        <v>0</v>
      </c>
    </row>
    <row r="720" spans="1:3" x14ac:dyDescent="0.25">
      <c r="A720">
        <v>1262</v>
      </c>
      <c r="B720" t="s">
        <v>1439</v>
      </c>
      <c r="C720">
        <v>0</v>
      </c>
    </row>
    <row r="721" spans="1:3" x14ac:dyDescent="0.25">
      <c r="A721">
        <v>1263</v>
      </c>
      <c r="B721" t="s">
        <v>1441</v>
      </c>
      <c r="C721">
        <v>0</v>
      </c>
    </row>
    <row r="722" spans="1:3" x14ac:dyDescent="0.25">
      <c r="A722">
        <v>1264</v>
      </c>
      <c r="B722" t="s">
        <v>1443</v>
      </c>
      <c r="C722">
        <v>0</v>
      </c>
    </row>
    <row r="723" spans="1:3" x14ac:dyDescent="0.25">
      <c r="A723">
        <v>1265</v>
      </c>
      <c r="B723" t="s">
        <v>1445</v>
      </c>
      <c r="C723">
        <v>0</v>
      </c>
    </row>
    <row r="724" spans="1:3" x14ac:dyDescent="0.25">
      <c r="A724">
        <v>1266</v>
      </c>
      <c r="B724" t="s">
        <v>1447</v>
      </c>
      <c r="C724">
        <v>0</v>
      </c>
    </row>
    <row r="725" spans="1:3" x14ac:dyDescent="0.25">
      <c r="A725">
        <v>1267</v>
      </c>
      <c r="B725" t="s">
        <v>1449</v>
      </c>
      <c r="C725">
        <v>0</v>
      </c>
    </row>
    <row r="726" spans="1:3" x14ac:dyDescent="0.25">
      <c r="A726">
        <v>1268</v>
      </c>
      <c r="B726" t="s">
        <v>1451</v>
      </c>
      <c r="C726">
        <v>0</v>
      </c>
    </row>
    <row r="727" spans="1:3" x14ac:dyDescent="0.25">
      <c r="A727">
        <v>1269</v>
      </c>
      <c r="B727" t="s">
        <v>1453</v>
      </c>
      <c r="C727">
        <v>0</v>
      </c>
    </row>
    <row r="728" spans="1:3" x14ac:dyDescent="0.25">
      <c r="A728">
        <v>1270</v>
      </c>
      <c r="B728" t="s">
        <v>1455</v>
      </c>
      <c r="C728">
        <v>0</v>
      </c>
    </row>
    <row r="729" spans="1:3" x14ac:dyDescent="0.25">
      <c r="A729">
        <v>1271</v>
      </c>
      <c r="B729" t="s">
        <v>1457</v>
      </c>
      <c r="C729">
        <v>0</v>
      </c>
    </row>
    <row r="730" spans="1:3" x14ac:dyDescent="0.25">
      <c r="A730">
        <v>1272</v>
      </c>
      <c r="B730" t="s">
        <v>1459</v>
      </c>
      <c r="C730">
        <v>0</v>
      </c>
    </row>
    <row r="731" spans="1:3" x14ac:dyDescent="0.25">
      <c r="A731">
        <v>1273</v>
      </c>
      <c r="B731" t="s">
        <v>1461</v>
      </c>
      <c r="C731">
        <v>0</v>
      </c>
    </row>
    <row r="732" spans="1:3" x14ac:dyDescent="0.25">
      <c r="A732">
        <v>1274</v>
      </c>
      <c r="B732" t="s">
        <v>1463</v>
      </c>
      <c r="C732">
        <v>0</v>
      </c>
    </row>
    <row r="733" spans="1:3" x14ac:dyDescent="0.25">
      <c r="A733">
        <v>1275</v>
      </c>
      <c r="B733" t="s">
        <v>1465</v>
      </c>
      <c r="C733">
        <v>0</v>
      </c>
    </row>
    <row r="734" spans="1:3" x14ac:dyDescent="0.25">
      <c r="A734">
        <v>1276</v>
      </c>
      <c r="B734" t="s">
        <v>1467</v>
      </c>
      <c r="C734">
        <v>0</v>
      </c>
    </row>
    <row r="735" spans="1:3" x14ac:dyDescent="0.25">
      <c r="A735">
        <v>1277</v>
      </c>
      <c r="B735" t="s">
        <v>1469</v>
      </c>
      <c r="C735">
        <v>0</v>
      </c>
    </row>
    <row r="736" spans="1:3" x14ac:dyDescent="0.25">
      <c r="A736">
        <v>1278</v>
      </c>
      <c r="B736" t="s">
        <v>1471</v>
      </c>
      <c r="C736">
        <v>0</v>
      </c>
    </row>
    <row r="737" spans="1:3" x14ac:dyDescent="0.25">
      <c r="A737">
        <v>1279</v>
      </c>
      <c r="B737" t="s">
        <v>1473</v>
      </c>
      <c r="C737">
        <v>0</v>
      </c>
    </row>
    <row r="738" spans="1:3" x14ac:dyDescent="0.25">
      <c r="A738">
        <v>1280</v>
      </c>
      <c r="B738" t="s">
        <v>1475</v>
      </c>
      <c r="C738">
        <v>0</v>
      </c>
    </row>
    <row r="739" spans="1:3" x14ac:dyDescent="0.25">
      <c r="A739">
        <v>1281</v>
      </c>
      <c r="B739" t="s">
        <v>1477</v>
      </c>
      <c r="C739">
        <v>0</v>
      </c>
    </row>
    <row r="740" spans="1:3" x14ac:dyDescent="0.25">
      <c r="A740">
        <v>1282</v>
      </c>
      <c r="B740" t="s">
        <v>1479</v>
      </c>
      <c r="C740">
        <v>0</v>
      </c>
    </row>
    <row r="741" spans="1:3" x14ac:dyDescent="0.25">
      <c r="A741">
        <v>1283</v>
      </c>
      <c r="B741" t="s">
        <v>1481</v>
      </c>
      <c r="C741">
        <v>0</v>
      </c>
    </row>
    <row r="742" spans="1:3" x14ac:dyDescent="0.25">
      <c r="A742">
        <v>1284</v>
      </c>
      <c r="B742" t="s">
        <v>1483</v>
      </c>
      <c r="C742">
        <v>0</v>
      </c>
    </row>
    <row r="743" spans="1:3" x14ac:dyDescent="0.25">
      <c r="A743">
        <v>1285</v>
      </c>
      <c r="B743" t="s">
        <v>1485</v>
      </c>
      <c r="C743">
        <v>0</v>
      </c>
    </row>
    <row r="744" spans="1:3" x14ac:dyDescent="0.25">
      <c r="A744">
        <v>1286</v>
      </c>
      <c r="B744" t="s">
        <v>1487</v>
      </c>
      <c r="C744">
        <v>0</v>
      </c>
    </row>
    <row r="745" spans="1:3" x14ac:dyDescent="0.25">
      <c r="A745">
        <v>1287</v>
      </c>
      <c r="B745" t="s">
        <v>1489</v>
      </c>
      <c r="C745">
        <v>0</v>
      </c>
    </row>
    <row r="746" spans="1:3" x14ac:dyDescent="0.25">
      <c r="A746">
        <v>1288</v>
      </c>
      <c r="B746" t="s">
        <v>1491</v>
      </c>
      <c r="C746">
        <v>0</v>
      </c>
    </row>
    <row r="747" spans="1:3" x14ac:dyDescent="0.25">
      <c r="A747">
        <v>1289</v>
      </c>
      <c r="B747" t="s">
        <v>1493</v>
      </c>
      <c r="C747">
        <v>0</v>
      </c>
    </row>
    <row r="748" spans="1:3" x14ac:dyDescent="0.25">
      <c r="A748">
        <v>1290</v>
      </c>
      <c r="B748" t="s">
        <v>1495</v>
      </c>
      <c r="C748">
        <v>0</v>
      </c>
    </row>
    <row r="749" spans="1:3" x14ac:dyDescent="0.25">
      <c r="A749">
        <v>1291</v>
      </c>
      <c r="B749" t="s">
        <v>1497</v>
      </c>
      <c r="C749">
        <v>0</v>
      </c>
    </row>
    <row r="750" spans="1:3" x14ac:dyDescent="0.25">
      <c r="A750">
        <v>1292</v>
      </c>
      <c r="B750" t="s">
        <v>1499</v>
      </c>
      <c r="C750">
        <v>0</v>
      </c>
    </row>
    <row r="751" spans="1:3" x14ac:dyDescent="0.25">
      <c r="A751">
        <v>1293</v>
      </c>
      <c r="B751" t="s">
        <v>1501</v>
      </c>
      <c r="C751">
        <v>0</v>
      </c>
    </row>
    <row r="752" spans="1:3" x14ac:dyDescent="0.25">
      <c r="A752">
        <v>1294</v>
      </c>
      <c r="B752" t="s">
        <v>1503</v>
      </c>
      <c r="C752">
        <v>0</v>
      </c>
    </row>
    <row r="753" spans="1:3" x14ac:dyDescent="0.25">
      <c r="A753">
        <v>1298</v>
      </c>
      <c r="B753" t="s">
        <v>1505</v>
      </c>
      <c r="C753">
        <v>0</v>
      </c>
    </row>
    <row r="754" spans="1:3" x14ac:dyDescent="0.25">
      <c r="A754">
        <v>1299</v>
      </c>
      <c r="B754" t="s">
        <v>1507</v>
      </c>
      <c r="C754">
        <v>0</v>
      </c>
    </row>
    <row r="755" spans="1:3" x14ac:dyDescent="0.25">
      <c r="A755">
        <v>1300</v>
      </c>
      <c r="B755" t="s">
        <v>1509</v>
      </c>
      <c r="C755">
        <v>0</v>
      </c>
    </row>
    <row r="756" spans="1:3" x14ac:dyDescent="0.25">
      <c r="A756">
        <v>1301</v>
      </c>
      <c r="B756" t="s">
        <v>1511</v>
      </c>
      <c r="C756">
        <v>0</v>
      </c>
    </row>
    <row r="757" spans="1:3" x14ac:dyDescent="0.25">
      <c r="A757">
        <v>1302</v>
      </c>
      <c r="B757" t="s">
        <v>1513</v>
      </c>
      <c r="C757">
        <v>0</v>
      </c>
    </row>
    <row r="758" spans="1:3" x14ac:dyDescent="0.25">
      <c r="A758">
        <v>1303</v>
      </c>
      <c r="B758" t="s">
        <v>1515</v>
      </c>
      <c r="C758">
        <v>0</v>
      </c>
    </row>
    <row r="759" spans="1:3" x14ac:dyDescent="0.25">
      <c r="A759">
        <v>1304</v>
      </c>
      <c r="B759" t="s">
        <v>1517</v>
      </c>
      <c r="C759">
        <v>0</v>
      </c>
    </row>
    <row r="760" spans="1:3" x14ac:dyDescent="0.25">
      <c r="A760">
        <v>1305</v>
      </c>
      <c r="B760" t="s">
        <v>1519</v>
      </c>
      <c r="C760">
        <v>0</v>
      </c>
    </row>
    <row r="761" spans="1:3" x14ac:dyDescent="0.25">
      <c r="A761">
        <v>1306</v>
      </c>
      <c r="B761" t="s">
        <v>1521</v>
      </c>
      <c r="C761">
        <v>0</v>
      </c>
    </row>
    <row r="762" spans="1:3" x14ac:dyDescent="0.25">
      <c r="A762">
        <v>1307</v>
      </c>
      <c r="B762" t="s">
        <v>1523</v>
      </c>
      <c r="C762">
        <v>0</v>
      </c>
    </row>
    <row r="763" spans="1:3" x14ac:dyDescent="0.25">
      <c r="A763">
        <v>1309</v>
      </c>
      <c r="B763" t="s">
        <v>1525</v>
      </c>
      <c r="C763">
        <v>0</v>
      </c>
    </row>
    <row r="764" spans="1:3" x14ac:dyDescent="0.25">
      <c r="A764">
        <v>1310</v>
      </c>
      <c r="B764" t="s">
        <v>1527</v>
      </c>
      <c r="C764">
        <v>0</v>
      </c>
    </row>
    <row r="765" spans="1:3" x14ac:dyDescent="0.25">
      <c r="A765">
        <v>1311</v>
      </c>
      <c r="B765" t="s">
        <v>1529</v>
      </c>
      <c r="C765">
        <v>0</v>
      </c>
    </row>
    <row r="766" spans="1:3" x14ac:dyDescent="0.25">
      <c r="A766">
        <v>1312</v>
      </c>
      <c r="B766" t="s">
        <v>1531</v>
      </c>
      <c r="C766">
        <v>0</v>
      </c>
    </row>
    <row r="767" spans="1:3" x14ac:dyDescent="0.25">
      <c r="A767">
        <v>1313</v>
      </c>
      <c r="B767" t="s">
        <v>1533</v>
      </c>
      <c r="C767">
        <v>0</v>
      </c>
    </row>
    <row r="768" spans="1:3" x14ac:dyDescent="0.25">
      <c r="A768">
        <v>1314</v>
      </c>
      <c r="B768" t="s">
        <v>1535</v>
      </c>
      <c r="C768">
        <v>0</v>
      </c>
    </row>
    <row r="769" spans="1:3" x14ac:dyDescent="0.25">
      <c r="A769">
        <v>1315</v>
      </c>
      <c r="B769" t="s">
        <v>1537</v>
      </c>
      <c r="C769">
        <v>0</v>
      </c>
    </row>
    <row r="770" spans="1:3" x14ac:dyDescent="0.25">
      <c r="A770">
        <v>1316</v>
      </c>
      <c r="B770" t="s">
        <v>1539</v>
      </c>
      <c r="C770">
        <v>0</v>
      </c>
    </row>
    <row r="771" spans="1:3" x14ac:dyDescent="0.25">
      <c r="A771">
        <v>1317</v>
      </c>
      <c r="B771" t="s">
        <v>1541</v>
      </c>
      <c r="C771">
        <v>0</v>
      </c>
    </row>
    <row r="772" spans="1:3" x14ac:dyDescent="0.25">
      <c r="A772">
        <v>1320</v>
      </c>
      <c r="B772" t="s">
        <v>1543</v>
      </c>
      <c r="C772">
        <v>0</v>
      </c>
    </row>
    <row r="773" spans="1:3" x14ac:dyDescent="0.25">
      <c r="A773">
        <v>1321</v>
      </c>
      <c r="B773" t="s">
        <v>1545</v>
      </c>
      <c r="C773">
        <v>0</v>
      </c>
    </row>
    <row r="774" spans="1:3" x14ac:dyDescent="0.25">
      <c r="A774">
        <v>1322</v>
      </c>
      <c r="B774" t="s">
        <v>1547</v>
      </c>
      <c r="C774">
        <v>0</v>
      </c>
    </row>
    <row r="775" spans="1:3" x14ac:dyDescent="0.25">
      <c r="A775">
        <v>1323</v>
      </c>
      <c r="B775" t="s">
        <v>1549</v>
      </c>
      <c r="C775">
        <v>0</v>
      </c>
    </row>
    <row r="776" spans="1:3" x14ac:dyDescent="0.25">
      <c r="A776">
        <v>1325</v>
      </c>
      <c r="B776" t="s">
        <v>1551</v>
      </c>
      <c r="C776">
        <v>0</v>
      </c>
    </row>
    <row r="777" spans="1:3" x14ac:dyDescent="0.25">
      <c r="A777">
        <v>1327</v>
      </c>
      <c r="B777" t="s">
        <v>1553</v>
      </c>
      <c r="C777">
        <v>0</v>
      </c>
    </row>
    <row r="778" spans="1:3" x14ac:dyDescent="0.25">
      <c r="A778">
        <v>1328</v>
      </c>
      <c r="B778" t="s">
        <v>1555</v>
      </c>
      <c r="C778">
        <v>0</v>
      </c>
    </row>
    <row r="779" spans="1:3" x14ac:dyDescent="0.25">
      <c r="A779">
        <v>1329</v>
      </c>
      <c r="B779" t="s">
        <v>1557</v>
      </c>
      <c r="C779">
        <v>0</v>
      </c>
    </row>
    <row r="780" spans="1:3" x14ac:dyDescent="0.25">
      <c r="A780">
        <v>1330</v>
      </c>
      <c r="B780" t="s">
        <v>1559</v>
      </c>
      <c r="C780">
        <v>0</v>
      </c>
    </row>
    <row r="781" spans="1:3" x14ac:dyDescent="0.25">
      <c r="A781">
        <v>1331</v>
      </c>
      <c r="B781" t="s">
        <v>1561</v>
      </c>
      <c r="C781">
        <v>0</v>
      </c>
    </row>
    <row r="782" spans="1:3" x14ac:dyDescent="0.25">
      <c r="A782">
        <v>1332</v>
      </c>
      <c r="B782" t="s">
        <v>1563</v>
      </c>
      <c r="C782">
        <v>0</v>
      </c>
    </row>
    <row r="783" spans="1:3" x14ac:dyDescent="0.25">
      <c r="A783">
        <v>1333</v>
      </c>
      <c r="B783" t="s">
        <v>1565</v>
      </c>
      <c r="C783">
        <v>0</v>
      </c>
    </row>
    <row r="784" spans="1:3" x14ac:dyDescent="0.25">
      <c r="A784">
        <v>1335</v>
      </c>
      <c r="B784" t="s">
        <v>1567</v>
      </c>
      <c r="C784">
        <v>0</v>
      </c>
    </row>
    <row r="785" spans="1:3" x14ac:dyDescent="0.25">
      <c r="A785">
        <v>1336</v>
      </c>
      <c r="B785" t="s">
        <v>1569</v>
      </c>
      <c r="C785">
        <v>0</v>
      </c>
    </row>
    <row r="786" spans="1:3" x14ac:dyDescent="0.25">
      <c r="A786">
        <v>1337</v>
      </c>
      <c r="B786" t="s">
        <v>1571</v>
      </c>
      <c r="C786">
        <v>0</v>
      </c>
    </row>
    <row r="787" spans="1:3" x14ac:dyDescent="0.25">
      <c r="A787">
        <v>1338</v>
      </c>
      <c r="B787" t="s">
        <v>1573</v>
      </c>
      <c r="C787">
        <v>0</v>
      </c>
    </row>
    <row r="788" spans="1:3" x14ac:dyDescent="0.25">
      <c r="A788">
        <v>1350</v>
      </c>
      <c r="B788" t="s">
        <v>1575</v>
      </c>
      <c r="C788">
        <v>0</v>
      </c>
    </row>
    <row r="789" spans="1:3" x14ac:dyDescent="0.25">
      <c r="A789">
        <v>1351</v>
      </c>
      <c r="B789" t="s">
        <v>1577</v>
      </c>
      <c r="C789">
        <v>0</v>
      </c>
    </row>
    <row r="790" spans="1:3" x14ac:dyDescent="0.25">
      <c r="A790">
        <v>1352</v>
      </c>
      <c r="B790" t="s">
        <v>1579</v>
      </c>
      <c r="C790">
        <v>0</v>
      </c>
    </row>
    <row r="791" spans="1:3" x14ac:dyDescent="0.25">
      <c r="A791">
        <v>1353</v>
      </c>
      <c r="B791" t="s">
        <v>1581</v>
      </c>
      <c r="C791">
        <v>0</v>
      </c>
    </row>
    <row r="792" spans="1:3" x14ac:dyDescent="0.25">
      <c r="A792">
        <v>1354</v>
      </c>
      <c r="B792" t="s">
        <v>1583</v>
      </c>
      <c r="C792">
        <v>0</v>
      </c>
    </row>
    <row r="793" spans="1:3" x14ac:dyDescent="0.25">
      <c r="A793">
        <v>1355</v>
      </c>
      <c r="B793" t="s">
        <v>1585</v>
      </c>
      <c r="C793">
        <v>0</v>
      </c>
    </row>
    <row r="794" spans="1:3" x14ac:dyDescent="0.25">
      <c r="A794">
        <v>1356</v>
      </c>
      <c r="B794" t="s">
        <v>1587</v>
      </c>
      <c r="C794">
        <v>0</v>
      </c>
    </row>
    <row r="795" spans="1:3" x14ac:dyDescent="0.25">
      <c r="A795">
        <v>1357</v>
      </c>
      <c r="B795" t="s">
        <v>1589</v>
      </c>
      <c r="C795">
        <v>0</v>
      </c>
    </row>
    <row r="796" spans="1:3" x14ac:dyDescent="0.25">
      <c r="A796">
        <v>1359</v>
      </c>
      <c r="B796" t="s">
        <v>1591</v>
      </c>
      <c r="C796">
        <v>0</v>
      </c>
    </row>
    <row r="797" spans="1:3" x14ac:dyDescent="0.25">
      <c r="A797">
        <v>1360</v>
      </c>
      <c r="B797" t="s">
        <v>1593</v>
      </c>
      <c r="C797">
        <v>0</v>
      </c>
    </row>
    <row r="798" spans="1:3" x14ac:dyDescent="0.25">
      <c r="A798">
        <v>1361</v>
      </c>
      <c r="B798" t="s">
        <v>1595</v>
      </c>
      <c r="C798">
        <v>0</v>
      </c>
    </row>
    <row r="799" spans="1:3" x14ac:dyDescent="0.25">
      <c r="A799">
        <v>1362</v>
      </c>
      <c r="B799" t="s">
        <v>1597</v>
      </c>
      <c r="C799">
        <v>0</v>
      </c>
    </row>
    <row r="800" spans="1:3" x14ac:dyDescent="0.25">
      <c r="A800">
        <v>1363</v>
      </c>
      <c r="B800" t="s">
        <v>1599</v>
      </c>
      <c r="C800">
        <v>0</v>
      </c>
    </row>
    <row r="801" spans="1:3" x14ac:dyDescent="0.25">
      <c r="A801">
        <v>1364</v>
      </c>
      <c r="B801" t="s">
        <v>1601</v>
      </c>
      <c r="C801">
        <v>0</v>
      </c>
    </row>
    <row r="802" spans="1:3" x14ac:dyDescent="0.25">
      <c r="A802">
        <v>1365</v>
      </c>
      <c r="B802" t="s">
        <v>1603</v>
      </c>
      <c r="C802">
        <v>0</v>
      </c>
    </row>
    <row r="803" spans="1:3" x14ac:dyDescent="0.25">
      <c r="A803">
        <v>1370</v>
      </c>
      <c r="B803" t="s">
        <v>1605</v>
      </c>
      <c r="C803">
        <v>0</v>
      </c>
    </row>
    <row r="804" spans="1:3" x14ac:dyDescent="0.25">
      <c r="A804">
        <v>1371</v>
      </c>
      <c r="B804" t="s">
        <v>1607</v>
      </c>
      <c r="C804">
        <v>0</v>
      </c>
    </row>
    <row r="805" spans="1:3" x14ac:dyDescent="0.25">
      <c r="A805">
        <v>1372</v>
      </c>
      <c r="B805" t="s">
        <v>1609</v>
      </c>
      <c r="C805">
        <v>0</v>
      </c>
    </row>
    <row r="806" spans="1:3" x14ac:dyDescent="0.25">
      <c r="A806">
        <v>1375</v>
      </c>
      <c r="B806" t="s">
        <v>1611</v>
      </c>
      <c r="C806">
        <v>0</v>
      </c>
    </row>
    <row r="807" spans="1:3" x14ac:dyDescent="0.25">
      <c r="A807">
        <v>1376</v>
      </c>
      <c r="B807" t="s">
        <v>1613</v>
      </c>
      <c r="C807">
        <v>0</v>
      </c>
    </row>
    <row r="808" spans="1:3" x14ac:dyDescent="0.25">
      <c r="A808">
        <v>1377</v>
      </c>
      <c r="B808" t="s">
        <v>1615</v>
      </c>
      <c r="C808">
        <v>0</v>
      </c>
    </row>
    <row r="809" spans="1:3" x14ac:dyDescent="0.25">
      <c r="A809">
        <v>1378</v>
      </c>
      <c r="B809" t="s">
        <v>1617</v>
      </c>
      <c r="C809">
        <v>0</v>
      </c>
    </row>
    <row r="810" spans="1:3" x14ac:dyDescent="0.25">
      <c r="A810">
        <v>1399</v>
      </c>
      <c r="B810" t="s">
        <v>1619</v>
      </c>
      <c r="C810">
        <v>0</v>
      </c>
    </row>
    <row r="811" spans="1:3" x14ac:dyDescent="0.25">
      <c r="A811">
        <v>1400</v>
      </c>
      <c r="B811" t="s">
        <v>1621</v>
      </c>
      <c r="C811">
        <v>0</v>
      </c>
    </row>
    <row r="812" spans="1:3" x14ac:dyDescent="0.25">
      <c r="A812">
        <v>1401</v>
      </c>
      <c r="B812" t="s">
        <v>1623</v>
      </c>
      <c r="C812">
        <v>0</v>
      </c>
    </row>
    <row r="813" spans="1:3" x14ac:dyDescent="0.25">
      <c r="A813">
        <v>1402</v>
      </c>
      <c r="B813" t="s">
        <v>1625</v>
      </c>
      <c r="C813">
        <v>0</v>
      </c>
    </row>
    <row r="814" spans="1:3" x14ac:dyDescent="0.25">
      <c r="A814">
        <v>1403</v>
      </c>
      <c r="B814" t="s">
        <v>1627</v>
      </c>
      <c r="C814">
        <v>0</v>
      </c>
    </row>
    <row r="815" spans="1:3" x14ac:dyDescent="0.25">
      <c r="A815">
        <v>1404</v>
      </c>
      <c r="B815" t="s">
        <v>1629</v>
      </c>
      <c r="C815">
        <v>0</v>
      </c>
    </row>
    <row r="816" spans="1:3" x14ac:dyDescent="0.25">
      <c r="A816">
        <v>1405</v>
      </c>
      <c r="B816" t="s">
        <v>1631</v>
      </c>
      <c r="C816">
        <v>0</v>
      </c>
    </row>
    <row r="817" spans="1:3" x14ac:dyDescent="0.25">
      <c r="A817">
        <v>1406</v>
      </c>
      <c r="B817" t="s">
        <v>1633</v>
      </c>
      <c r="C817">
        <v>0</v>
      </c>
    </row>
    <row r="818" spans="1:3" x14ac:dyDescent="0.25">
      <c r="A818">
        <v>1407</v>
      </c>
      <c r="B818" t="s">
        <v>1635</v>
      </c>
      <c r="C818">
        <v>0</v>
      </c>
    </row>
    <row r="819" spans="1:3" x14ac:dyDescent="0.25">
      <c r="A819">
        <v>1408</v>
      </c>
      <c r="B819" t="s">
        <v>1637</v>
      </c>
      <c r="C819">
        <v>0</v>
      </c>
    </row>
    <row r="820" spans="1:3" x14ac:dyDescent="0.25">
      <c r="A820">
        <v>1409</v>
      </c>
      <c r="B820" t="s">
        <v>1639</v>
      </c>
      <c r="C820">
        <v>0</v>
      </c>
    </row>
    <row r="821" spans="1:3" x14ac:dyDescent="0.25">
      <c r="A821">
        <v>1410</v>
      </c>
      <c r="B821" t="s">
        <v>1641</v>
      </c>
      <c r="C821">
        <v>0</v>
      </c>
    </row>
    <row r="822" spans="1:3" x14ac:dyDescent="0.25">
      <c r="A822">
        <v>1411</v>
      </c>
      <c r="B822" t="s">
        <v>1643</v>
      </c>
      <c r="C822">
        <v>0</v>
      </c>
    </row>
    <row r="823" spans="1:3" x14ac:dyDescent="0.25">
      <c r="A823">
        <v>1412</v>
      </c>
      <c r="B823" t="s">
        <v>1645</v>
      </c>
      <c r="C823">
        <v>0</v>
      </c>
    </row>
    <row r="824" spans="1:3" x14ac:dyDescent="0.25">
      <c r="A824">
        <v>1413</v>
      </c>
      <c r="B824" t="s">
        <v>1647</v>
      </c>
      <c r="C824">
        <v>0</v>
      </c>
    </row>
    <row r="825" spans="1:3" x14ac:dyDescent="0.25">
      <c r="A825">
        <v>1414</v>
      </c>
      <c r="B825" t="s">
        <v>1649</v>
      </c>
      <c r="C825">
        <v>0</v>
      </c>
    </row>
    <row r="826" spans="1:3" x14ac:dyDescent="0.25">
      <c r="A826">
        <v>1415</v>
      </c>
      <c r="B826" t="s">
        <v>1651</v>
      </c>
      <c r="C826">
        <v>0</v>
      </c>
    </row>
    <row r="827" spans="1:3" x14ac:dyDescent="0.25">
      <c r="A827">
        <v>1416</v>
      </c>
      <c r="B827" t="s">
        <v>1653</v>
      </c>
      <c r="C827">
        <v>0</v>
      </c>
    </row>
    <row r="828" spans="1:3" x14ac:dyDescent="0.25">
      <c r="A828">
        <v>1417</v>
      </c>
      <c r="B828" t="s">
        <v>1655</v>
      </c>
      <c r="C828">
        <v>0</v>
      </c>
    </row>
    <row r="829" spans="1:3" x14ac:dyDescent="0.25">
      <c r="A829">
        <v>1418</v>
      </c>
      <c r="B829" t="s">
        <v>1657</v>
      </c>
      <c r="C829">
        <v>0</v>
      </c>
    </row>
    <row r="830" spans="1:3" x14ac:dyDescent="0.25">
      <c r="A830">
        <v>14180</v>
      </c>
      <c r="B830" t="s">
        <v>1659</v>
      </c>
      <c r="C830">
        <v>0</v>
      </c>
    </row>
    <row r="831" spans="1:3" x14ac:dyDescent="0.25">
      <c r="A831">
        <v>14181</v>
      </c>
      <c r="B831" t="s">
        <v>1661</v>
      </c>
      <c r="C831">
        <v>0</v>
      </c>
    </row>
    <row r="832" spans="1:3" x14ac:dyDescent="0.25">
      <c r="A832">
        <v>1419</v>
      </c>
      <c r="B832" t="s">
        <v>1663</v>
      </c>
      <c r="C832">
        <v>0</v>
      </c>
    </row>
    <row r="833" spans="1:3" x14ac:dyDescent="0.25">
      <c r="A833">
        <v>1420</v>
      </c>
      <c r="B833" t="s">
        <v>1665</v>
      </c>
      <c r="C833">
        <v>0</v>
      </c>
    </row>
    <row r="834" spans="1:3" x14ac:dyDescent="0.25">
      <c r="A834">
        <v>1421</v>
      </c>
      <c r="B834" t="s">
        <v>1667</v>
      </c>
      <c r="C834">
        <v>0</v>
      </c>
    </row>
    <row r="835" spans="1:3" x14ac:dyDescent="0.25">
      <c r="A835">
        <v>1423</v>
      </c>
      <c r="B835" t="s">
        <v>1669</v>
      </c>
      <c r="C835">
        <v>0</v>
      </c>
    </row>
    <row r="836" spans="1:3" x14ac:dyDescent="0.25">
      <c r="A836">
        <v>1425</v>
      </c>
      <c r="B836" t="s">
        <v>1671</v>
      </c>
      <c r="C836">
        <v>0</v>
      </c>
    </row>
    <row r="837" spans="1:3" x14ac:dyDescent="0.25">
      <c r="A837">
        <v>1426</v>
      </c>
      <c r="B837" t="s">
        <v>1673</v>
      </c>
      <c r="C837">
        <v>0</v>
      </c>
    </row>
    <row r="838" spans="1:3" x14ac:dyDescent="0.25">
      <c r="A838">
        <v>1427</v>
      </c>
      <c r="B838" t="s">
        <v>1675</v>
      </c>
      <c r="C838">
        <v>0</v>
      </c>
    </row>
    <row r="839" spans="1:3" x14ac:dyDescent="0.25">
      <c r="A839">
        <v>1428</v>
      </c>
      <c r="B839" t="s">
        <v>1677</v>
      </c>
      <c r="C839">
        <v>0</v>
      </c>
    </row>
    <row r="840" spans="1:3" x14ac:dyDescent="0.25">
      <c r="A840">
        <v>1429</v>
      </c>
      <c r="B840" t="s">
        <v>1679</v>
      </c>
      <c r="C840">
        <v>0</v>
      </c>
    </row>
    <row r="841" spans="1:3" x14ac:dyDescent="0.25">
      <c r="A841">
        <v>1430</v>
      </c>
      <c r="B841" t="s">
        <v>1681</v>
      </c>
      <c r="C841">
        <v>0</v>
      </c>
    </row>
    <row r="842" spans="1:3" x14ac:dyDescent="0.25">
      <c r="A842">
        <v>1440</v>
      </c>
      <c r="B842" t="s">
        <v>1683</v>
      </c>
      <c r="C842">
        <v>0</v>
      </c>
    </row>
    <row r="843" spans="1:3" x14ac:dyDescent="0.25">
      <c r="A843">
        <v>1441</v>
      </c>
      <c r="B843" t="s">
        <v>1685</v>
      </c>
      <c r="C843">
        <v>0</v>
      </c>
    </row>
    <row r="844" spans="1:3" x14ac:dyDescent="0.25">
      <c r="A844">
        <v>1443</v>
      </c>
      <c r="B844" t="s">
        <v>1687</v>
      </c>
      <c r="C844">
        <v>0</v>
      </c>
    </row>
    <row r="845" spans="1:3" x14ac:dyDescent="0.25">
      <c r="A845">
        <v>1470</v>
      </c>
      <c r="B845" t="s">
        <v>1689</v>
      </c>
      <c r="C845">
        <v>0</v>
      </c>
    </row>
    <row r="846" spans="1:3" x14ac:dyDescent="0.25">
      <c r="A846">
        <v>1471</v>
      </c>
      <c r="B846" t="s">
        <v>1691</v>
      </c>
      <c r="C846">
        <v>0</v>
      </c>
    </row>
    <row r="847" spans="1:3" x14ac:dyDescent="0.25">
      <c r="A847">
        <v>1472</v>
      </c>
      <c r="B847" t="s">
        <v>1693</v>
      </c>
      <c r="C847">
        <v>0</v>
      </c>
    </row>
    <row r="848" spans="1:3" x14ac:dyDescent="0.25">
      <c r="A848">
        <v>1473</v>
      </c>
      <c r="B848" t="s">
        <v>1695</v>
      </c>
      <c r="C848">
        <v>0</v>
      </c>
    </row>
    <row r="849" spans="1:3" x14ac:dyDescent="0.25">
      <c r="A849">
        <v>1474</v>
      </c>
      <c r="B849" t="s">
        <v>1697</v>
      </c>
      <c r="C849">
        <v>0</v>
      </c>
    </row>
    <row r="850" spans="1:3" x14ac:dyDescent="0.25">
      <c r="A850">
        <v>1475</v>
      </c>
      <c r="B850" t="s">
        <v>1699</v>
      </c>
      <c r="C850">
        <v>0</v>
      </c>
    </row>
    <row r="851" spans="1:3" x14ac:dyDescent="0.25">
      <c r="A851">
        <v>1476</v>
      </c>
      <c r="B851" t="s">
        <v>1701</v>
      </c>
      <c r="C851">
        <v>0</v>
      </c>
    </row>
    <row r="852" spans="1:3" x14ac:dyDescent="0.25">
      <c r="A852">
        <v>1477</v>
      </c>
      <c r="B852" t="s">
        <v>1703</v>
      </c>
      <c r="C852">
        <v>0</v>
      </c>
    </row>
    <row r="853" spans="1:3" x14ac:dyDescent="0.25">
      <c r="A853">
        <v>1478</v>
      </c>
      <c r="B853" t="s">
        <v>1705</v>
      </c>
      <c r="C853">
        <v>0</v>
      </c>
    </row>
    <row r="854" spans="1:3" x14ac:dyDescent="0.25">
      <c r="A854">
        <v>1480</v>
      </c>
      <c r="B854" t="s">
        <v>1231</v>
      </c>
      <c r="C854">
        <v>0</v>
      </c>
    </row>
    <row r="855" spans="1:3" x14ac:dyDescent="0.25">
      <c r="A855">
        <v>1481</v>
      </c>
      <c r="B855" t="s">
        <v>1708</v>
      </c>
      <c r="C855">
        <v>0</v>
      </c>
    </row>
    <row r="856" spans="1:3" x14ac:dyDescent="0.25">
      <c r="A856">
        <v>1496</v>
      </c>
      <c r="B856" t="s">
        <v>1710</v>
      </c>
      <c r="C856">
        <v>0</v>
      </c>
    </row>
    <row r="857" spans="1:3" x14ac:dyDescent="0.25">
      <c r="A857">
        <v>1497</v>
      </c>
      <c r="B857" t="s">
        <v>1712</v>
      </c>
      <c r="C857">
        <v>0</v>
      </c>
    </row>
    <row r="858" spans="1:3" x14ac:dyDescent="0.25">
      <c r="A858">
        <v>1498</v>
      </c>
      <c r="B858" t="s">
        <v>1714</v>
      </c>
      <c r="C858">
        <v>0</v>
      </c>
    </row>
    <row r="859" spans="1:3" x14ac:dyDescent="0.25">
      <c r="A859">
        <v>1499</v>
      </c>
      <c r="B859" t="s">
        <v>1716</v>
      </c>
      <c r="C859">
        <v>0</v>
      </c>
    </row>
    <row r="860" spans="1:3" x14ac:dyDescent="0.25">
      <c r="A860">
        <v>1501</v>
      </c>
      <c r="B860" t="s">
        <v>1718</v>
      </c>
      <c r="C860">
        <v>0</v>
      </c>
    </row>
    <row r="861" spans="1:3" x14ac:dyDescent="0.25">
      <c r="A861">
        <v>1502</v>
      </c>
      <c r="B861" t="s">
        <v>1720</v>
      </c>
      <c r="C861">
        <v>0</v>
      </c>
    </row>
    <row r="862" spans="1:3" x14ac:dyDescent="0.25">
      <c r="A862">
        <v>1503</v>
      </c>
      <c r="B862" t="s">
        <v>1722</v>
      </c>
      <c r="C862">
        <v>0</v>
      </c>
    </row>
    <row r="863" spans="1:3" x14ac:dyDescent="0.25">
      <c r="A863">
        <v>1504</v>
      </c>
      <c r="B863" t="s">
        <v>1724</v>
      </c>
      <c r="C863">
        <v>0</v>
      </c>
    </row>
    <row r="864" spans="1:3" x14ac:dyDescent="0.25">
      <c r="A864">
        <v>1505</v>
      </c>
      <c r="B864" t="s">
        <v>1726</v>
      </c>
      <c r="C864">
        <v>0</v>
      </c>
    </row>
    <row r="865" spans="1:3" x14ac:dyDescent="0.25">
      <c r="A865">
        <v>1506</v>
      </c>
      <c r="B865" t="s">
        <v>1728</v>
      </c>
      <c r="C865">
        <v>0</v>
      </c>
    </row>
    <row r="866" spans="1:3" x14ac:dyDescent="0.25">
      <c r="A866">
        <v>1507</v>
      </c>
      <c r="B866" t="s">
        <v>1730</v>
      </c>
      <c r="C866">
        <v>0</v>
      </c>
    </row>
    <row r="867" spans="1:3" x14ac:dyDescent="0.25">
      <c r="A867">
        <v>1508</v>
      </c>
      <c r="B867" t="s">
        <v>1732</v>
      </c>
      <c r="C867">
        <v>0</v>
      </c>
    </row>
    <row r="868" spans="1:3" x14ac:dyDescent="0.25">
      <c r="A868">
        <v>1509</v>
      </c>
      <c r="B868" t="s">
        <v>1734</v>
      </c>
      <c r="C868">
        <v>0</v>
      </c>
    </row>
    <row r="869" spans="1:3" x14ac:dyDescent="0.25">
      <c r="A869">
        <v>15091</v>
      </c>
      <c r="B869" t="s">
        <v>1736</v>
      </c>
      <c r="C869">
        <v>0</v>
      </c>
    </row>
    <row r="870" spans="1:3" x14ac:dyDescent="0.25">
      <c r="A870">
        <v>15092</v>
      </c>
      <c r="B870" t="s">
        <v>1738</v>
      </c>
      <c r="C870">
        <v>0</v>
      </c>
    </row>
    <row r="871" spans="1:3" x14ac:dyDescent="0.25">
      <c r="A871">
        <v>15093</v>
      </c>
      <c r="B871" t="s">
        <v>1740</v>
      </c>
      <c r="C871">
        <v>0</v>
      </c>
    </row>
    <row r="872" spans="1:3" x14ac:dyDescent="0.25">
      <c r="A872">
        <v>15094</v>
      </c>
      <c r="B872" t="s">
        <v>1742</v>
      </c>
      <c r="C872">
        <v>0</v>
      </c>
    </row>
    <row r="873" spans="1:3" x14ac:dyDescent="0.25">
      <c r="A873">
        <v>15095</v>
      </c>
      <c r="B873" t="s">
        <v>1744</v>
      </c>
      <c r="C873">
        <v>0</v>
      </c>
    </row>
    <row r="874" spans="1:3" x14ac:dyDescent="0.25">
      <c r="A874">
        <v>1510</v>
      </c>
      <c r="B874" t="s">
        <v>1746</v>
      </c>
      <c r="C874">
        <v>0</v>
      </c>
    </row>
    <row r="875" spans="1:3" x14ac:dyDescent="0.25">
      <c r="A875">
        <v>1511</v>
      </c>
      <c r="B875" t="s">
        <v>1748</v>
      </c>
      <c r="C875">
        <v>0</v>
      </c>
    </row>
    <row r="876" spans="1:3" x14ac:dyDescent="0.25">
      <c r="A876">
        <v>1512</v>
      </c>
      <c r="B876" t="s">
        <v>1750</v>
      </c>
      <c r="C876">
        <v>0</v>
      </c>
    </row>
    <row r="877" spans="1:3" x14ac:dyDescent="0.25">
      <c r="A877">
        <v>1513</v>
      </c>
      <c r="B877" t="s">
        <v>1752</v>
      </c>
      <c r="C877">
        <v>0</v>
      </c>
    </row>
    <row r="878" spans="1:3" x14ac:dyDescent="0.25">
      <c r="A878">
        <v>15131</v>
      </c>
      <c r="B878" t="s">
        <v>1754</v>
      </c>
      <c r="C878">
        <v>0</v>
      </c>
    </row>
    <row r="879" spans="1:3" x14ac:dyDescent="0.25">
      <c r="A879">
        <v>15132</v>
      </c>
      <c r="B879" t="s">
        <v>1756</v>
      </c>
      <c r="C879">
        <v>0</v>
      </c>
    </row>
    <row r="880" spans="1:3" x14ac:dyDescent="0.25">
      <c r="A880">
        <v>1514</v>
      </c>
      <c r="B880" t="s">
        <v>1758</v>
      </c>
      <c r="C880">
        <v>0</v>
      </c>
    </row>
    <row r="881" spans="1:3" x14ac:dyDescent="0.25">
      <c r="A881">
        <v>15140</v>
      </c>
      <c r="B881" t="s">
        <v>1760</v>
      </c>
      <c r="C881">
        <v>0</v>
      </c>
    </row>
    <row r="882" spans="1:3" x14ac:dyDescent="0.25">
      <c r="A882">
        <v>15141</v>
      </c>
      <c r="B882" t="s">
        <v>1762</v>
      </c>
      <c r="C882">
        <v>0</v>
      </c>
    </row>
    <row r="883" spans="1:3" x14ac:dyDescent="0.25">
      <c r="A883">
        <v>15142</v>
      </c>
      <c r="B883" t="s">
        <v>1764</v>
      </c>
      <c r="C883">
        <v>0</v>
      </c>
    </row>
    <row r="884" spans="1:3" x14ac:dyDescent="0.25">
      <c r="A884">
        <v>15143</v>
      </c>
      <c r="B884" t="s">
        <v>1766</v>
      </c>
      <c r="C884">
        <v>0</v>
      </c>
    </row>
    <row r="885" spans="1:3" x14ac:dyDescent="0.25">
      <c r="A885">
        <v>15144</v>
      </c>
      <c r="B885" t="s">
        <v>1768</v>
      </c>
      <c r="C885">
        <v>0</v>
      </c>
    </row>
    <row r="886" spans="1:3" x14ac:dyDescent="0.25">
      <c r="A886">
        <v>15145</v>
      </c>
      <c r="B886" t="s">
        <v>1770</v>
      </c>
      <c r="C886">
        <v>0</v>
      </c>
    </row>
    <row r="887" spans="1:3" x14ac:dyDescent="0.25">
      <c r="A887">
        <v>15146</v>
      </c>
      <c r="B887" t="s">
        <v>1772</v>
      </c>
      <c r="C887">
        <v>0</v>
      </c>
    </row>
    <row r="888" spans="1:3" x14ac:dyDescent="0.25">
      <c r="A888">
        <v>15147</v>
      </c>
      <c r="B888" t="s">
        <v>1774</v>
      </c>
      <c r="C888">
        <v>0</v>
      </c>
    </row>
    <row r="889" spans="1:3" x14ac:dyDescent="0.25">
      <c r="A889">
        <v>1515</v>
      </c>
      <c r="B889" t="s">
        <v>1776</v>
      </c>
      <c r="C889">
        <v>0</v>
      </c>
    </row>
    <row r="890" spans="1:3" x14ac:dyDescent="0.25">
      <c r="A890">
        <v>1516</v>
      </c>
      <c r="B890" t="s">
        <v>1778</v>
      </c>
      <c r="C890">
        <v>0</v>
      </c>
    </row>
    <row r="891" spans="1:3" x14ac:dyDescent="0.25">
      <c r="A891">
        <v>1517</v>
      </c>
      <c r="B891" t="s">
        <v>1780</v>
      </c>
      <c r="C891">
        <v>0</v>
      </c>
    </row>
    <row r="892" spans="1:3" x14ac:dyDescent="0.25">
      <c r="A892">
        <v>1518</v>
      </c>
      <c r="B892" t="s">
        <v>1782</v>
      </c>
      <c r="C892">
        <v>0</v>
      </c>
    </row>
    <row r="893" spans="1:3" x14ac:dyDescent="0.25">
      <c r="A893">
        <v>1519</v>
      </c>
      <c r="B893" t="s">
        <v>1784</v>
      </c>
      <c r="C893">
        <v>0</v>
      </c>
    </row>
    <row r="894" spans="1:3" x14ac:dyDescent="0.25">
      <c r="A894">
        <v>1520</v>
      </c>
      <c r="B894" t="s">
        <v>1786</v>
      </c>
      <c r="C894">
        <v>0</v>
      </c>
    </row>
    <row r="895" spans="1:3" x14ac:dyDescent="0.25">
      <c r="A895">
        <v>1521</v>
      </c>
      <c r="B895" t="s">
        <v>1788</v>
      </c>
      <c r="C895">
        <v>0</v>
      </c>
    </row>
    <row r="896" spans="1:3" x14ac:dyDescent="0.25">
      <c r="A896">
        <v>1522</v>
      </c>
      <c r="B896" t="s">
        <v>1790</v>
      </c>
      <c r="C896">
        <v>0</v>
      </c>
    </row>
    <row r="897" spans="1:3" x14ac:dyDescent="0.25">
      <c r="A897">
        <v>1523</v>
      </c>
      <c r="B897" t="s">
        <v>1792</v>
      </c>
      <c r="C897">
        <v>0</v>
      </c>
    </row>
    <row r="898" spans="1:3" x14ac:dyDescent="0.25">
      <c r="A898">
        <v>1524</v>
      </c>
      <c r="B898" t="s">
        <v>1794</v>
      </c>
      <c r="C898">
        <v>0</v>
      </c>
    </row>
    <row r="899" spans="1:3" x14ac:dyDescent="0.25">
      <c r="A899">
        <v>1525</v>
      </c>
      <c r="B899" t="s">
        <v>1796</v>
      </c>
      <c r="C899">
        <v>0</v>
      </c>
    </row>
    <row r="900" spans="1:3" x14ac:dyDescent="0.25">
      <c r="A900">
        <v>1526</v>
      </c>
      <c r="B900" t="s">
        <v>1798</v>
      </c>
      <c r="C900">
        <v>0</v>
      </c>
    </row>
    <row r="901" spans="1:3" x14ac:dyDescent="0.25">
      <c r="A901">
        <v>1527</v>
      </c>
      <c r="B901" t="s">
        <v>1800</v>
      </c>
      <c r="C901">
        <v>0</v>
      </c>
    </row>
    <row r="902" spans="1:3" x14ac:dyDescent="0.25">
      <c r="A902">
        <v>1529</v>
      </c>
      <c r="B902" t="s">
        <v>1802</v>
      </c>
      <c r="C902">
        <v>0</v>
      </c>
    </row>
    <row r="903" spans="1:3" x14ac:dyDescent="0.25">
      <c r="A903">
        <v>1530</v>
      </c>
      <c r="B903" t="s">
        <v>1804</v>
      </c>
      <c r="C903">
        <v>0</v>
      </c>
    </row>
    <row r="904" spans="1:3" x14ac:dyDescent="0.25">
      <c r="A904">
        <v>1531</v>
      </c>
      <c r="B904" t="s">
        <v>1806</v>
      </c>
      <c r="C904">
        <v>0</v>
      </c>
    </row>
    <row r="905" spans="1:3" x14ac:dyDescent="0.25">
      <c r="A905">
        <v>1532</v>
      </c>
      <c r="B905" t="s">
        <v>1808</v>
      </c>
      <c r="C905">
        <v>0</v>
      </c>
    </row>
    <row r="906" spans="1:3" x14ac:dyDescent="0.25">
      <c r="A906">
        <v>1533</v>
      </c>
      <c r="B906" t="s">
        <v>1810</v>
      </c>
      <c r="C906">
        <v>0</v>
      </c>
    </row>
    <row r="907" spans="1:3" x14ac:dyDescent="0.25">
      <c r="A907">
        <v>1534</v>
      </c>
      <c r="B907" t="s">
        <v>1812</v>
      </c>
      <c r="C907">
        <v>0</v>
      </c>
    </row>
    <row r="908" spans="1:3" x14ac:dyDescent="0.25">
      <c r="A908">
        <v>1535</v>
      </c>
      <c r="B908" t="s">
        <v>1814</v>
      </c>
      <c r="C908">
        <v>0</v>
      </c>
    </row>
    <row r="909" spans="1:3" x14ac:dyDescent="0.25">
      <c r="A909">
        <v>1536</v>
      </c>
      <c r="B909" t="s">
        <v>1816</v>
      </c>
      <c r="C909">
        <v>0</v>
      </c>
    </row>
    <row r="910" spans="1:3" x14ac:dyDescent="0.25">
      <c r="A910">
        <v>1537</v>
      </c>
      <c r="B910" t="s">
        <v>1818</v>
      </c>
      <c r="C910">
        <v>0</v>
      </c>
    </row>
    <row r="911" spans="1:3" x14ac:dyDescent="0.25">
      <c r="A911">
        <v>1539</v>
      </c>
      <c r="B911" t="s">
        <v>1820</v>
      </c>
      <c r="C911">
        <v>0</v>
      </c>
    </row>
    <row r="912" spans="1:3" x14ac:dyDescent="0.25">
      <c r="A912">
        <v>1540</v>
      </c>
      <c r="B912" t="s">
        <v>1822</v>
      </c>
      <c r="C912">
        <v>0</v>
      </c>
    </row>
    <row r="913" spans="1:3" x14ac:dyDescent="0.25">
      <c r="A913">
        <v>1542</v>
      </c>
      <c r="B913" t="s">
        <v>1824</v>
      </c>
      <c r="C913">
        <v>0</v>
      </c>
    </row>
    <row r="914" spans="1:3" x14ac:dyDescent="0.25">
      <c r="A914">
        <v>1543</v>
      </c>
      <c r="B914" t="s">
        <v>1826</v>
      </c>
      <c r="C914">
        <v>0</v>
      </c>
    </row>
    <row r="915" spans="1:3" x14ac:dyDescent="0.25">
      <c r="A915">
        <v>1544</v>
      </c>
      <c r="B915" t="s">
        <v>1828</v>
      </c>
      <c r="C915">
        <v>0</v>
      </c>
    </row>
    <row r="916" spans="1:3" x14ac:dyDescent="0.25">
      <c r="A916">
        <v>1545</v>
      </c>
      <c r="B916" t="s">
        <v>1830</v>
      </c>
      <c r="C916">
        <v>0</v>
      </c>
    </row>
    <row r="917" spans="1:3" x14ac:dyDescent="0.25">
      <c r="A917">
        <v>1546</v>
      </c>
      <c r="B917" t="s">
        <v>1832</v>
      </c>
      <c r="C917">
        <v>0</v>
      </c>
    </row>
    <row r="918" spans="1:3" x14ac:dyDescent="0.25">
      <c r="A918">
        <v>1547</v>
      </c>
      <c r="B918" t="s">
        <v>1834</v>
      </c>
      <c r="C918">
        <v>0</v>
      </c>
    </row>
    <row r="919" spans="1:3" x14ac:dyDescent="0.25">
      <c r="A919">
        <v>1548</v>
      </c>
      <c r="B919" t="s">
        <v>1836</v>
      </c>
      <c r="C919">
        <v>0</v>
      </c>
    </row>
    <row r="920" spans="1:3" x14ac:dyDescent="0.25">
      <c r="A920">
        <v>1549</v>
      </c>
      <c r="B920" t="s">
        <v>1838</v>
      </c>
      <c r="C920">
        <v>0</v>
      </c>
    </row>
    <row r="921" spans="1:3" x14ac:dyDescent="0.25">
      <c r="A921">
        <v>1550</v>
      </c>
      <c r="B921" t="s">
        <v>1840</v>
      </c>
      <c r="C921">
        <v>0</v>
      </c>
    </row>
    <row r="922" spans="1:3" x14ac:dyDescent="0.25">
      <c r="A922">
        <v>1551</v>
      </c>
      <c r="B922" t="s">
        <v>1842</v>
      </c>
      <c r="C922">
        <v>0</v>
      </c>
    </row>
    <row r="923" spans="1:3" x14ac:dyDescent="0.25">
      <c r="A923">
        <v>1552</v>
      </c>
      <c r="B923" t="s">
        <v>1844</v>
      </c>
      <c r="C923">
        <v>0</v>
      </c>
    </row>
    <row r="924" spans="1:3" x14ac:dyDescent="0.25">
      <c r="A924">
        <v>1553</v>
      </c>
      <c r="B924" t="s">
        <v>1846</v>
      </c>
      <c r="C924">
        <v>0</v>
      </c>
    </row>
    <row r="925" spans="1:3" x14ac:dyDescent="0.25">
      <c r="A925">
        <v>1554</v>
      </c>
      <c r="B925" t="s">
        <v>1848</v>
      </c>
      <c r="C925">
        <v>0</v>
      </c>
    </row>
    <row r="926" spans="1:3" x14ac:dyDescent="0.25">
      <c r="A926">
        <v>1555</v>
      </c>
      <c r="B926" t="s">
        <v>1850</v>
      </c>
      <c r="C926">
        <v>0</v>
      </c>
    </row>
    <row r="927" spans="1:3" x14ac:dyDescent="0.25">
      <c r="A927">
        <v>1556</v>
      </c>
      <c r="B927" t="s">
        <v>1852</v>
      </c>
      <c r="C927">
        <v>0</v>
      </c>
    </row>
    <row r="928" spans="1:3" x14ac:dyDescent="0.25">
      <c r="A928">
        <v>1557</v>
      </c>
      <c r="B928" t="s">
        <v>1854</v>
      </c>
      <c r="C928">
        <v>0</v>
      </c>
    </row>
    <row r="929" spans="1:3" x14ac:dyDescent="0.25">
      <c r="A929">
        <v>1558</v>
      </c>
      <c r="B929" t="s">
        <v>1856</v>
      </c>
      <c r="C929">
        <v>0</v>
      </c>
    </row>
    <row r="930" spans="1:3" x14ac:dyDescent="0.25">
      <c r="A930">
        <v>1559</v>
      </c>
      <c r="B930" t="s">
        <v>1858</v>
      </c>
      <c r="C930">
        <v>0</v>
      </c>
    </row>
    <row r="931" spans="1:3" x14ac:dyDescent="0.25">
      <c r="A931">
        <v>1560</v>
      </c>
      <c r="B931" t="s">
        <v>1860</v>
      </c>
      <c r="C931">
        <v>0</v>
      </c>
    </row>
    <row r="932" spans="1:3" x14ac:dyDescent="0.25">
      <c r="A932">
        <v>1561</v>
      </c>
      <c r="B932" t="s">
        <v>1862</v>
      </c>
      <c r="C932">
        <v>0</v>
      </c>
    </row>
    <row r="933" spans="1:3" x14ac:dyDescent="0.25">
      <c r="A933">
        <v>1562</v>
      </c>
      <c r="B933" t="s">
        <v>1864</v>
      </c>
      <c r="C933">
        <v>0</v>
      </c>
    </row>
    <row r="934" spans="1:3" x14ac:dyDescent="0.25">
      <c r="A934">
        <v>1563</v>
      </c>
      <c r="B934" t="s">
        <v>1866</v>
      </c>
      <c r="C934">
        <v>0</v>
      </c>
    </row>
    <row r="935" spans="1:3" x14ac:dyDescent="0.25">
      <c r="A935">
        <v>1564</v>
      </c>
      <c r="B935" t="s">
        <v>1868</v>
      </c>
      <c r="C935">
        <v>0</v>
      </c>
    </row>
    <row r="936" spans="1:3" x14ac:dyDescent="0.25">
      <c r="A936">
        <v>1565</v>
      </c>
      <c r="B936" t="s">
        <v>1870</v>
      </c>
      <c r="C936">
        <v>0</v>
      </c>
    </row>
    <row r="937" spans="1:3" x14ac:dyDescent="0.25">
      <c r="A937">
        <v>1566</v>
      </c>
      <c r="B937" t="s">
        <v>1872</v>
      </c>
      <c r="C937">
        <v>0</v>
      </c>
    </row>
    <row r="938" spans="1:3" x14ac:dyDescent="0.25">
      <c r="A938">
        <v>1567</v>
      </c>
      <c r="B938" t="s">
        <v>1874</v>
      </c>
      <c r="C938">
        <v>0</v>
      </c>
    </row>
    <row r="939" spans="1:3" x14ac:dyDescent="0.25">
      <c r="A939">
        <v>1568</v>
      </c>
      <c r="B939" t="s">
        <v>1876</v>
      </c>
      <c r="C939">
        <v>0</v>
      </c>
    </row>
    <row r="940" spans="1:3" x14ac:dyDescent="0.25">
      <c r="A940">
        <v>1569</v>
      </c>
      <c r="B940" t="s">
        <v>1878</v>
      </c>
      <c r="C940">
        <v>0</v>
      </c>
    </row>
    <row r="941" spans="1:3" x14ac:dyDescent="0.25">
      <c r="A941">
        <v>1570</v>
      </c>
      <c r="B941" t="s">
        <v>1880</v>
      </c>
      <c r="C941">
        <v>0</v>
      </c>
    </row>
    <row r="942" spans="1:3" x14ac:dyDescent="0.25">
      <c r="A942">
        <v>1571</v>
      </c>
      <c r="B942" t="s">
        <v>1882</v>
      </c>
      <c r="C942">
        <v>0</v>
      </c>
    </row>
    <row r="943" spans="1:3" x14ac:dyDescent="0.25">
      <c r="A943">
        <v>1572</v>
      </c>
      <c r="B943" t="s">
        <v>1884</v>
      </c>
      <c r="C943">
        <v>0</v>
      </c>
    </row>
    <row r="944" spans="1:3" x14ac:dyDescent="0.25">
      <c r="A944">
        <v>1573</v>
      </c>
      <c r="B944" t="s">
        <v>1886</v>
      </c>
      <c r="C944">
        <v>0</v>
      </c>
    </row>
    <row r="945" spans="1:3" x14ac:dyDescent="0.25">
      <c r="A945">
        <v>1574</v>
      </c>
      <c r="B945" t="s">
        <v>1888</v>
      </c>
      <c r="C945">
        <v>0</v>
      </c>
    </row>
    <row r="946" spans="1:3" x14ac:dyDescent="0.25">
      <c r="A946">
        <v>1575</v>
      </c>
      <c r="B946" t="s">
        <v>1890</v>
      </c>
      <c r="C946">
        <v>0</v>
      </c>
    </row>
    <row r="947" spans="1:3" x14ac:dyDescent="0.25">
      <c r="A947">
        <v>1576</v>
      </c>
      <c r="B947" t="s">
        <v>1892</v>
      </c>
      <c r="C947">
        <v>0</v>
      </c>
    </row>
    <row r="948" spans="1:3" x14ac:dyDescent="0.25">
      <c r="A948">
        <v>1577</v>
      </c>
      <c r="B948" t="s">
        <v>1894</v>
      </c>
      <c r="C948">
        <v>0</v>
      </c>
    </row>
    <row r="949" spans="1:3" x14ac:dyDescent="0.25">
      <c r="A949">
        <v>1578</v>
      </c>
      <c r="B949" t="s">
        <v>1896</v>
      </c>
      <c r="C949">
        <v>0</v>
      </c>
    </row>
    <row r="950" spans="1:3" x14ac:dyDescent="0.25">
      <c r="A950">
        <v>1579</v>
      </c>
      <c r="B950" t="s">
        <v>1898</v>
      </c>
      <c r="C950">
        <v>0</v>
      </c>
    </row>
    <row r="951" spans="1:3" x14ac:dyDescent="0.25">
      <c r="A951">
        <v>1580</v>
      </c>
      <c r="B951" t="s">
        <v>1900</v>
      </c>
      <c r="C951">
        <v>0</v>
      </c>
    </row>
    <row r="952" spans="1:3" x14ac:dyDescent="0.25">
      <c r="A952">
        <v>15801</v>
      </c>
      <c r="B952" t="s">
        <v>1902</v>
      </c>
      <c r="C952">
        <v>0</v>
      </c>
    </row>
    <row r="953" spans="1:3" x14ac:dyDescent="0.25">
      <c r="A953">
        <v>15802</v>
      </c>
      <c r="B953" t="s">
        <v>1904</v>
      </c>
      <c r="C953">
        <v>0</v>
      </c>
    </row>
    <row r="954" spans="1:3" x14ac:dyDescent="0.25">
      <c r="A954">
        <v>15803</v>
      </c>
      <c r="B954" t="s">
        <v>1906</v>
      </c>
      <c r="C954">
        <v>0</v>
      </c>
    </row>
    <row r="955" spans="1:3" x14ac:dyDescent="0.25">
      <c r="A955">
        <v>15804</v>
      </c>
      <c r="B955" t="s">
        <v>1908</v>
      </c>
      <c r="C955">
        <v>0</v>
      </c>
    </row>
    <row r="956" spans="1:3" x14ac:dyDescent="0.25">
      <c r="A956">
        <v>15805</v>
      </c>
      <c r="B956" t="s">
        <v>1910</v>
      </c>
      <c r="C956">
        <v>0</v>
      </c>
    </row>
    <row r="957" spans="1:3" x14ac:dyDescent="0.25">
      <c r="A957">
        <v>1581</v>
      </c>
      <c r="B957" t="s">
        <v>1912</v>
      </c>
      <c r="C957">
        <v>0</v>
      </c>
    </row>
    <row r="958" spans="1:3" x14ac:dyDescent="0.25">
      <c r="A958">
        <v>1582</v>
      </c>
      <c r="B958" t="s">
        <v>1898</v>
      </c>
      <c r="C958">
        <v>0</v>
      </c>
    </row>
    <row r="959" spans="1:3" x14ac:dyDescent="0.25">
      <c r="A959">
        <v>1583</v>
      </c>
      <c r="B959" t="s">
        <v>1915</v>
      </c>
      <c r="C959">
        <v>0</v>
      </c>
    </row>
    <row r="960" spans="1:3" x14ac:dyDescent="0.25">
      <c r="A960">
        <v>1584</v>
      </c>
      <c r="B960" t="s">
        <v>1917</v>
      </c>
      <c r="C960">
        <v>0</v>
      </c>
    </row>
    <row r="961" spans="1:3" x14ac:dyDescent="0.25">
      <c r="A961">
        <v>1585</v>
      </c>
      <c r="B961" t="s">
        <v>1919</v>
      </c>
      <c r="C961">
        <v>0</v>
      </c>
    </row>
    <row r="962" spans="1:3" x14ac:dyDescent="0.25">
      <c r="A962">
        <v>1586</v>
      </c>
      <c r="B962" t="s">
        <v>1921</v>
      </c>
      <c r="C962">
        <v>0</v>
      </c>
    </row>
    <row r="963" spans="1:3" x14ac:dyDescent="0.25">
      <c r="A963">
        <v>1587</v>
      </c>
      <c r="B963" t="s">
        <v>1923</v>
      </c>
      <c r="C963">
        <v>0</v>
      </c>
    </row>
    <row r="964" spans="1:3" x14ac:dyDescent="0.25">
      <c r="A964">
        <v>1588</v>
      </c>
      <c r="B964" t="s">
        <v>1925</v>
      </c>
      <c r="C964">
        <v>0</v>
      </c>
    </row>
    <row r="965" spans="1:3" x14ac:dyDescent="0.25">
      <c r="A965">
        <v>1589</v>
      </c>
      <c r="B965" t="s">
        <v>1927</v>
      </c>
      <c r="C965">
        <v>0</v>
      </c>
    </row>
    <row r="966" spans="1:3" x14ac:dyDescent="0.25">
      <c r="A966">
        <v>1590</v>
      </c>
      <c r="B966" t="s">
        <v>1929</v>
      </c>
      <c r="C966">
        <v>0</v>
      </c>
    </row>
    <row r="967" spans="1:3" x14ac:dyDescent="0.25">
      <c r="A967">
        <v>1591</v>
      </c>
      <c r="B967" t="s">
        <v>1931</v>
      </c>
      <c r="C967">
        <v>0</v>
      </c>
    </row>
    <row r="968" spans="1:3" x14ac:dyDescent="0.25">
      <c r="A968">
        <v>1592</v>
      </c>
      <c r="B968" t="s">
        <v>1933</v>
      </c>
      <c r="C968">
        <v>0</v>
      </c>
    </row>
    <row r="969" spans="1:3" x14ac:dyDescent="0.25">
      <c r="A969">
        <v>1593</v>
      </c>
      <c r="B969" t="s">
        <v>1935</v>
      </c>
      <c r="C969">
        <v>0</v>
      </c>
    </row>
    <row r="970" spans="1:3" x14ac:dyDescent="0.25">
      <c r="A970">
        <v>1594</v>
      </c>
      <c r="B970" t="s">
        <v>1937</v>
      </c>
      <c r="C970">
        <v>0</v>
      </c>
    </row>
    <row r="971" spans="1:3" x14ac:dyDescent="0.25">
      <c r="A971">
        <v>1595</v>
      </c>
      <c r="B971" t="s">
        <v>1939</v>
      </c>
      <c r="C971">
        <v>0</v>
      </c>
    </row>
    <row r="972" spans="1:3" x14ac:dyDescent="0.25">
      <c r="A972">
        <v>15951</v>
      </c>
      <c r="B972" t="s">
        <v>1941</v>
      </c>
      <c r="C972">
        <v>0</v>
      </c>
    </row>
    <row r="973" spans="1:3" x14ac:dyDescent="0.25">
      <c r="A973">
        <v>15952</v>
      </c>
      <c r="B973" t="s">
        <v>1943</v>
      </c>
      <c r="C973">
        <v>0</v>
      </c>
    </row>
    <row r="974" spans="1:3" x14ac:dyDescent="0.25">
      <c r="A974">
        <v>15953</v>
      </c>
      <c r="B974" t="s">
        <v>1945</v>
      </c>
      <c r="C974">
        <v>0</v>
      </c>
    </row>
    <row r="975" spans="1:3" x14ac:dyDescent="0.25">
      <c r="A975">
        <v>15954</v>
      </c>
      <c r="B975" t="s">
        <v>1947</v>
      </c>
      <c r="C975">
        <v>0</v>
      </c>
    </row>
    <row r="976" spans="1:3" x14ac:dyDescent="0.25">
      <c r="A976">
        <v>15955</v>
      </c>
      <c r="B976" t="s">
        <v>1949</v>
      </c>
      <c r="C976">
        <v>0</v>
      </c>
    </row>
    <row r="977" spans="1:3" x14ac:dyDescent="0.25">
      <c r="A977">
        <v>15956</v>
      </c>
      <c r="B977" t="s">
        <v>1951</v>
      </c>
      <c r="C977">
        <v>0</v>
      </c>
    </row>
    <row r="978" spans="1:3" x14ac:dyDescent="0.25">
      <c r="A978">
        <v>15957</v>
      </c>
      <c r="B978" t="s">
        <v>1953</v>
      </c>
      <c r="C978">
        <v>0</v>
      </c>
    </row>
    <row r="979" spans="1:3" x14ac:dyDescent="0.25">
      <c r="A979">
        <v>15958</v>
      </c>
      <c r="B979" t="s">
        <v>1955</v>
      </c>
      <c r="C979">
        <v>0</v>
      </c>
    </row>
    <row r="980" spans="1:3" x14ac:dyDescent="0.25">
      <c r="A980">
        <v>15959</v>
      </c>
      <c r="B980" t="s">
        <v>1957</v>
      </c>
      <c r="C980">
        <v>0</v>
      </c>
    </row>
    <row r="981" spans="1:3" x14ac:dyDescent="0.25">
      <c r="A981">
        <v>15960</v>
      </c>
      <c r="B981" t="s">
        <v>1959</v>
      </c>
      <c r="C981">
        <v>0</v>
      </c>
    </row>
    <row r="982" spans="1:3" x14ac:dyDescent="0.25">
      <c r="A982">
        <v>15961</v>
      </c>
      <c r="B982" t="s">
        <v>1961</v>
      </c>
      <c r="C982">
        <v>0</v>
      </c>
    </row>
    <row r="983" spans="1:3" x14ac:dyDescent="0.25">
      <c r="A983">
        <v>15962</v>
      </c>
      <c r="B983" t="s">
        <v>1963</v>
      </c>
      <c r="C983">
        <v>0</v>
      </c>
    </row>
    <row r="984" spans="1:3" x14ac:dyDescent="0.25">
      <c r="A984">
        <v>15963</v>
      </c>
      <c r="B984" t="s">
        <v>1965</v>
      </c>
      <c r="C984">
        <v>0</v>
      </c>
    </row>
    <row r="985" spans="1:3" x14ac:dyDescent="0.25">
      <c r="A985">
        <v>15964</v>
      </c>
      <c r="B985" t="s">
        <v>1967</v>
      </c>
      <c r="C985">
        <v>0</v>
      </c>
    </row>
    <row r="986" spans="1:3" x14ac:dyDescent="0.25">
      <c r="A986">
        <v>15965</v>
      </c>
      <c r="B986" t="s">
        <v>1969</v>
      </c>
      <c r="C986">
        <v>0</v>
      </c>
    </row>
    <row r="987" spans="1:3" x14ac:dyDescent="0.25">
      <c r="A987">
        <v>15966</v>
      </c>
      <c r="B987" t="s">
        <v>1971</v>
      </c>
      <c r="C987">
        <v>0</v>
      </c>
    </row>
    <row r="988" spans="1:3" x14ac:dyDescent="0.25">
      <c r="A988">
        <v>15967</v>
      </c>
      <c r="B988" t="s">
        <v>1973</v>
      </c>
      <c r="C988">
        <v>0</v>
      </c>
    </row>
    <row r="989" spans="1:3" x14ac:dyDescent="0.25">
      <c r="A989">
        <v>15968</v>
      </c>
      <c r="B989" t="s">
        <v>1975</v>
      </c>
      <c r="C989">
        <v>0</v>
      </c>
    </row>
    <row r="990" spans="1:3" x14ac:dyDescent="0.25">
      <c r="A990">
        <v>15969</v>
      </c>
      <c r="B990" t="s">
        <v>1977</v>
      </c>
      <c r="C990">
        <v>0</v>
      </c>
    </row>
    <row r="991" spans="1:3" x14ac:dyDescent="0.25">
      <c r="A991">
        <v>15970</v>
      </c>
      <c r="B991" t="s">
        <v>1979</v>
      </c>
      <c r="C991">
        <v>0</v>
      </c>
    </row>
    <row r="992" spans="1:3" x14ac:dyDescent="0.25">
      <c r="A992">
        <v>15971</v>
      </c>
      <c r="B992" t="s">
        <v>1981</v>
      </c>
      <c r="C992">
        <v>0</v>
      </c>
    </row>
    <row r="993" spans="1:3" x14ac:dyDescent="0.25">
      <c r="A993">
        <v>15972</v>
      </c>
      <c r="B993" t="s">
        <v>1983</v>
      </c>
      <c r="C993">
        <v>0</v>
      </c>
    </row>
    <row r="994" spans="1:3" x14ac:dyDescent="0.25">
      <c r="A994">
        <v>15973</v>
      </c>
      <c r="B994" t="s">
        <v>1985</v>
      </c>
      <c r="C994">
        <v>0</v>
      </c>
    </row>
    <row r="995" spans="1:3" x14ac:dyDescent="0.25">
      <c r="A995">
        <v>15974</v>
      </c>
      <c r="B995" t="s">
        <v>1987</v>
      </c>
      <c r="C995">
        <v>0</v>
      </c>
    </row>
    <row r="996" spans="1:3" x14ac:dyDescent="0.25">
      <c r="A996">
        <v>15975</v>
      </c>
      <c r="B996" t="s">
        <v>1989</v>
      </c>
      <c r="C996">
        <v>0</v>
      </c>
    </row>
    <row r="997" spans="1:3" x14ac:dyDescent="0.25">
      <c r="A997">
        <v>15976</v>
      </c>
      <c r="B997" t="s">
        <v>1991</v>
      </c>
      <c r="C997">
        <v>0</v>
      </c>
    </row>
    <row r="998" spans="1:3" x14ac:dyDescent="0.25">
      <c r="A998">
        <v>15977</v>
      </c>
      <c r="B998" t="s">
        <v>1993</v>
      </c>
      <c r="C998">
        <v>0</v>
      </c>
    </row>
    <row r="999" spans="1:3" x14ac:dyDescent="0.25">
      <c r="A999">
        <v>15978</v>
      </c>
      <c r="B999" t="s">
        <v>1995</v>
      </c>
      <c r="C999">
        <v>0</v>
      </c>
    </row>
    <row r="1000" spans="1:3" x14ac:dyDescent="0.25">
      <c r="A1000">
        <v>15979</v>
      </c>
      <c r="B1000" t="s">
        <v>1997</v>
      </c>
      <c r="C1000">
        <v>0</v>
      </c>
    </row>
    <row r="1001" spans="1:3" x14ac:dyDescent="0.25">
      <c r="A1001">
        <v>1598</v>
      </c>
      <c r="B1001" t="s">
        <v>1999</v>
      </c>
      <c r="C1001">
        <v>0</v>
      </c>
    </row>
    <row r="1002" spans="1:3" x14ac:dyDescent="0.25">
      <c r="A1002">
        <v>15980</v>
      </c>
      <c r="B1002" t="s">
        <v>2001</v>
      </c>
      <c r="C1002">
        <v>0</v>
      </c>
    </row>
    <row r="1003" spans="1:3" x14ac:dyDescent="0.25">
      <c r="A1003">
        <v>15981</v>
      </c>
      <c r="B1003" t="s">
        <v>2003</v>
      </c>
      <c r="C1003">
        <v>0</v>
      </c>
    </row>
    <row r="1004" spans="1:3" x14ac:dyDescent="0.25">
      <c r="A1004">
        <v>15982</v>
      </c>
      <c r="B1004" t="s">
        <v>2005</v>
      </c>
      <c r="C1004">
        <v>0</v>
      </c>
    </row>
    <row r="1005" spans="1:3" x14ac:dyDescent="0.25">
      <c r="A1005">
        <v>15983</v>
      </c>
      <c r="B1005" t="s">
        <v>2007</v>
      </c>
      <c r="C1005">
        <v>0</v>
      </c>
    </row>
    <row r="1006" spans="1:3" x14ac:dyDescent="0.25">
      <c r="A1006">
        <v>15984</v>
      </c>
      <c r="B1006" t="s">
        <v>2009</v>
      </c>
      <c r="C1006">
        <v>0</v>
      </c>
    </row>
    <row r="1007" spans="1:3" x14ac:dyDescent="0.25">
      <c r="A1007">
        <v>15985</v>
      </c>
      <c r="B1007" t="s">
        <v>2011</v>
      </c>
      <c r="C1007">
        <v>0</v>
      </c>
    </row>
    <row r="1008" spans="1:3" x14ac:dyDescent="0.25">
      <c r="A1008">
        <v>15986</v>
      </c>
      <c r="B1008" t="s">
        <v>2013</v>
      </c>
      <c r="C1008">
        <v>0</v>
      </c>
    </row>
    <row r="1009" spans="1:3" x14ac:dyDescent="0.25">
      <c r="A1009">
        <v>15987</v>
      </c>
      <c r="B1009" t="s">
        <v>2015</v>
      </c>
      <c r="C1009">
        <v>0</v>
      </c>
    </row>
    <row r="1010" spans="1:3" x14ac:dyDescent="0.25">
      <c r="A1010">
        <v>15988</v>
      </c>
      <c r="B1010" t="s">
        <v>2017</v>
      </c>
      <c r="C1010">
        <v>0</v>
      </c>
    </row>
    <row r="1011" spans="1:3" x14ac:dyDescent="0.25">
      <c r="A1011">
        <v>15989</v>
      </c>
      <c r="B1011" t="s">
        <v>2019</v>
      </c>
      <c r="C1011">
        <v>0</v>
      </c>
    </row>
    <row r="1012" spans="1:3" x14ac:dyDescent="0.25">
      <c r="A1012">
        <v>15991</v>
      </c>
      <c r="B1012" t="s">
        <v>2021</v>
      </c>
      <c r="C1012">
        <v>0</v>
      </c>
    </row>
    <row r="1013" spans="1:3" x14ac:dyDescent="0.25">
      <c r="A1013">
        <v>1600</v>
      </c>
      <c r="B1013" t="s">
        <v>2023</v>
      </c>
      <c r="C1013">
        <v>0</v>
      </c>
    </row>
    <row r="1014" spans="1:3" x14ac:dyDescent="0.25">
      <c r="A1014">
        <v>1601</v>
      </c>
      <c r="B1014" t="s">
        <v>2025</v>
      </c>
      <c r="C1014">
        <v>0</v>
      </c>
    </row>
    <row r="1015" spans="1:3" x14ac:dyDescent="0.25">
      <c r="A1015">
        <v>1602</v>
      </c>
      <c r="B1015" t="s">
        <v>2027</v>
      </c>
      <c r="C1015">
        <v>0</v>
      </c>
    </row>
    <row r="1016" spans="1:3" x14ac:dyDescent="0.25">
      <c r="A1016">
        <v>1603</v>
      </c>
      <c r="B1016" t="s">
        <v>2029</v>
      </c>
      <c r="C1016">
        <v>0</v>
      </c>
    </row>
    <row r="1017" spans="1:3" x14ac:dyDescent="0.25">
      <c r="A1017">
        <v>1604</v>
      </c>
      <c r="B1017" t="s">
        <v>2031</v>
      </c>
      <c r="C1017">
        <v>0</v>
      </c>
    </row>
    <row r="1018" spans="1:3" x14ac:dyDescent="0.25">
      <c r="A1018">
        <v>1605</v>
      </c>
      <c r="B1018" t="s">
        <v>2033</v>
      </c>
      <c r="C1018">
        <v>0</v>
      </c>
    </row>
    <row r="1019" spans="1:3" x14ac:dyDescent="0.25">
      <c r="A1019">
        <v>1606</v>
      </c>
      <c r="B1019" t="s">
        <v>2035</v>
      </c>
      <c r="C1019">
        <v>0</v>
      </c>
    </row>
    <row r="1020" spans="1:3" x14ac:dyDescent="0.25">
      <c r="A1020">
        <v>1610</v>
      </c>
      <c r="B1020" t="s">
        <v>2037</v>
      </c>
      <c r="C1020">
        <v>0</v>
      </c>
    </row>
    <row r="1021" spans="1:3" x14ac:dyDescent="0.25">
      <c r="A1021">
        <v>1611</v>
      </c>
      <c r="B1021" t="s">
        <v>2039</v>
      </c>
      <c r="C1021">
        <v>0</v>
      </c>
    </row>
    <row r="1022" spans="1:3" x14ac:dyDescent="0.25">
      <c r="A1022">
        <v>1612</v>
      </c>
      <c r="B1022" t="s">
        <v>2041</v>
      </c>
      <c r="C1022">
        <v>0</v>
      </c>
    </row>
    <row r="1023" spans="1:3" x14ac:dyDescent="0.25">
      <c r="A1023">
        <v>1613</v>
      </c>
      <c r="B1023" t="s">
        <v>2043</v>
      </c>
      <c r="C1023">
        <v>0</v>
      </c>
    </row>
    <row r="1024" spans="1:3" x14ac:dyDescent="0.25">
      <c r="A1024">
        <v>1615</v>
      </c>
      <c r="B1024" t="s">
        <v>2045</v>
      </c>
      <c r="C1024">
        <v>0</v>
      </c>
    </row>
    <row r="1025" spans="1:3" x14ac:dyDescent="0.25">
      <c r="A1025">
        <v>1616</v>
      </c>
      <c r="B1025" t="s">
        <v>2047</v>
      </c>
      <c r="C1025">
        <v>0</v>
      </c>
    </row>
    <row r="1026" spans="1:3" x14ac:dyDescent="0.25">
      <c r="A1026">
        <v>1617</v>
      </c>
      <c r="B1026" t="s">
        <v>2049</v>
      </c>
      <c r="C1026">
        <v>0</v>
      </c>
    </row>
    <row r="1027" spans="1:3" x14ac:dyDescent="0.25">
      <c r="A1027">
        <v>1618</v>
      </c>
      <c r="B1027" t="s">
        <v>2051</v>
      </c>
      <c r="C1027">
        <v>0</v>
      </c>
    </row>
    <row r="1028" spans="1:3" x14ac:dyDescent="0.25">
      <c r="A1028">
        <v>1626</v>
      </c>
      <c r="B1028" t="s">
        <v>2053</v>
      </c>
      <c r="C1028">
        <v>0</v>
      </c>
    </row>
    <row r="1029" spans="1:3" x14ac:dyDescent="0.25">
      <c r="A1029">
        <v>1627</v>
      </c>
      <c r="B1029" t="s">
        <v>2055</v>
      </c>
      <c r="C1029">
        <v>0</v>
      </c>
    </row>
    <row r="1030" spans="1:3" x14ac:dyDescent="0.25">
      <c r="A1030">
        <v>1628</v>
      </c>
      <c r="B1030" t="s">
        <v>2057</v>
      </c>
      <c r="C1030">
        <v>0</v>
      </c>
    </row>
    <row r="1031" spans="1:3" x14ac:dyDescent="0.25">
      <c r="A1031">
        <v>1629</v>
      </c>
      <c r="B1031" t="s">
        <v>2059</v>
      </c>
      <c r="C1031">
        <v>0</v>
      </c>
    </row>
    <row r="1032" spans="1:3" x14ac:dyDescent="0.25">
      <c r="A1032">
        <v>1630</v>
      </c>
      <c r="B1032" t="s">
        <v>2061</v>
      </c>
      <c r="C1032">
        <v>0</v>
      </c>
    </row>
    <row r="1033" spans="1:3" x14ac:dyDescent="0.25">
      <c r="A1033">
        <v>1631</v>
      </c>
      <c r="B1033" t="s">
        <v>2063</v>
      </c>
      <c r="C1033">
        <v>0</v>
      </c>
    </row>
    <row r="1034" spans="1:3" x14ac:dyDescent="0.25">
      <c r="A1034">
        <v>1632</v>
      </c>
      <c r="B1034" t="s">
        <v>2065</v>
      </c>
      <c r="C1034">
        <v>0</v>
      </c>
    </row>
    <row r="1035" spans="1:3" x14ac:dyDescent="0.25">
      <c r="A1035">
        <v>1633</v>
      </c>
      <c r="B1035" t="s">
        <v>2067</v>
      </c>
      <c r="C1035">
        <v>0</v>
      </c>
    </row>
    <row r="1036" spans="1:3" x14ac:dyDescent="0.25">
      <c r="A1036">
        <v>1634</v>
      </c>
      <c r="B1036" t="s">
        <v>2069</v>
      </c>
      <c r="C1036">
        <v>0</v>
      </c>
    </row>
    <row r="1037" spans="1:3" x14ac:dyDescent="0.25">
      <c r="A1037">
        <v>1635</v>
      </c>
      <c r="B1037" t="s">
        <v>2071</v>
      </c>
      <c r="C1037">
        <v>0</v>
      </c>
    </row>
    <row r="1038" spans="1:3" x14ac:dyDescent="0.25">
      <c r="A1038">
        <v>16351</v>
      </c>
      <c r="B1038" t="s">
        <v>2073</v>
      </c>
      <c r="C1038">
        <v>0</v>
      </c>
    </row>
    <row r="1039" spans="1:3" x14ac:dyDescent="0.25">
      <c r="A1039">
        <v>1636</v>
      </c>
      <c r="B1039" t="s">
        <v>2075</v>
      </c>
      <c r="C1039">
        <v>0</v>
      </c>
    </row>
    <row r="1040" spans="1:3" x14ac:dyDescent="0.25">
      <c r="A1040">
        <v>1637</v>
      </c>
      <c r="B1040" t="s">
        <v>2077</v>
      </c>
      <c r="C1040">
        <v>0</v>
      </c>
    </row>
    <row r="1041" spans="1:3" x14ac:dyDescent="0.25">
      <c r="A1041">
        <v>1638</v>
      </c>
      <c r="B1041" t="s">
        <v>2079</v>
      </c>
      <c r="C1041">
        <v>0</v>
      </c>
    </row>
    <row r="1042" spans="1:3" x14ac:dyDescent="0.25">
      <c r="A1042">
        <v>1639</v>
      </c>
      <c r="B1042" t="s">
        <v>2081</v>
      </c>
      <c r="C1042">
        <v>0</v>
      </c>
    </row>
    <row r="1043" spans="1:3" x14ac:dyDescent="0.25">
      <c r="A1043">
        <v>1640</v>
      </c>
      <c r="B1043" t="s">
        <v>2083</v>
      </c>
      <c r="C1043">
        <v>0</v>
      </c>
    </row>
    <row r="1044" spans="1:3" x14ac:dyDescent="0.25">
      <c r="A1044">
        <v>1641</v>
      </c>
      <c r="B1044" t="s">
        <v>2085</v>
      </c>
      <c r="C1044">
        <v>0</v>
      </c>
    </row>
    <row r="1045" spans="1:3" x14ac:dyDescent="0.25">
      <c r="A1045">
        <v>1642</v>
      </c>
      <c r="B1045" t="s">
        <v>2087</v>
      </c>
      <c r="C1045">
        <v>0</v>
      </c>
    </row>
    <row r="1046" spans="1:3" x14ac:dyDescent="0.25">
      <c r="A1046">
        <v>1643</v>
      </c>
      <c r="B1046" t="s">
        <v>2089</v>
      </c>
      <c r="C1046">
        <v>0</v>
      </c>
    </row>
    <row r="1047" spans="1:3" x14ac:dyDescent="0.25">
      <c r="A1047">
        <v>1644</v>
      </c>
      <c r="B1047" t="s">
        <v>2091</v>
      </c>
      <c r="C1047">
        <v>0</v>
      </c>
    </row>
    <row r="1048" spans="1:3" x14ac:dyDescent="0.25">
      <c r="A1048">
        <v>1645</v>
      </c>
      <c r="B1048" t="s">
        <v>2093</v>
      </c>
      <c r="C1048">
        <v>0</v>
      </c>
    </row>
    <row r="1049" spans="1:3" x14ac:dyDescent="0.25">
      <c r="A1049">
        <v>1646</v>
      </c>
      <c r="B1049" t="s">
        <v>2095</v>
      </c>
      <c r="C1049">
        <v>0</v>
      </c>
    </row>
    <row r="1050" spans="1:3" x14ac:dyDescent="0.25">
      <c r="A1050">
        <v>1647</v>
      </c>
      <c r="B1050" t="s">
        <v>2097</v>
      </c>
      <c r="C1050">
        <v>0</v>
      </c>
    </row>
    <row r="1051" spans="1:3" x14ac:dyDescent="0.25">
      <c r="A1051">
        <v>1648</v>
      </c>
      <c r="B1051" t="s">
        <v>2099</v>
      </c>
      <c r="C1051">
        <v>0</v>
      </c>
    </row>
    <row r="1052" spans="1:3" x14ac:dyDescent="0.25">
      <c r="A1052">
        <v>1649</v>
      </c>
      <c r="B1052" t="s">
        <v>2101</v>
      </c>
      <c r="C1052">
        <v>0</v>
      </c>
    </row>
    <row r="1053" spans="1:3" x14ac:dyDescent="0.25">
      <c r="A1053">
        <v>1650</v>
      </c>
      <c r="B1053" t="s">
        <v>2103</v>
      </c>
      <c r="C1053">
        <v>0</v>
      </c>
    </row>
    <row r="1054" spans="1:3" x14ac:dyDescent="0.25">
      <c r="A1054">
        <v>1651</v>
      </c>
      <c r="B1054" t="s">
        <v>2105</v>
      </c>
      <c r="C1054">
        <v>0</v>
      </c>
    </row>
    <row r="1055" spans="1:3" x14ac:dyDescent="0.25">
      <c r="A1055">
        <v>16510</v>
      </c>
      <c r="B1055" t="s">
        <v>2107</v>
      </c>
      <c r="C1055">
        <v>0</v>
      </c>
    </row>
    <row r="1056" spans="1:3" x14ac:dyDescent="0.25">
      <c r="A1056">
        <v>1652</v>
      </c>
      <c r="B1056" t="s">
        <v>2109</v>
      </c>
      <c r="C1056">
        <v>0</v>
      </c>
    </row>
    <row r="1057" spans="1:3" x14ac:dyDescent="0.25">
      <c r="A1057">
        <v>1653</v>
      </c>
      <c r="B1057" t="s">
        <v>2111</v>
      </c>
      <c r="C1057">
        <v>0</v>
      </c>
    </row>
    <row r="1058" spans="1:3" x14ac:dyDescent="0.25">
      <c r="A1058">
        <v>1654</v>
      </c>
      <c r="B1058" t="s">
        <v>2113</v>
      </c>
      <c r="C1058">
        <v>0</v>
      </c>
    </row>
    <row r="1059" spans="1:3" x14ac:dyDescent="0.25">
      <c r="A1059">
        <v>1655</v>
      </c>
      <c r="B1059" t="s">
        <v>2115</v>
      </c>
      <c r="C1059">
        <v>0</v>
      </c>
    </row>
    <row r="1060" spans="1:3" x14ac:dyDescent="0.25">
      <c r="A1060">
        <v>1656</v>
      </c>
      <c r="B1060" t="s">
        <v>2117</v>
      </c>
      <c r="C1060">
        <v>0</v>
      </c>
    </row>
    <row r="1061" spans="1:3" x14ac:dyDescent="0.25">
      <c r="A1061">
        <v>1657</v>
      </c>
      <c r="B1061" t="s">
        <v>2119</v>
      </c>
      <c r="C1061">
        <v>0</v>
      </c>
    </row>
    <row r="1062" spans="1:3" x14ac:dyDescent="0.25">
      <c r="A1062">
        <v>1658</v>
      </c>
      <c r="B1062" t="s">
        <v>2121</v>
      </c>
      <c r="C1062">
        <v>0</v>
      </c>
    </row>
    <row r="1063" spans="1:3" x14ac:dyDescent="0.25">
      <c r="A1063">
        <v>1659</v>
      </c>
      <c r="B1063" t="s">
        <v>2123</v>
      </c>
      <c r="C1063">
        <v>0</v>
      </c>
    </row>
    <row r="1064" spans="1:3" x14ac:dyDescent="0.25">
      <c r="A1064">
        <v>1661</v>
      </c>
      <c r="B1064" t="s">
        <v>2125</v>
      </c>
      <c r="C1064">
        <v>0</v>
      </c>
    </row>
    <row r="1065" spans="1:3" x14ac:dyDescent="0.25">
      <c r="A1065">
        <v>1662</v>
      </c>
      <c r="B1065" t="s">
        <v>2127</v>
      </c>
      <c r="C1065">
        <v>0</v>
      </c>
    </row>
    <row r="1066" spans="1:3" x14ac:dyDescent="0.25">
      <c r="A1066">
        <v>1663</v>
      </c>
      <c r="B1066" t="s">
        <v>2129</v>
      </c>
      <c r="C1066">
        <v>0</v>
      </c>
    </row>
    <row r="1067" spans="1:3" x14ac:dyDescent="0.25">
      <c r="A1067">
        <v>1664</v>
      </c>
      <c r="B1067" t="s">
        <v>2131</v>
      </c>
      <c r="C1067">
        <v>0</v>
      </c>
    </row>
    <row r="1068" spans="1:3" x14ac:dyDescent="0.25">
      <c r="A1068">
        <v>1665</v>
      </c>
      <c r="B1068" t="s">
        <v>2133</v>
      </c>
      <c r="C1068">
        <v>0</v>
      </c>
    </row>
    <row r="1069" spans="1:3" x14ac:dyDescent="0.25">
      <c r="A1069">
        <v>1666</v>
      </c>
      <c r="B1069" t="s">
        <v>2135</v>
      </c>
      <c r="C1069">
        <v>0</v>
      </c>
    </row>
    <row r="1070" spans="1:3" x14ac:dyDescent="0.25">
      <c r="A1070">
        <v>1667</v>
      </c>
      <c r="B1070" t="s">
        <v>2137</v>
      </c>
      <c r="C1070">
        <v>0</v>
      </c>
    </row>
    <row r="1071" spans="1:3" x14ac:dyDescent="0.25">
      <c r="A1071">
        <v>1668</v>
      </c>
      <c r="B1071" t="s">
        <v>2139</v>
      </c>
      <c r="C1071">
        <v>0</v>
      </c>
    </row>
    <row r="1072" spans="1:3" x14ac:dyDescent="0.25">
      <c r="A1072">
        <v>1699</v>
      </c>
      <c r="B1072" t="s">
        <v>2141</v>
      </c>
      <c r="C1072">
        <v>0</v>
      </c>
    </row>
    <row r="1073" spans="1:3" x14ac:dyDescent="0.25">
      <c r="A1073">
        <v>1700</v>
      </c>
      <c r="B1073" t="s">
        <v>2143</v>
      </c>
      <c r="C1073">
        <v>0</v>
      </c>
    </row>
    <row r="1074" spans="1:3" x14ac:dyDescent="0.25">
      <c r="A1074">
        <v>1701</v>
      </c>
      <c r="B1074" t="s">
        <v>2145</v>
      </c>
      <c r="C1074">
        <v>0</v>
      </c>
    </row>
    <row r="1075" spans="1:3" x14ac:dyDescent="0.25">
      <c r="A1075">
        <v>1702</v>
      </c>
      <c r="B1075" t="s">
        <v>2147</v>
      </c>
      <c r="C1075">
        <v>0</v>
      </c>
    </row>
    <row r="1076" spans="1:3" x14ac:dyDescent="0.25">
      <c r="A1076">
        <v>1703</v>
      </c>
      <c r="B1076" t="s">
        <v>2149</v>
      </c>
      <c r="C1076">
        <v>0</v>
      </c>
    </row>
    <row r="1077" spans="1:3" x14ac:dyDescent="0.25">
      <c r="A1077">
        <v>1704</v>
      </c>
      <c r="B1077" t="s">
        <v>2151</v>
      </c>
      <c r="C1077">
        <v>0</v>
      </c>
    </row>
    <row r="1078" spans="1:3" x14ac:dyDescent="0.25">
      <c r="A1078">
        <v>1705</v>
      </c>
      <c r="B1078" t="s">
        <v>2153</v>
      </c>
      <c r="C1078">
        <v>0</v>
      </c>
    </row>
    <row r="1079" spans="1:3" x14ac:dyDescent="0.25">
      <c r="A1079">
        <v>1706</v>
      </c>
      <c r="B1079" t="s">
        <v>2155</v>
      </c>
      <c r="C1079">
        <v>0</v>
      </c>
    </row>
    <row r="1080" spans="1:3" x14ac:dyDescent="0.25">
      <c r="A1080">
        <v>1707</v>
      </c>
      <c r="B1080" t="s">
        <v>2157</v>
      </c>
      <c r="C1080">
        <v>0</v>
      </c>
    </row>
    <row r="1081" spans="1:3" x14ac:dyDescent="0.25">
      <c r="A1081">
        <v>1708</v>
      </c>
      <c r="B1081" t="s">
        <v>2159</v>
      </c>
      <c r="C1081">
        <v>0</v>
      </c>
    </row>
    <row r="1082" spans="1:3" x14ac:dyDescent="0.25">
      <c r="A1082">
        <v>1709</v>
      </c>
      <c r="B1082" t="s">
        <v>2161</v>
      </c>
      <c r="C1082">
        <v>0</v>
      </c>
    </row>
    <row r="1083" spans="1:3" x14ac:dyDescent="0.25">
      <c r="A1083">
        <v>1710</v>
      </c>
      <c r="B1083" t="s">
        <v>2163</v>
      </c>
      <c r="C1083">
        <v>0</v>
      </c>
    </row>
    <row r="1084" spans="1:3" x14ac:dyDescent="0.25">
      <c r="A1084">
        <v>1711</v>
      </c>
      <c r="B1084" t="s">
        <v>2165</v>
      </c>
      <c r="C1084">
        <v>0</v>
      </c>
    </row>
    <row r="1085" spans="1:3" x14ac:dyDescent="0.25">
      <c r="A1085">
        <v>1712</v>
      </c>
      <c r="B1085" t="s">
        <v>2167</v>
      </c>
      <c r="C1085">
        <v>0</v>
      </c>
    </row>
    <row r="1086" spans="1:3" x14ac:dyDescent="0.25">
      <c r="A1086">
        <v>1713</v>
      </c>
      <c r="B1086" t="s">
        <v>2169</v>
      </c>
      <c r="C1086">
        <v>0</v>
      </c>
    </row>
    <row r="1087" spans="1:3" x14ac:dyDescent="0.25">
      <c r="A1087">
        <v>1714</v>
      </c>
      <c r="B1087" t="s">
        <v>2171</v>
      </c>
      <c r="C1087">
        <v>0</v>
      </c>
    </row>
    <row r="1088" spans="1:3" x14ac:dyDescent="0.25">
      <c r="A1088">
        <v>1715</v>
      </c>
      <c r="B1088" t="s">
        <v>2173</v>
      </c>
      <c r="C1088">
        <v>0</v>
      </c>
    </row>
    <row r="1089" spans="1:3" x14ac:dyDescent="0.25">
      <c r="A1089">
        <v>1716</v>
      </c>
      <c r="B1089" t="s">
        <v>2175</v>
      </c>
      <c r="C1089">
        <v>0</v>
      </c>
    </row>
    <row r="1090" spans="1:3" x14ac:dyDescent="0.25">
      <c r="A1090">
        <v>1717</v>
      </c>
      <c r="B1090" t="s">
        <v>2177</v>
      </c>
      <c r="C1090">
        <v>0</v>
      </c>
    </row>
    <row r="1091" spans="1:3" x14ac:dyDescent="0.25">
      <c r="A1091">
        <v>1718</v>
      </c>
      <c r="B1091" t="s">
        <v>2179</v>
      </c>
      <c r="C1091">
        <v>0</v>
      </c>
    </row>
    <row r="1092" spans="1:3" x14ac:dyDescent="0.25">
      <c r="A1092">
        <v>1719</v>
      </c>
      <c r="B1092" t="s">
        <v>2181</v>
      </c>
      <c r="C1092">
        <v>0</v>
      </c>
    </row>
    <row r="1093" spans="1:3" x14ac:dyDescent="0.25">
      <c r="A1093">
        <v>1720</v>
      </c>
      <c r="B1093" t="s">
        <v>2183</v>
      </c>
      <c r="C1093">
        <v>0</v>
      </c>
    </row>
    <row r="1094" spans="1:3" x14ac:dyDescent="0.25">
      <c r="A1094">
        <v>1721</v>
      </c>
      <c r="B1094" t="s">
        <v>2185</v>
      </c>
      <c r="C1094">
        <v>0</v>
      </c>
    </row>
    <row r="1095" spans="1:3" x14ac:dyDescent="0.25">
      <c r="A1095">
        <v>1722</v>
      </c>
      <c r="B1095" t="s">
        <v>2187</v>
      </c>
      <c r="C1095">
        <v>0</v>
      </c>
    </row>
    <row r="1096" spans="1:3" x14ac:dyDescent="0.25">
      <c r="A1096">
        <v>1723</v>
      </c>
      <c r="B1096" t="s">
        <v>2189</v>
      </c>
      <c r="C1096">
        <v>0</v>
      </c>
    </row>
    <row r="1097" spans="1:3" x14ac:dyDescent="0.25">
      <c r="A1097">
        <v>1724</v>
      </c>
      <c r="B1097" t="s">
        <v>2191</v>
      </c>
      <c r="C1097">
        <v>0</v>
      </c>
    </row>
    <row r="1098" spans="1:3" x14ac:dyDescent="0.25">
      <c r="A1098">
        <v>1725</v>
      </c>
      <c r="B1098" t="s">
        <v>2193</v>
      </c>
      <c r="C1098">
        <v>0</v>
      </c>
    </row>
    <row r="1099" spans="1:3" x14ac:dyDescent="0.25">
      <c r="A1099">
        <v>1726</v>
      </c>
      <c r="B1099" t="s">
        <v>2195</v>
      </c>
      <c r="C1099">
        <v>0</v>
      </c>
    </row>
    <row r="1100" spans="1:3" x14ac:dyDescent="0.25">
      <c r="A1100">
        <v>1727</v>
      </c>
      <c r="B1100" t="s">
        <v>2197</v>
      </c>
      <c r="C1100">
        <v>0</v>
      </c>
    </row>
    <row r="1101" spans="1:3" x14ac:dyDescent="0.25">
      <c r="A1101">
        <v>1728</v>
      </c>
      <c r="B1101" t="s">
        <v>2199</v>
      </c>
      <c r="C1101">
        <v>0</v>
      </c>
    </row>
    <row r="1102" spans="1:3" x14ac:dyDescent="0.25">
      <c r="A1102">
        <v>1729</v>
      </c>
      <c r="B1102" t="s">
        <v>2201</v>
      </c>
      <c r="C1102">
        <v>0</v>
      </c>
    </row>
    <row r="1103" spans="1:3" x14ac:dyDescent="0.25">
      <c r="A1103">
        <v>1730</v>
      </c>
      <c r="B1103" t="s">
        <v>2203</v>
      </c>
      <c r="C1103">
        <v>0</v>
      </c>
    </row>
    <row r="1104" spans="1:3" x14ac:dyDescent="0.25">
      <c r="A1104">
        <v>1731</v>
      </c>
      <c r="B1104" t="s">
        <v>2205</v>
      </c>
      <c r="C1104">
        <v>0</v>
      </c>
    </row>
    <row r="1105" spans="1:3" x14ac:dyDescent="0.25">
      <c r="A1105">
        <v>1732</v>
      </c>
      <c r="B1105" t="s">
        <v>2207</v>
      </c>
      <c r="C1105">
        <v>0</v>
      </c>
    </row>
    <row r="1106" spans="1:3" x14ac:dyDescent="0.25">
      <c r="A1106">
        <v>1733</v>
      </c>
      <c r="B1106" t="s">
        <v>2209</v>
      </c>
      <c r="C1106">
        <v>0</v>
      </c>
    </row>
    <row r="1107" spans="1:3" x14ac:dyDescent="0.25">
      <c r="A1107">
        <v>1734</v>
      </c>
      <c r="B1107" t="s">
        <v>2211</v>
      </c>
      <c r="C1107">
        <v>0</v>
      </c>
    </row>
    <row r="1108" spans="1:3" x14ac:dyDescent="0.25">
      <c r="A1108">
        <v>1735</v>
      </c>
      <c r="B1108" t="s">
        <v>2213</v>
      </c>
      <c r="C1108">
        <v>0</v>
      </c>
    </row>
    <row r="1109" spans="1:3" x14ac:dyDescent="0.25">
      <c r="A1109">
        <v>1736</v>
      </c>
      <c r="B1109" t="s">
        <v>2215</v>
      </c>
      <c r="C1109">
        <v>0</v>
      </c>
    </row>
    <row r="1110" spans="1:3" x14ac:dyDescent="0.25">
      <c r="A1110">
        <v>1737</v>
      </c>
      <c r="B1110" t="s">
        <v>2217</v>
      </c>
      <c r="C1110">
        <v>0</v>
      </c>
    </row>
    <row r="1111" spans="1:3" x14ac:dyDescent="0.25">
      <c r="A1111">
        <v>1738</v>
      </c>
      <c r="B1111" t="s">
        <v>2219</v>
      </c>
      <c r="C1111">
        <v>0</v>
      </c>
    </row>
    <row r="1112" spans="1:3" x14ac:dyDescent="0.25">
      <c r="A1112">
        <v>1739</v>
      </c>
      <c r="B1112" t="s">
        <v>2221</v>
      </c>
      <c r="C1112">
        <v>0</v>
      </c>
    </row>
    <row r="1113" spans="1:3" x14ac:dyDescent="0.25">
      <c r="A1113">
        <v>1740</v>
      </c>
      <c r="B1113" t="s">
        <v>2223</v>
      </c>
      <c r="C1113">
        <v>0</v>
      </c>
    </row>
    <row r="1114" spans="1:3" x14ac:dyDescent="0.25">
      <c r="A1114">
        <v>1741</v>
      </c>
      <c r="B1114" t="s">
        <v>2225</v>
      </c>
      <c r="C1114">
        <v>0</v>
      </c>
    </row>
    <row r="1115" spans="1:3" x14ac:dyDescent="0.25">
      <c r="A1115">
        <v>1742</v>
      </c>
      <c r="B1115" t="s">
        <v>2227</v>
      </c>
      <c r="C1115">
        <v>0</v>
      </c>
    </row>
    <row r="1116" spans="1:3" x14ac:dyDescent="0.25">
      <c r="A1116">
        <v>1743</v>
      </c>
      <c r="B1116" t="s">
        <v>2229</v>
      </c>
      <c r="C1116">
        <v>0</v>
      </c>
    </row>
    <row r="1117" spans="1:3" x14ac:dyDescent="0.25">
      <c r="A1117">
        <v>1744</v>
      </c>
      <c r="B1117" t="s">
        <v>2231</v>
      </c>
      <c r="C1117">
        <v>0</v>
      </c>
    </row>
    <row r="1118" spans="1:3" x14ac:dyDescent="0.25">
      <c r="A1118">
        <v>1745</v>
      </c>
      <c r="B1118" t="s">
        <v>2233</v>
      </c>
      <c r="C1118">
        <v>0</v>
      </c>
    </row>
    <row r="1119" spans="1:3" x14ac:dyDescent="0.25">
      <c r="A1119">
        <v>1746</v>
      </c>
      <c r="B1119" t="s">
        <v>2235</v>
      </c>
      <c r="C1119">
        <v>0</v>
      </c>
    </row>
    <row r="1120" spans="1:3" x14ac:dyDescent="0.25">
      <c r="A1120">
        <v>1747</v>
      </c>
      <c r="B1120" t="s">
        <v>2237</v>
      </c>
      <c r="C1120">
        <v>0</v>
      </c>
    </row>
    <row r="1121" spans="1:3" x14ac:dyDescent="0.25">
      <c r="A1121">
        <v>1748</v>
      </c>
      <c r="B1121" t="s">
        <v>2239</v>
      </c>
      <c r="C1121">
        <v>0</v>
      </c>
    </row>
    <row r="1122" spans="1:3" x14ac:dyDescent="0.25">
      <c r="A1122">
        <v>1749</v>
      </c>
      <c r="B1122" t="s">
        <v>2241</v>
      </c>
      <c r="C1122">
        <v>0</v>
      </c>
    </row>
    <row r="1123" spans="1:3" x14ac:dyDescent="0.25">
      <c r="A1123">
        <v>1750</v>
      </c>
      <c r="B1123" t="s">
        <v>2243</v>
      </c>
      <c r="C1123">
        <v>0</v>
      </c>
    </row>
    <row r="1124" spans="1:3" x14ac:dyDescent="0.25">
      <c r="A1124">
        <v>1751</v>
      </c>
      <c r="B1124" t="s">
        <v>2245</v>
      </c>
      <c r="C1124">
        <v>0</v>
      </c>
    </row>
    <row r="1125" spans="1:3" x14ac:dyDescent="0.25">
      <c r="A1125">
        <v>1752</v>
      </c>
      <c r="B1125" t="s">
        <v>2247</v>
      </c>
      <c r="C1125">
        <v>0</v>
      </c>
    </row>
    <row r="1126" spans="1:3" x14ac:dyDescent="0.25">
      <c r="A1126">
        <v>1753</v>
      </c>
      <c r="B1126" t="s">
        <v>2249</v>
      </c>
      <c r="C1126">
        <v>0</v>
      </c>
    </row>
    <row r="1127" spans="1:3" x14ac:dyDescent="0.25">
      <c r="A1127">
        <v>1754</v>
      </c>
      <c r="B1127" t="s">
        <v>2251</v>
      </c>
      <c r="C1127">
        <v>0</v>
      </c>
    </row>
    <row r="1128" spans="1:3" x14ac:dyDescent="0.25">
      <c r="A1128">
        <v>1755</v>
      </c>
      <c r="B1128" t="s">
        <v>2253</v>
      </c>
      <c r="C1128">
        <v>0</v>
      </c>
    </row>
    <row r="1129" spans="1:3" x14ac:dyDescent="0.25">
      <c r="A1129">
        <v>1756</v>
      </c>
      <c r="B1129" t="s">
        <v>2255</v>
      </c>
      <c r="C1129">
        <v>0</v>
      </c>
    </row>
    <row r="1130" spans="1:3" x14ac:dyDescent="0.25">
      <c r="A1130">
        <v>1757</v>
      </c>
      <c r="B1130" t="s">
        <v>2257</v>
      </c>
      <c r="C1130">
        <v>0</v>
      </c>
    </row>
    <row r="1131" spans="1:3" x14ac:dyDescent="0.25">
      <c r="A1131">
        <v>1758</v>
      </c>
      <c r="B1131" t="s">
        <v>2259</v>
      </c>
      <c r="C1131">
        <v>0</v>
      </c>
    </row>
    <row r="1132" spans="1:3" x14ac:dyDescent="0.25">
      <c r="A1132">
        <v>1759</v>
      </c>
      <c r="B1132" t="s">
        <v>2261</v>
      </c>
      <c r="C1132">
        <v>0</v>
      </c>
    </row>
    <row r="1133" spans="1:3" x14ac:dyDescent="0.25">
      <c r="A1133">
        <v>1760</v>
      </c>
      <c r="B1133" t="s">
        <v>2263</v>
      </c>
      <c r="C1133">
        <v>0</v>
      </c>
    </row>
    <row r="1134" spans="1:3" x14ac:dyDescent="0.25">
      <c r="A1134">
        <v>1761</v>
      </c>
      <c r="B1134" t="s">
        <v>2265</v>
      </c>
      <c r="C1134">
        <v>0</v>
      </c>
    </row>
    <row r="1135" spans="1:3" x14ac:dyDescent="0.25">
      <c r="A1135">
        <v>1762</v>
      </c>
      <c r="B1135" t="s">
        <v>2267</v>
      </c>
      <c r="C1135">
        <v>0</v>
      </c>
    </row>
    <row r="1136" spans="1:3" x14ac:dyDescent="0.25">
      <c r="A1136">
        <v>1763</v>
      </c>
      <c r="B1136" t="s">
        <v>2269</v>
      </c>
      <c r="C1136">
        <v>0</v>
      </c>
    </row>
    <row r="1137" spans="1:3" x14ac:dyDescent="0.25">
      <c r="A1137">
        <v>1764</v>
      </c>
      <c r="B1137" t="s">
        <v>2271</v>
      </c>
      <c r="C1137">
        <v>0</v>
      </c>
    </row>
    <row r="1138" spans="1:3" x14ac:dyDescent="0.25">
      <c r="A1138">
        <v>1765</v>
      </c>
      <c r="B1138" t="s">
        <v>2273</v>
      </c>
      <c r="C1138">
        <v>0</v>
      </c>
    </row>
    <row r="1139" spans="1:3" x14ac:dyDescent="0.25">
      <c r="A1139">
        <v>1766</v>
      </c>
      <c r="B1139" t="s">
        <v>2275</v>
      </c>
      <c r="C1139">
        <v>0</v>
      </c>
    </row>
    <row r="1140" spans="1:3" x14ac:dyDescent="0.25">
      <c r="A1140">
        <v>1767</v>
      </c>
      <c r="B1140" t="s">
        <v>2277</v>
      </c>
      <c r="C1140">
        <v>0</v>
      </c>
    </row>
    <row r="1141" spans="1:3" x14ac:dyDescent="0.25">
      <c r="A1141">
        <v>1768</v>
      </c>
      <c r="B1141" t="s">
        <v>2279</v>
      </c>
      <c r="C1141">
        <v>0</v>
      </c>
    </row>
    <row r="1142" spans="1:3" x14ac:dyDescent="0.25">
      <c r="A1142">
        <v>1769</v>
      </c>
      <c r="B1142" t="s">
        <v>2281</v>
      </c>
      <c r="C1142">
        <v>0</v>
      </c>
    </row>
    <row r="1143" spans="1:3" x14ac:dyDescent="0.25">
      <c r="A1143">
        <v>1770</v>
      </c>
      <c r="B1143" t="s">
        <v>2283</v>
      </c>
      <c r="C1143">
        <v>0</v>
      </c>
    </row>
    <row r="1144" spans="1:3" x14ac:dyDescent="0.25">
      <c r="A1144">
        <v>1771</v>
      </c>
      <c r="B1144" t="s">
        <v>2285</v>
      </c>
      <c r="C1144">
        <v>0</v>
      </c>
    </row>
    <row r="1145" spans="1:3" x14ac:dyDescent="0.25">
      <c r="A1145">
        <v>1772</v>
      </c>
      <c r="B1145" t="s">
        <v>2287</v>
      </c>
      <c r="C1145">
        <v>0</v>
      </c>
    </row>
    <row r="1146" spans="1:3" x14ac:dyDescent="0.25">
      <c r="A1146">
        <v>1773</v>
      </c>
      <c r="B1146" t="s">
        <v>2289</v>
      </c>
      <c r="C1146">
        <v>0</v>
      </c>
    </row>
    <row r="1147" spans="1:3" x14ac:dyDescent="0.25">
      <c r="A1147">
        <v>1774</v>
      </c>
      <c r="B1147" t="s">
        <v>2291</v>
      </c>
      <c r="C1147">
        <v>0</v>
      </c>
    </row>
    <row r="1148" spans="1:3" x14ac:dyDescent="0.25">
      <c r="A1148">
        <v>1775</v>
      </c>
      <c r="B1148" t="s">
        <v>2293</v>
      </c>
      <c r="C1148">
        <v>0</v>
      </c>
    </row>
    <row r="1149" spans="1:3" x14ac:dyDescent="0.25">
      <c r="A1149">
        <v>1776</v>
      </c>
      <c r="B1149" t="s">
        <v>2295</v>
      </c>
      <c r="C1149">
        <v>0</v>
      </c>
    </row>
    <row r="1150" spans="1:3" x14ac:dyDescent="0.25">
      <c r="A1150">
        <v>1777</v>
      </c>
      <c r="B1150" t="s">
        <v>2297</v>
      </c>
      <c r="C1150">
        <v>0</v>
      </c>
    </row>
    <row r="1151" spans="1:3" x14ac:dyDescent="0.25">
      <c r="A1151">
        <v>1778</v>
      </c>
      <c r="B1151" t="s">
        <v>2299</v>
      </c>
      <c r="C1151">
        <v>0</v>
      </c>
    </row>
    <row r="1152" spans="1:3" x14ac:dyDescent="0.25">
      <c r="A1152">
        <v>1779</v>
      </c>
      <c r="B1152" t="s">
        <v>2301</v>
      </c>
      <c r="C1152">
        <v>0</v>
      </c>
    </row>
    <row r="1153" spans="1:3" x14ac:dyDescent="0.25">
      <c r="A1153">
        <v>1783</v>
      </c>
      <c r="B1153" t="s">
        <v>2303</v>
      </c>
      <c r="C1153">
        <v>0</v>
      </c>
    </row>
    <row r="1154" spans="1:3" x14ac:dyDescent="0.25">
      <c r="A1154">
        <v>1784</v>
      </c>
      <c r="B1154" t="s">
        <v>2305</v>
      </c>
      <c r="C1154">
        <v>0</v>
      </c>
    </row>
    <row r="1155" spans="1:3" x14ac:dyDescent="0.25">
      <c r="A1155">
        <v>1785</v>
      </c>
      <c r="B1155" t="s">
        <v>2307</v>
      </c>
      <c r="C1155">
        <v>0</v>
      </c>
    </row>
    <row r="1156" spans="1:3" x14ac:dyDescent="0.25">
      <c r="A1156">
        <v>1786</v>
      </c>
      <c r="B1156" t="s">
        <v>2309</v>
      </c>
      <c r="C1156">
        <v>0</v>
      </c>
    </row>
    <row r="1157" spans="1:3" x14ac:dyDescent="0.25">
      <c r="A1157">
        <v>1787</v>
      </c>
      <c r="B1157" t="s">
        <v>2311</v>
      </c>
      <c r="C1157">
        <v>0</v>
      </c>
    </row>
    <row r="1158" spans="1:3" x14ac:dyDescent="0.25">
      <c r="A1158">
        <v>1788</v>
      </c>
      <c r="B1158" t="s">
        <v>2313</v>
      </c>
      <c r="C1158">
        <v>0</v>
      </c>
    </row>
    <row r="1159" spans="1:3" x14ac:dyDescent="0.25">
      <c r="A1159">
        <v>1796</v>
      </c>
      <c r="B1159" t="s">
        <v>2315</v>
      </c>
      <c r="C1159">
        <v>0</v>
      </c>
    </row>
    <row r="1160" spans="1:3" x14ac:dyDescent="0.25">
      <c r="A1160">
        <v>1797</v>
      </c>
      <c r="B1160" t="s">
        <v>2317</v>
      </c>
      <c r="C1160">
        <v>0</v>
      </c>
    </row>
    <row r="1161" spans="1:3" x14ac:dyDescent="0.25">
      <c r="A1161">
        <v>1798</v>
      </c>
      <c r="B1161" t="s">
        <v>2319</v>
      </c>
      <c r="C1161">
        <v>0</v>
      </c>
    </row>
    <row r="1162" spans="1:3" x14ac:dyDescent="0.25">
      <c r="A1162">
        <v>1799</v>
      </c>
      <c r="B1162" t="s">
        <v>2321</v>
      </c>
      <c r="C1162">
        <v>0</v>
      </c>
    </row>
    <row r="1163" spans="1:3" x14ac:dyDescent="0.25">
      <c r="A1163">
        <v>1800</v>
      </c>
      <c r="B1163" t="s">
        <v>2323</v>
      </c>
      <c r="C1163">
        <v>0</v>
      </c>
    </row>
    <row r="1164" spans="1:3" x14ac:dyDescent="0.25">
      <c r="A1164">
        <v>1801</v>
      </c>
      <c r="B1164" t="s">
        <v>2325</v>
      </c>
      <c r="C1164">
        <v>0</v>
      </c>
    </row>
    <row r="1165" spans="1:3" x14ac:dyDescent="0.25">
      <c r="A1165">
        <v>1802</v>
      </c>
      <c r="B1165" t="s">
        <v>2327</v>
      </c>
      <c r="C1165">
        <v>0</v>
      </c>
    </row>
    <row r="1166" spans="1:3" x14ac:dyDescent="0.25">
      <c r="A1166">
        <v>1803</v>
      </c>
      <c r="B1166" t="s">
        <v>2329</v>
      </c>
      <c r="C1166">
        <v>0</v>
      </c>
    </row>
    <row r="1167" spans="1:3" x14ac:dyDescent="0.25">
      <c r="A1167">
        <v>1804</v>
      </c>
      <c r="B1167" t="s">
        <v>2331</v>
      </c>
      <c r="C1167">
        <v>0</v>
      </c>
    </row>
    <row r="1168" spans="1:3" x14ac:dyDescent="0.25">
      <c r="A1168">
        <v>1805</v>
      </c>
      <c r="B1168" t="s">
        <v>2333</v>
      </c>
      <c r="C1168">
        <v>0</v>
      </c>
    </row>
    <row r="1169" spans="1:3" x14ac:dyDescent="0.25">
      <c r="A1169">
        <v>1806</v>
      </c>
      <c r="B1169" t="s">
        <v>2335</v>
      </c>
      <c r="C1169">
        <v>0</v>
      </c>
    </row>
    <row r="1170" spans="1:3" x14ac:dyDescent="0.25">
      <c r="A1170">
        <v>1807</v>
      </c>
      <c r="B1170" t="s">
        <v>2337</v>
      </c>
      <c r="C1170">
        <v>0</v>
      </c>
    </row>
    <row r="1171" spans="1:3" x14ac:dyDescent="0.25">
      <c r="A1171">
        <v>1808</v>
      </c>
      <c r="B1171" t="s">
        <v>2339</v>
      </c>
      <c r="C1171">
        <v>0</v>
      </c>
    </row>
    <row r="1172" spans="1:3" x14ac:dyDescent="0.25">
      <c r="A1172">
        <v>1809</v>
      </c>
      <c r="B1172" t="s">
        <v>2341</v>
      </c>
      <c r="C1172">
        <v>0</v>
      </c>
    </row>
    <row r="1173" spans="1:3" x14ac:dyDescent="0.25">
      <c r="A1173">
        <v>1810</v>
      </c>
      <c r="B1173" t="s">
        <v>2343</v>
      </c>
      <c r="C1173">
        <v>0</v>
      </c>
    </row>
    <row r="1174" spans="1:3" x14ac:dyDescent="0.25">
      <c r="A1174">
        <v>1811</v>
      </c>
      <c r="B1174" t="s">
        <v>2345</v>
      </c>
      <c r="C1174">
        <v>0</v>
      </c>
    </row>
    <row r="1175" spans="1:3" x14ac:dyDescent="0.25">
      <c r="A1175">
        <v>1812</v>
      </c>
      <c r="B1175" t="s">
        <v>2347</v>
      </c>
      <c r="C1175">
        <v>0</v>
      </c>
    </row>
    <row r="1176" spans="1:3" x14ac:dyDescent="0.25">
      <c r="A1176">
        <v>1813</v>
      </c>
      <c r="B1176" t="s">
        <v>2349</v>
      </c>
      <c r="C1176">
        <v>0</v>
      </c>
    </row>
    <row r="1177" spans="1:3" x14ac:dyDescent="0.25">
      <c r="A1177">
        <v>18131</v>
      </c>
      <c r="B1177" t="s">
        <v>2351</v>
      </c>
      <c r="C1177">
        <v>0</v>
      </c>
    </row>
    <row r="1178" spans="1:3" x14ac:dyDescent="0.25">
      <c r="A1178">
        <v>1814</v>
      </c>
      <c r="B1178" t="s">
        <v>2353</v>
      </c>
      <c r="C1178">
        <v>0</v>
      </c>
    </row>
    <row r="1179" spans="1:3" x14ac:dyDescent="0.25">
      <c r="A1179">
        <v>1815</v>
      </c>
      <c r="B1179" t="s">
        <v>2355</v>
      </c>
      <c r="C1179">
        <v>0</v>
      </c>
    </row>
    <row r="1180" spans="1:3" x14ac:dyDescent="0.25">
      <c r="A1180">
        <v>1816</v>
      </c>
      <c r="B1180" t="s">
        <v>2357</v>
      </c>
      <c r="C1180">
        <v>0</v>
      </c>
    </row>
    <row r="1181" spans="1:3" x14ac:dyDescent="0.25">
      <c r="A1181">
        <v>1817</v>
      </c>
      <c r="B1181" t="s">
        <v>2359</v>
      </c>
      <c r="C1181">
        <v>0</v>
      </c>
    </row>
    <row r="1182" spans="1:3" x14ac:dyDescent="0.25">
      <c r="A1182">
        <v>1818</v>
      </c>
      <c r="B1182" t="s">
        <v>2361</v>
      </c>
      <c r="C1182">
        <v>0</v>
      </c>
    </row>
    <row r="1183" spans="1:3" x14ac:dyDescent="0.25">
      <c r="A1183">
        <v>1819</v>
      </c>
      <c r="B1183" t="s">
        <v>2363</v>
      </c>
      <c r="C1183">
        <v>0</v>
      </c>
    </row>
    <row r="1184" spans="1:3" x14ac:dyDescent="0.25">
      <c r="A1184">
        <v>1820</v>
      </c>
      <c r="B1184" t="s">
        <v>2365</v>
      </c>
      <c r="C1184">
        <v>0</v>
      </c>
    </row>
    <row r="1185" spans="1:3" x14ac:dyDescent="0.25">
      <c r="A1185">
        <v>1821</v>
      </c>
      <c r="B1185" t="s">
        <v>2367</v>
      </c>
      <c r="C1185">
        <v>0</v>
      </c>
    </row>
    <row r="1186" spans="1:3" x14ac:dyDescent="0.25">
      <c r="A1186">
        <v>18211</v>
      </c>
      <c r="B1186" t="s">
        <v>2369</v>
      </c>
      <c r="C1186">
        <v>0</v>
      </c>
    </row>
    <row r="1187" spans="1:3" x14ac:dyDescent="0.25">
      <c r="A1187">
        <v>1822</v>
      </c>
      <c r="B1187" t="s">
        <v>2371</v>
      </c>
      <c r="C1187">
        <v>0</v>
      </c>
    </row>
    <row r="1188" spans="1:3" x14ac:dyDescent="0.25">
      <c r="A1188">
        <v>1823</v>
      </c>
      <c r="B1188" t="s">
        <v>2373</v>
      </c>
      <c r="C1188">
        <v>0</v>
      </c>
    </row>
    <row r="1189" spans="1:3" x14ac:dyDescent="0.25">
      <c r="A1189">
        <v>1824</v>
      </c>
      <c r="B1189" t="s">
        <v>2375</v>
      </c>
      <c r="C1189">
        <v>0</v>
      </c>
    </row>
    <row r="1190" spans="1:3" x14ac:dyDescent="0.25">
      <c r="A1190">
        <v>1825</v>
      </c>
      <c r="B1190" t="s">
        <v>2377</v>
      </c>
      <c r="C1190">
        <v>0</v>
      </c>
    </row>
    <row r="1191" spans="1:3" x14ac:dyDescent="0.25">
      <c r="A1191">
        <v>1826</v>
      </c>
      <c r="B1191" t="s">
        <v>2379</v>
      </c>
      <c r="C1191">
        <v>0</v>
      </c>
    </row>
    <row r="1192" spans="1:3" x14ac:dyDescent="0.25">
      <c r="A1192">
        <v>1827</v>
      </c>
      <c r="B1192" t="s">
        <v>2381</v>
      </c>
      <c r="C1192">
        <v>0</v>
      </c>
    </row>
    <row r="1193" spans="1:3" x14ac:dyDescent="0.25">
      <c r="A1193">
        <v>1828</v>
      </c>
      <c r="B1193" t="s">
        <v>2383</v>
      </c>
      <c r="C1193">
        <v>0</v>
      </c>
    </row>
    <row r="1194" spans="1:3" x14ac:dyDescent="0.25">
      <c r="A1194">
        <v>1829</v>
      </c>
      <c r="B1194" t="s">
        <v>2385</v>
      </c>
      <c r="C1194">
        <v>0</v>
      </c>
    </row>
    <row r="1195" spans="1:3" x14ac:dyDescent="0.25">
      <c r="A1195">
        <v>1830</v>
      </c>
      <c r="B1195" t="s">
        <v>2387</v>
      </c>
      <c r="C1195">
        <v>0</v>
      </c>
    </row>
    <row r="1196" spans="1:3" x14ac:dyDescent="0.25">
      <c r="A1196">
        <v>1831</v>
      </c>
      <c r="B1196" t="s">
        <v>2389</v>
      </c>
      <c r="C1196">
        <v>0</v>
      </c>
    </row>
    <row r="1197" spans="1:3" x14ac:dyDescent="0.25">
      <c r="A1197">
        <v>1832</v>
      </c>
      <c r="B1197" t="s">
        <v>2391</v>
      </c>
      <c r="C1197">
        <v>0</v>
      </c>
    </row>
    <row r="1198" spans="1:3" x14ac:dyDescent="0.25">
      <c r="A1198">
        <v>1833</v>
      </c>
      <c r="B1198" t="s">
        <v>2393</v>
      </c>
      <c r="C1198">
        <v>0</v>
      </c>
    </row>
    <row r="1199" spans="1:3" x14ac:dyDescent="0.25">
      <c r="A1199">
        <v>1834</v>
      </c>
      <c r="B1199" t="s">
        <v>2395</v>
      </c>
      <c r="C1199">
        <v>0</v>
      </c>
    </row>
    <row r="1200" spans="1:3" x14ac:dyDescent="0.25">
      <c r="A1200">
        <v>1835</v>
      </c>
      <c r="B1200" t="s">
        <v>2397</v>
      </c>
      <c r="C1200">
        <v>0</v>
      </c>
    </row>
    <row r="1201" spans="1:3" x14ac:dyDescent="0.25">
      <c r="A1201">
        <v>18351</v>
      </c>
      <c r="B1201" t="s">
        <v>2399</v>
      </c>
      <c r="C1201">
        <v>0</v>
      </c>
    </row>
    <row r="1202" spans="1:3" x14ac:dyDescent="0.25">
      <c r="A1202">
        <v>1836</v>
      </c>
      <c r="B1202" t="s">
        <v>2401</v>
      </c>
      <c r="C1202">
        <v>0</v>
      </c>
    </row>
    <row r="1203" spans="1:3" x14ac:dyDescent="0.25">
      <c r="A1203">
        <v>1837</v>
      </c>
      <c r="B1203" t="s">
        <v>2403</v>
      </c>
      <c r="C1203">
        <v>0</v>
      </c>
    </row>
    <row r="1204" spans="1:3" x14ac:dyDescent="0.25">
      <c r="A1204">
        <v>1838</v>
      </c>
      <c r="B1204" t="s">
        <v>2405</v>
      </c>
      <c r="C1204">
        <v>0</v>
      </c>
    </row>
    <row r="1205" spans="1:3" x14ac:dyDescent="0.25">
      <c r="A1205">
        <v>1839</v>
      </c>
      <c r="B1205" t="s">
        <v>2407</v>
      </c>
      <c r="C1205">
        <v>0</v>
      </c>
    </row>
    <row r="1206" spans="1:3" x14ac:dyDescent="0.25">
      <c r="A1206">
        <v>1840</v>
      </c>
      <c r="B1206" t="s">
        <v>2409</v>
      </c>
      <c r="C1206">
        <v>0</v>
      </c>
    </row>
    <row r="1207" spans="1:3" x14ac:dyDescent="0.25">
      <c r="A1207">
        <v>1841</v>
      </c>
      <c r="B1207" t="s">
        <v>2411</v>
      </c>
      <c r="C1207">
        <v>0</v>
      </c>
    </row>
    <row r="1208" spans="1:3" x14ac:dyDescent="0.25">
      <c r="A1208">
        <v>1842</v>
      </c>
      <c r="B1208" t="s">
        <v>2413</v>
      </c>
      <c r="C1208">
        <v>0</v>
      </c>
    </row>
    <row r="1209" spans="1:3" x14ac:dyDescent="0.25">
      <c r="A1209">
        <v>1843</v>
      </c>
      <c r="B1209" t="s">
        <v>2415</v>
      </c>
      <c r="C1209">
        <v>0</v>
      </c>
    </row>
    <row r="1210" spans="1:3" x14ac:dyDescent="0.25">
      <c r="A1210">
        <v>1844</v>
      </c>
      <c r="B1210" t="s">
        <v>2417</v>
      </c>
      <c r="C1210">
        <v>0</v>
      </c>
    </row>
    <row r="1211" spans="1:3" x14ac:dyDescent="0.25">
      <c r="A1211">
        <v>1845</v>
      </c>
      <c r="B1211" t="s">
        <v>2419</v>
      </c>
      <c r="C1211">
        <v>0</v>
      </c>
    </row>
    <row r="1212" spans="1:3" x14ac:dyDescent="0.25">
      <c r="A1212">
        <v>1846</v>
      </c>
      <c r="B1212" t="s">
        <v>2421</v>
      </c>
      <c r="C1212">
        <v>0</v>
      </c>
    </row>
    <row r="1213" spans="1:3" x14ac:dyDescent="0.25">
      <c r="A1213">
        <v>1847</v>
      </c>
      <c r="B1213" t="s">
        <v>2423</v>
      </c>
      <c r="C1213">
        <v>0</v>
      </c>
    </row>
    <row r="1214" spans="1:3" x14ac:dyDescent="0.25">
      <c r="A1214">
        <v>1848</v>
      </c>
      <c r="B1214" t="s">
        <v>2425</v>
      </c>
      <c r="C1214">
        <v>0</v>
      </c>
    </row>
    <row r="1215" spans="1:3" x14ac:dyDescent="0.25">
      <c r="A1215">
        <v>1849</v>
      </c>
      <c r="B1215" t="s">
        <v>2427</v>
      </c>
      <c r="C1215">
        <v>0</v>
      </c>
    </row>
    <row r="1216" spans="1:3" x14ac:dyDescent="0.25">
      <c r="A1216">
        <v>1850</v>
      </c>
      <c r="B1216" t="s">
        <v>2429</v>
      </c>
      <c r="C1216">
        <v>0</v>
      </c>
    </row>
    <row r="1217" spans="1:3" x14ac:dyDescent="0.25">
      <c r="A1217">
        <v>1851</v>
      </c>
      <c r="B1217" t="s">
        <v>2431</v>
      </c>
      <c r="C1217">
        <v>0</v>
      </c>
    </row>
    <row r="1218" spans="1:3" x14ac:dyDescent="0.25">
      <c r="A1218">
        <v>1852</v>
      </c>
      <c r="B1218" t="s">
        <v>2433</v>
      </c>
      <c r="C1218">
        <v>0</v>
      </c>
    </row>
    <row r="1219" spans="1:3" x14ac:dyDescent="0.25">
      <c r="A1219">
        <v>1853</v>
      </c>
      <c r="B1219" t="s">
        <v>2435</v>
      </c>
      <c r="C1219">
        <v>0</v>
      </c>
    </row>
    <row r="1220" spans="1:3" x14ac:dyDescent="0.25">
      <c r="A1220">
        <v>1854</v>
      </c>
      <c r="B1220" t="s">
        <v>2437</v>
      </c>
      <c r="C1220">
        <v>0</v>
      </c>
    </row>
    <row r="1221" spans="1:3" x14ac:dyDescent="0.25">
      <c r="A1221">
        <v>1855</v>
      </c>
      <c r="B1221" t="s">
        <v>2439</v>
      </c>
      <c r="C1221">
        <v>0</v>
      </c>
    </row>
    <row r="1222" spans="1:3" x14ac:dyDescent="0.25">
      <c r="A1222">
        <v>18551</v>
      </c>
      <c r="B1222" t="s">
        <v>2441</v>
      </c>
      <c r="C1222">
        <v>0</v>
      </c>
    </row>
    <row r="1223" spans="1:3" x14ac:dyDescent="0.25">
      <c r="A1223">
        <v>1856</v>
      </c>
      <c r="B1223" t="s">
        <v>2443</v>
      </c>
      <c r="C1223">
        <v>0</v>
      </c>
    </row>
    <row r="1224" spans="1:3" x14ac:dyDescent="0.25">
      <c r="A1224">
        <v>1857</v>
      </c>
      <c r="B1224" t="s">
        <v>2445</v>
      </c>
      <c r="C1224">
        <v>0</v>
      </c>
    </row>
    <row r="1225" spans="1:3" x14ac:dyDescent="0.25">
      <c r="A1225">
        <v>18571</v>
      </c>
      <c r="B1225" t="s">
        <v>2447</v>
      </c>
      <c r="C1225">
        <v>0</v>
      </c>
    </row>
    <row r="1226" spans="1:3" x14ac:dyDescent="0.25">
      <c r="A1226">
        <v>1858</v>
      </c>
      <c r="B1226" t="s">
        <v>2449</v>
      </c>
      <c r="C1226">
        <v>0</v>
      </c>
    </row>
    <row r="1227" spans="1:3" x14ac:dyDescent="0.25">
      <c r="A1227">
        <v>1859</v>
      </c>
      <c r="B1227" t="s">
        <v>2451</v>
      </c>
      <c r="C1227">
        <v>0</v>
      </c>
    </row>
    <row r="1228" spans="1:3" x14ac:dyDescent="0.25">
      <c r="A1228">
        <v>1860</v>
      </c>
      <c r="B1228" t="s">
        <v>2453</v>
      </c>
      <c r="C1228">
        <v>0</v>
      </c>
    </row>
    <row r="1229" spans="1:3" x14ac:dyDescent="0.25">
      <c r="A1229">
        <v>1861</v>
      </c>
      <c r="B1229" t="s">
        <v>2455</v>
      </c>
      <c r="C1229">
        <v>0</v>
      </c>
    </row>
    <row r="1230" spans="1:3" x14ac:dyDescent="0.25">
      <c r="A1230">
        <v>1862</v>
      </c>
      <c r="B1230" t="s">
        <v>2457</v>
      </c>
      <c r="C1230">
        <v>0</v>
      </c>
    </row>
    <row r="1231" spans="1:3" x14ac:dyDescent="0.25">
      <c r="A1231">
        <v>1863</v>
      </c>
      <c r="B1231" t="s">
        <v>2459</v>
      </c>
      <c r="C1231">
        <v>0</v>
      </c>
    </row>
    <row r="1232" spans="1:3" x14ac:dyDescent="0.25">
      <c r="A1232">
        <v>18631</v>
      </c>
      <c r="B1232" t="s">
        <v>2461</v>
      </c>
      <c r="C1232">
        <v>0</v>
      </c>
    </row>
    <row r="1233" spans="1:3" x14ac:dyDescent="0.25">
      <c r="A1233">
        <v>1864</v>
      </c>
      <c r="B1233" t="s">
        <v>2463</v>
      </c>
      <c r="C1233">
        <v>0</v>
      </c>
    </row>
    <row r="1234" spans="1:3" x14ac:dyDescent="0.25">
      <c r="A1234">
        <v>18641</v>
      </c>
      <c r="B1234" t="s">
        <v>2465</v>
      </c>
      <c r="C1234">
        <v>0</v>
      </c>
    </row>
    <row r="1235" spans="1:3" x14ac:dyDescent="0.25">
      <c r="A1235">
        <v>1865</v>
      </c>
      <c r="B1235" t="s">
        <v>2467</v>
      </c>
      <c r="C1235">
        <v>0</v>
      </c>
    </row>
    <row r="1236" spans="1:3" x14ac:dyDescent="0.25">
      <c r="A1236">
        <v>1866</v>
      </c>
      <c r="B1236" t="s">
        <v>2469</v>
      </c>
      <c r="C1236">
        <v>0</v>
      </c>
    </row>
    <row r="1237" spans="1:3" x14ac:dyDescent="0.25">
      <c r="A1237">
        <v>1867</v>
      </c>
      <c r="B1237" t="s">
        <v>2471</v>
      </c>
      <c r="C1237">
        <v>0</v>
      </c>
    </row>
    <row r="1238" spans="1:3" x14ac:dyDescent="0.25">
      <c r="A1238">
        <v>1868</v>
      </c>
      <c r="B1238" t="s">
        <v>2473</v>
      </c>
      <c r="C1238">
        <v>0</v>
      </c>
    </row>
    <row r="1239" spans="1:3" x14ac:dyDescent="0.25">
      <c r="A1239">
        <v>1869</v>
      </c>
      <c r="B1239" t="s">
        <v>2475</v>
      </c>
      <c r="C1239">
        <v>0</v>
      </c>
    </row>
    <row r="1240" spans="1:3" x14ac:dyDescent="0.25">
      <c r="A1240">
        <v>18691</v>
      </c>
      <c r="B1240" t="s">
        <v>2477</v>
      </c>
      <c r="C1240">
        <v>0</v>
      </c>
    </row>
    <row r="1241" spans="1:3" x14ac:dyDescent="0.25">
      <c r="A1241">
        <v>1870</v>
      </c>
      <c r="B1241" t="s">
        <v>2479</v>
      </c>
      <c r="C1241">
        <v>0</v>
      </c>
    </row>
    <row r="1242" spans="1:3" x14ac:dyDescent="0.25">
      <c r="A1242">
        <v>1871</v>
      </c>
      <c r="B1242" t="s">
        <v>2481</v>
      </c>
      <c r="C1242">
        <v>0</v>
      </c>
    </row>
    <row r="1243" spans="1:3" x14ac:dyDescent="0.25">
      <c r="A1243">
        <v>1872</v>
      </c>
      <c r="B1243" t="s">
        <v>2483</v>
      </c>
      <c r="C1243">
        <v>0</v>
      </c>
    </row>
    <row r="1244" spans="1:3" x14ac:dyDescent="0.25">
      <c r="A1244">
        <v>1873</v>
      </c>
      <c r="B1244" t="s">
        <v>2485</v>
      </c>
      <c r="C1244">
        <v>0</v>
      </c>
    </row>
    <row r="1245" spans="1:3" x14ac:dyDescent="0.25">
      <c r="A1245">
        <v>1874</v>
      </c>
      <c r="B1245" t="s">
        <v>2487</v>
      </c>
      <c r="C1245">
        <v>0</v>
      </c>
    </row>
    <row r="1246" spans="1:3" x14ac:dyDescent="0.25">
      <c r="A1246">
        <v>1875</v>
      </c>
      <c r="B1246" t="s">
        <v>2489</v>
      </c>
      <c r="C1246">
        <v>0</v>
      </c>
    </row>
    <row r="1247" spans="1:3" x14ac:dyDescent="0.25">
      <c r="A1247">
        <v>1876</v>
      </c>
      <c r="B1247" t="s">
        <v>2491</v>
      </c>
      <c r="C1247">
        <v>0</v>
      </c>
    </row>
    <row r="1248" spans="1:3" x14ac:dyDescent="0.25">
      <c r="A1248">
        <v>1877</v>
      </c>
      <c r="B1248" t="s">
        <v>2493</v>
      </c>
      <c r="C1248">
        <v>0</v>
      </c>
    </row>
    <row r="1249" spans="1:3" x14ac:dyDescent="0.25">
      <c r="A1249">
        <v>1878</v>
      </c>
      <c r="B1249" t="s">
        <v>2495</v>
      </c>
      <c r="C1249">
        <v>0</v>
      </c>
    </row>
    <row r="1250" spans="1:3" x14ac:dyDescent="0.25">
      <c r="A1250">
        <v>1879</v>
      </c>
      <c r="B1250" t="s">
        <v>2497</v>
      </c>
      <c r="C1250">
        <v>0</v>
      </c>
    </row>
    <row r="1251" spans="1:3" x14ac:dyDescent="0.25">
      <c r="A1251">
        <v>1880</v>
      </c>
      <c r="B1251" t="s">
        <v>2499</v>
      </c>
      <c r="C1251">
        <v>0</v>
      </c>
    </row>
    <row r="1252" spans="1:3" x14ac:dyDescent="0.25">
      <c r="A1252">
        <v>1881</v>
      </c>
      <c r="B1252" t="s">
        <v>2501</v>
      </c>
      <c r="C1252">
        <v>0</v>
      </c>
    </row>
    <row r="1253" spans="1:3" x14ac:dyDescent="0.25">
      <c r="A1253">
        <v>1882</v>
      </c>
      <c r="B1253" t="s">
        <v>2503</v>
      </c>
      <c r="C1253">
        <v>0</v>
      </c>
    </row>
    <row r="1254" spans="1:3" x14ac:dyDescent="0.25">
      <c r="A1254">
        <v>1883</v>
      </c>
      <c r="B1254" t="s">
        <v>2505</v>
      </c>
      <c r="C1254">
        <v>0</v>
      </c>
    </row>
    <row r="1255" spans="1:3" x14ac:dyDescent="0.25">
      <c r="A1255">
        <v>1884</v>
      </c>
      <c r="B1255" t="s">
        <v>2507</v>
      </c>
      <c r="C1255">
        <v>0</v>
      </c>
    </row>
    <row r="1256" spans="1:3" x14ac:dyDescent="0.25">
      <c r="A1256">
        <v>1885</v>
      </c>
      <c r="B1256" t="s">
        <v>2509</v>
      </c>
      <c r="C1256">
        <v>0</v>
      </c>
    </row>
    <row r="1257" spans="1:3" x14ac:dyDescent="0.25">
      <c r="A1257">
        <v>1886</v>
      </c>
      <c r="B1257" t="s">
        <v>2511</v>
      </c>
      <c r="C1257">
        <v>0</v>
      </c>
    </row>
    <row r="1258" spans="1:3" x14ac:dyDescent="0.25">
      <c r="A1258">
        <v>1887</v>
      </c>
      <c r="B1258" t="s">
        <v>2513</v>
      </c>
      <c r="C1258">
        <v>0</v>
      </c>
    </row>
    <row r="1259" spans="1:3" x14ac:dyDescent="0.25">
      <c r="A1259">
        <v>18871</v>
      </c>
      <c r="B1259" t="s">
        <v>2515</v>
      </c>
      <c r="C1259">
        <v>0</v>
      </c>
    </row>
    <row r="1260" spans="1:3" x14ac:dyDescent="0.25">
      <c r="A1260">
        <v>1888</v>
      </c>
      <c r="B1260" t="s">
        <v>2517</v>
      </c>
      <c r="C1260">
        <v>0</v>
      </c>
    </row>
    <row r="1261" spans="1:3" x14ac:dyDescent="0.25">
      <c r="A1261">
        <v>18881</v>
      </c>
      <c r="B1261" t="s">
        <v>2519</v>
      </c>
      <c r="C1261">
        <v>0</v>
      </c>
    </row>
    <row r="1262" spans="1:3" x14ac:dyDescent="0.25">
      <c r="A1262">
        <v>1889</v>
      </c>
      <c r="B1262" t="s">
        <v>2521</v>
      </c>
      <c r="C1262">
        <v>0</v>
      </c>
    </row>
    <row r="1263" spans="1:3" x14ac:dyDescent="0.25">
      <c r="A1263">
        <v>18891</v>
      </c>
      <c r="B1263" t="s">
        <v>2523</v>
      </c>
      <c r="C1263">
        <v>0</v>
      </c>
    </row>
    <row r="1264" spans="1:3" x14ac:dyDescent="0.25">
      <c r="A1264">
        <v>18892</v>
      </c>
      <c r="B1264" t="s">
        <v>2525</v>
      </c>
      <c r="C1264">
        <v>0</v>
      </c>
    </row>
    <row r="1265" spans="1:3" x14ac:dyDescent="0.25">
      <c r="A1265">
        <v>1890</v>
      </c>
      <c r="B1265" t="s">
        <v>2527</v>
      </c>
      <c r="C1265">
        <v>0</v>
      </c>
    </row>
    <row r="1266" spans="1:3" x14ac:dyDescent="0.25">
      <c r="A1266">
        <v>1891</v>
      </c>
      <c r="B1266" t="s">
        <v>2529</v>
      </c>
      <c r="C1266">
        <v>0</v>
      </c>
    </row>
    <row r="1267" spans="1:3" x14ac:dyDescent="0.25">
      <c r="A1267">
        <v>1892</v>
      </c>
      <c r="B1267" t="s">
        <v>2531</v>
      </c>
      <c r="C1267">
        <v>0</v>
      </c>
    </row>
    <row r="1268" spans="1:3" x14ac:dyDescent="0.25">
      <c r="A1268">
        <v>1893</v>
      </c>
      <c r="B1268" t="s">
        <v>2533</v>
      </c>
      <c r="C1268">
        <v>0</v>
      </c>
    </row>
    <row r="1269" spans="1:3" x14ac:dyDescent="0.25">
      <c r="A1269">
        <v>1894</v>
      </c>
      <c r="B1269" t="s">
        <v>2535</v>
      </c>
      <c r="C1269">
        <v>0</v>
      </c>
    </row>
    <row r="1270" spans="1:3" x14ac:dyDescent="0.25">
      <c r="A1270">
        <v>1895</v>
      </c>
      <c r="B1270" t="s">
        <v>2537</v>
      </c>
      <c r="C1270">
        <v>0</v>
      </c>
    </row>
    <row r="1271" spans="1:3" x14ac:dyDescent="0.25">
      <c r="A1271">
        <v>1896</v>
      </c>
      <c r="B1271" t="s">
        <v>2539</v>
      </c>
      <c r="C1271">
        <v>0</v>
      </c>
    </row>
    <row r="1272" spans="1:3" x14ac:dyDescent="0.25">
      <c r="A1272">
        <v>1897</v>
      </c>
      <c r="B1272" t="s">
        <v>2541</v>
      </c>
      <c r="C1272">
        <v>0</v>
      </c>
    </row>
    <row r="1273" spans="1:3" x14ac:dyDescent="0.25">
      <c r="A1273">
        <v>1898</v>
      </c>
      <c r="B1273" t="s">
        <v>2543</v>
      </c>
      <c r="C1273">
        <v>0</v>
      </c>
    </row>
    <row r="1274" spans="1:3" x14ac:dyDescent="0.25">
      <c r="A1274">
        <v>18981</v>
      </c>
      <c r="B1274" t="s">
        <v>2545</v>
      </c>
      <c r="C1274">
        <v>0</v>
      </c>
    </row>
    <row r="1275" spans="1:3" x14ac:dyDescent="0.25">
      <c r="A1275">
        <v>1899</v>
      </c>
      <c r="B1275" t="s">
        <v>2547</v>
      </c>
      <c r="C1275">
        <v>0</v>
      </c>
    </row>
    <row r="1276" spans="1:3" x14ac:dyDescent="0.25">
      <c r="A1276">
        <v>1900</v>
      </c>
      <c r="B1276" t="s">
        <v>2549</v>
      </c>
      <c r="C1276">
        <v>0</v>
      </c>
    </row>
    <row r="1277" spans="1:3" x14ac:dyDescent="0.25">
      <c r="A1277">
        <v>1901</v>
      </c>
      <c r="B1277" t="s">
        <v>2551</v>
      </c>
      <c r="C1277">
        <v>0</v>
      </c>
    </row>
    <row r="1278" spans="1:3" x14ac:dyDescent="0.25">
      <c r="A1278">
        <v>19011</v>
      </c>
      <c r="B1278" t="s">
        <v>2553</v>
      </c>
      <c r="C1278">
        <v>0</v>
      </c>
    </row>
    <row r="1279" spans="1:3" x14ac:dyDescent="0.25">
      <c r="A1279">
        <v>1902</v>
      </c>
      <c r="B1279" t="s">
        <v>2555</v>
      </c>
      <c r="C1279">
        <v>0</v>
      </c>
    </row>
    <row r="1280" spans="1:3" x14ac:dyDescent="0.25">
      <c r="A1280">
        <v>1903</v>
      </c>
      <c r="B1280" t="s">
        <v>2557</v>
      </c>
      <c r="C1280">
        <v>0</v>
      </c>
    </row>
    <row r="1281" spans="1:3" x14ac:dyDescent="0.25">
      <c r="A1281">
        <v>1904</v>
      </c>
      <c r="B1281" t="s">
        <v>2559</v>
      </c>
      <c r="C1281">
        <v>0</v>
      </c>
    </row>
    <row r="1282" spans="1:3" x14ac:dyDescent="0.25">
      <c r="A1282">
        <v>1905</v>
      </c>
      <c r="B1282" t="s">
        <v>2561</v>
      </c>
      <c r="C1282">
        <v>0</v>
      </c>
    </row>
    <row r="1283" spans="1:3" x14ac:dyDescent="0.25">
      <c r="A1283">
        <v>1906</v>
      </c>
      <c r="B1283" t="s">
        <v>2563</v>
      </c>
      <c r="C1283">
        <v>0</v>
      </c>
    </row>
    <row r="1284" spans="1:3" x14ac:dyDescent="0.25">
      <c r="A1284">
        <v>1907</v>
      </c>
      <c r="B1284" t="s">
        <v>2565</v>
      </c>
      <c r="C1284">
        <v>0</v>
      </c>
    </row>
    <row r="1285" spans="1:3" x14ac:dyDescent="0.25">
      <c r="A1285">
        <v>1908</v>
      </c>
      <c r="B1285" t="s">
        <v>2567</v>
      </c>
      <c r="C1285">
        <v>0</v>
      </c>
    </row>
    <row r="1286" spans="1:3" x14ac:dyDescent="0.25">
      <c r="A1286">
        <v>1909</v>
      </c>
      <c r="B1286" t="s">
        <v>2569</v>
      </c>
      <c r="C1286">
        <v>0</v>
      </c>
    </row>
    <row r="1287" spans="1:3" x14ac:dyDescent="0.25">
      <c r="A1287">
        <v>1910</v>
      </c>
      <c r="B1287" t="s">
        <v>2571</v>
      </c>
      <c r="C1287">
        <v>0</v>
      </c>
    </row>
    <row r="1288" spans="1:3" x14ac:dyDescent="0.25">
      <c r="A1288">
        <v>1911</v>
      </c>
      <c r="B1288" t="s">
        <v>2573</v>
      </c>
      <c r="C1288">
        <v>0</v>
      </c>
    </row>
    <row r="1289" spans="1:3" x14ac:dyDescent="0.25">
      <c r="A1289">
        <v>1912</v>
      </c>
      <c r="B1289" t="s">
        <v>2575</v>
      </c>
      <c r="C1289">
        <v>0</v>
      </c>
    </row>
    <row r="1290" spans="1:3" x14ac:dyDescent="0.25">
      <c r="A1290">
        <v>1913</v>
      </c>
      <c r="B1290" t="s">
        <v>2577</v>
      </c>
      <c r="C1290">
        <v>0</v>
      </c>
    </row>
    <row r="1291" spans="1:3" x14ac:dyDescent="0.25">
      <c r="A1291">
        <v>1914</v>
      </c>
      <c r="B1291" t="s">
        <v>2579</v>
      </c>
      <c r="C1291">
        <v>0</v>
      </c>
    </row>
    <row r="1292" spans="1:3" x14ac:dyDescent="0.25">
      <c r="A1292">
        <v>1915</v>
      </c>
      <c r="B1292" t="s">
        <v>2581</v>
      </c>
      <c r="C1292">
        <v>0</v>
      </c>
    </row>
    <row r="1293" spans="1:3" x14ac:dyDescent="0.25">
      <c r="A1293">
        <v>1916</v>
      </c>
      <c r="B1293" t="s">
        <v>2583</v>
      </c>
      <c r="C1293">
        <v>0</v>
      </c>
    </row>
    <row r="1294" spans="1:3" x14ac:dyDescent="0.25">
      <c r="A1294">
        <v>1917</v>
      </c>
      <c r="B1294" t="s">
        <v>2585</v>
      </c>
      <c r="C1294">
        <v>0</v>
      </c>
    </row>
    <row r="1295" spans="1:3" x14ac:dyDescent="0.25">
      <c r="A1295">
        <v>1918</v>
      </c>
      <c r="B1295" t="s">
        <v>2587</v>
      </c>
      <c r="C1295">
        <v>0</v>
      </c>
    </row>
    <row r="1296" spans="1:3" x14ac:dyDescent="0.25">
      <c r="A1296">
        <v>1919</v>
      </c>
      <c r="B1296" t="s">
        <v>2589</v>
      </c>
      <c r="C1296">
        <v>0</v>
      </c>
    </row>
    <row r="1297" spans="1:3" x14ac:dyDescent="0.25">
      <c r="A1297">
        <v>1920</v>
      </c>
      <c r="B1297" t="s">
        <v>2591</v>
      </c>
      <c r="C1297">
        <v>0</v>
      </c>
    </row>
    <row r="1298" spans="1:3" x14ac:dyDescent="0.25">
      <c r="A1298">
        <v>19201</v>
      </c>
      <c r="B1298" t="s">
        <v>2593</v>
      </c>
      <c r="C1298">
        <v>0</v>
      </c>
    </row>
    <row r="1299" spans="1:3" x14ac:dyDescent="0.25">
      <c r="A1299">
        <v>1921</v>
      </c>
      <c r="B1299" t="s">
        <v>2595</v>
      </c>
      <c r="C1299">
        <v>0</v>
      </c>
    </row>
    <row r="1300" spans="1:3" x14ac:dyDescent="0.25">
      <c r="A1300">
        <v>1922</v>
      </c>
      <c r="B1300" t="s">
        <v>2597</v>
      </c>
      <c r="C1300">
        <v>0</v>
      </c>
    </row>
    <row r="1301" spans="1:3" x14ac:dyDescent="0.25">
      <c r="A1301">
        <v>1923</v>
      </c>
      <c r="B1301" t="s">
        <v>2599</v>
      </c>
      <c r="C1301">
        <v>0</v>
      </c>
    </row>
    <row r="1302" spans="1:3" x14ac:dyDescent="0.25">
      <c r="A1302">
        <v>1924</v>
      </c>
      <c r="B1302" t="s">
        <v>2601</v>
      </c>
      <c r="C1302">
        <v>0</v>
      </c>
    </row>
    <row r="1303" spans="1:3" x14ac:dyDescent="0.25">
      <c r="A1303">
        <v>1925</v>
      </c>
      <c r="B1303" t="s">
        <v>2603</v>
      </c>
      <c r="C1303">
        <v>0</v>
      </c>
    </row>
    <row r="1304" spans="1:3" x14ac:dyDescent="0.25">
      <c r="A1304">
        <v>1926</v>
      </c>
      <c r="B1304" t="s">
        <v>2605</v>
      </c>
      <c r="C1304">
        <v>0</v>
      </c>
    </row>
    <row r="1305" spans="1:3" x14ac:dyDescent="0.25">
      <c r="A1305">
        <v>19261</v>
      </c>
      <c r="B1305" t="s">
        <v>2607</v>
      </c>
      <c r="C1305">
        <v>0</v>
      </c>
    </row>
    <row r="1306" spans="1:3" x14ac:dyDescent="0.25">
      <c r="A1306">
        <v>1927</v>
      </c>
      <c r="B1306" t="s">
        <v>2609</v>
      </c>
      <c r="C1306">
        <v>0</v>
      </c>
    </row>
    <row r="1307" spans="1:3" x14ac:dyDescent="0.25">
      <c r="A1307">
        <v>19271</v>
      </c>
      <c r="B1307" t="s">
        <v>2611</v>
      </c>
      <c r="C1307">
        <v>0</v>
      </c>
    </row>
    <row r="1308" spans="1:3" x14ac:dyDescent="0.25">
      <c r="A1308">
        <v>19272</v>
      </c>
      <c r="B1308" t="s">
        <v>2613</v>
      </c>
      <c r="C1308">
        <v>0</v>
      </c>
    </row>
    <row r="1309" spans="1:3" x14ac:dyDescent="0.25">
      <c r="A1309">
        <v>1928</v>
      </c>
      <c r="B1309" t="s">
        <v>2615</v>
      </c>
      <c r="C1309">
        <v>0</v>
      </c>
    </row>
    <row r="1310" spans="1:3" x14ac:dyDescent="0.25">
      <c r="A1310">
        <v>1929</v>
      </c>
      <c r="B1310" t="s">
        <v>2617</v>
      </c>
      <c r="C1310">
        <v>0</v>
      </c>
    </row>
    <row r="1311" spans="1:3" x14ac:dyDescent="0.25">
      <c r="A1311">
        <v>1930</v>
      </c>
      <c r="B1311" t="s">
        <v>2619</v>
      </c>
      <c r="C1311">
        <v>0</v>
      </c>
    </row>
    <row r="1312" spans="1:3" x14ac:dyDescent="0.25">
      <c r="A1312">
        <v>1931</v>
      </c>
      <c r="B1312" t="s">
        <v>2621</v>
      </c>
      <c r="C1312">
        <v>0</v>
      </c>
    </row>
    <row r="1313" spans="1:3" x14ac:dyDescent="0.25">
      <c r="A1313">
        <v>1932</v>
      </c>
      <c r="B1313" t="s">
        <v>2623</v>
      </c>
      <c r="C1313">
        <v>0</v>
      </c>
    </row>
    <row r="1314" spans="1:3" x14ac:dyDescent="0.25">
      <c r="A1314">
        <v>1933</v>
      </c>
      <c r="B1314" t="s">
        <v>2625</v>
      </c>
      <c r="C1314">
        <v>0</v>
      </c>
    </row>
    <row r="1315" spans="1:3" x14ac:dyDescent="0.25">
      <c r="A1315">
        <v>1934</v>
      </c>
      <c r="B1315" t="s">
        <v>2627</v>
      </c>
      <c r="C1315">
        <v>0</v>
      </c>
    </row>
    <row r="1316" spans="1:3" x14ac:dyDescent="0.25">
      <c r="A1316">
        <v>1935</v>
      </c>
      <c r="B1316" t="s">
        <v>2629</v>
      </c>
      <c r="C1316">
        <v>0</v>
      </c>
    </row>
    <row r="1317" spans="1:3" x14ac:dyDescent="0.25">
      <c r="A1317">
        <v>1936</v>
      </c>
      <c r="B1317" t="s">
        <v>2631</v>
      </c>
      <c r="C1317">
        <v>0</v>
      </c>
    </row>
    <row r="1318" spans="1:3" x14ac:dyDescent="0.25">
      <c r="A1318">
        <v>1937</v>
      </c>
      <c r="B1318" t="s">
        <v>2633</v>
      </c>
      <c r="C1318">
        <v>0</v>
      </c>
    </row>
    <row r="1319" spans="1:3" x14ac:dyDescent="0.25">
      <c r="A1319">
        <v>1938</v>
      </c>
      <c r="B1319" t="s">
        <v>2635</v>
      </c>
      <c r="C1319">
        <v>0</v>
      </c>
    </row>
    <row r="1320" spans="1:3" x14ac:dyDescent="0.25">
      <c r="A1320">
        <v>1939</v>
      </c>
      <c r="B1320" t="s">
        <v>2637</v>
      </c>
      <c r="C1320">
        <v>0</v>
      </c>
    </row>
    <row r="1321" spans="1:3" x14ac:dyDescent="0.25">
      <c r="A1321">
        <v>1940</v>
      </c>
      <c r="B1321" t="s">
        <v>2639</v>
      </c>
      <c r="C1321">
        <v>0</v>
      </c>
    </row>
    <row r="1322" spans="1:3" x14ac:dyDescent="0.25">
      <c r="A1322">
        <v>1941</v>
      </c>
      <c r="B1322" t="s">
        <v>2641</v>
      </c>
      <c r="C1322">
        <v>0</v>
      </c>
    </row>
    <row r="1323" spans="1:3" x14ac:dyDescent="0.25">
      <c r="A1323">
        <v>1942</v>
      </c>
      <c r="B1323" t="s">
        <v>2643</v>
      </c>
      <c r="C1323">
        <v>0</v>
      </c>
    </row>
    <row r="1324" spans="1:3" x14ac:dyDescent="0.25">
      <c r="A1324">
        <v>1943</v>
      </c>
      <c r="B1324" t="s">
        <v>2645</v>
      </c>
      <c r="C1324">
        <v>0</v>
      </c>
    </row>
    <row r="1325" spans="1:3" x14ac:dyDescent="0.25">
      <c r="A1325">
        <v>1944</v>
      </c>
      <c r="B1325" t="s">
        <v>2647</v>
      </c>
      <c r="C1325">
        <v>0</v>
      </c>
    </row>
    <row r="1326" spans="1:3" x14ac:dyDescent="0.25">
      <c r="A1326">
        <v>1945</v>
      </c>
      <c r="B1326" t="s">
        <v>2649</v>
      </c>
      <c r="C1326">
        <v>0</v>
      </c>
    </row>
    <row r="1327" spans="1:3" x14ac:dyDescent="0.25">
      <c r="A1327">
        <v>1946</v>
      </c>
      <c r="B1327" t="s">
        <v>2651</v>
      </c>
      <c r="C1327">
        <v>0</v>
      </c>
    </row>
    <row r="1328" spans="1:3" x14ac:dyDescent="0.25">
      <c r="A1328">
        <v>1947</v>
      </c>
      <c r="B1328" t="s">
        <v>2653</v>
      </c>
      <c r="C1328">
        <v>0</v>
      </c>
    </row>
    <row r="1329" spans="1:3" x14ac:dyDescent="0.25">
      <c r="A1329">
        <v>1948</v>
      </c>
      <c r="B1329" t="s">
        <v>2655</v>
      </c>
      <c r="C1329">
        <v>0</v>
      </c>
    </row>
    <row r="1330" spans="1:3" x14ac:dyDescent="0.25">
      <c r="A1330">
        <v>1949</v>
      </c>
      <c r="B1330" t="s">
        <v>2655</v>
      </c>
      <c r="C1330">
        <v>0</v>
      </c>
    </row>
    <row r="1331" spans="1:3" x14ac:dyDescent="0.25">
      <c r="A1331">
        <v>1950</v>
      </c>
      <c r="B1331" t="s">
        <v>2658</v>
      </c>
      <c r="C1331">
        <v>0</v>
      </c>
    </row>
    <row r="1332" spans="1:3" x14ac:dyDescent="0.25">
      <c r="A1332">
        <v>1951</v>
      </c>
      <c r="B1332" t="s">
        <v>2660</v>
      </c>
      <c r="C1332">
        <v>0</v>
      </c>
    </row>
    <row r="1333" spans="1:3" x14ac:dyDescent="0.25">
      <c r="A1333">
        <v>1952</v>
      </c>
      <c r="B1333" t="s">
        <v>2662</v>
      </c>
      <c r="C1333">
        <v>0</v>
      </c>
    </row>
    <row r="1334" spans="1:3" x14ac:dyDescent="0.25">
      <c r="A1334">
        <v>1953</v>
      </c>
      <c r="B1334" t="s">
        <v>2664</v>
      </c>
      <c r="C1334">
        <v>0</v>
      </c>
    </row>
    <row r="1335" spans="1:3" x14ac:dyDescent="0.25">
      <c r="A1335">
        <v>1954</v>
      </c>
      <c r="B1335" t="s">
        <v>2666</v>
      </c>
      <c r="C1335">
        <v>0</v>
      </c>
    </row>
    <row r="1336" spans="1:3" x14ac:dyDescent="0.25">
      <c r="A1336">
        <v>1955</v>
      </c>
      <c r="B1336" t="s">
        <v>2668</v>
      </c>
      <c r="C1336">
        <v>0</v>
      </c>
    </row>
    <row r="1337" spans="1:3" x14ac:dyDescent="0.25">
      <c r="A1337">
        <v>1956</v>
      </c>
      <c r="B1337" t="s">
        <v>2670</v>
      </c>
      <c r="C1337">
        <v>0</v>
      </c>
    </row>
    <row r="1338" spans="1:3" x14ac:dyDescent="0.25">
      <c r="A1338">
        <v>1957</v>
      </c>
      <c r="B1338" t="s">
        <v>2672</v>
      </c>
      <c r="C1338">
        <v>0</v>
      </c>
    </row>
    <row r="1339" spans="1:3" x14ac:dyDescent="0.25">
      <c r="A1339">
        <v>1958</v>
      </c>
      <c r="B1339" t="s">
        <v>2674</v>
      </c>
      <c r="C1339">
        <v>0</v>
      </c>
    </row>
    <row r="1340" spans="1:3" x14ac:dyDescent="0.25">
      <c r="A1340">
        <v>1959</v>
      </c>
      <c r="B1340" t="s">
        <v>2676</v>
      </c>
      <c r="C1340">
        <v>0</v>
      </c>
    </row>
    <row r="1341" spans="1:3" x14ac:dyDescent="0.25">
      <c r="A1341">
        <v>1960</v>
      </c>
      <c r="B1341" t="s">
        <v>2678</v>
      </c>
      <c r="C1341">
        <v>0</v>
      </c>
    </row>
    <row r="1342" spans="1:3" x14ac:dyDescent="0.25">
      <c r="A1342">
        <v>1961</v>
      </c>
      <c r="B1342" t="s">
        <v>2680</v>
      </c>
      <c r="C1342">
        <v>0</v>
      </c>
    </row>
    <row r="1343" spans="1:3" x14ac:dyDescent="0.25">
      <c r="A1343">
        <v>1962</v>
      </c>
      <c r="B1343" t="s">
        <v>2682</v>
      </c>
      <c r="C1343">
        <v>0</v>
      </c>
    </row>
    <row r="1344" spans="1:3" x14ac:dyDescent="0.25">
      <c r="A1344">
        <v>1963</v>
      </c>
      <c r="B1344" t="s">
        <v>2684</v>
      </c>
      <c r="C1344">
        <v>0</v>
      </c>
    </row>
    <row r="1345" spans="1:3" x14ac:dyDescent="0.25">
      <c r="A1345">
        <v>1964</v>
      </c>
      <c r="B1345" t="s">
        <v>2686</v>
      </c>
      <c r="C1345">
        <v>0</v>
      </c>
    </row>
    <row r="1346" spans="1:3" x14ac:dyDescent="0.25">
      <c r="A1346">
        <v>1965</v>
      </c>
      <c r="B1346" t="s">
        <v>2688</v>
      </c>
      <c r="C1346">
        <v>0</v>
      </c>
    </row>
    <row r="1347" spans="1:3" x14ac:dyDescent="0.25">
      <c r="A1347">
        <v>1966</v>
      </c>
      <c r="B1347" t="s">
        <v>2690</v>
      </c>
      <c r="C1347">
        <v>0</v>
      </c>
    </row>
    <row r="1348" spans="1:3" x14ac:dyDescent="0.25">
      <c r="A1348">
        <v>1967</v>
      </c>
      <c r="B1348" t="s">
        <v>2692</v>
      </c>
      <c r="C1348">
        <v>0</v>
      </c>
    </row>
    <row r="1349" spans="1:3" x14ac:dyDescent="0.25">
      <c r="A1349">
        <v>1968</v>
      </c>
      <c r="B1349" t="s">
        <v>2694</v>
      </c>
      <c r="C1349">
        <v>0</v>
      </c>
    </row>
    <row r="1350" spans="1:3" x14ac:dyDescent="0.25">
      <c r="A1350">
        <v>1969</v>
      </c>
      <c r="B1350" t="s">
        <v>2696</v>
      </c>
      <c r="C1350">
        <v>0</v>
      </c>
    </row>
    <row r="1351" spans="1:3" x14ac:dyDescent="0.25">
      <c r="A1351">
        <v>1970</v>
      </c>
      <c r="B1351" t="s">
        <v>2698</v>
      </c>
      <c r="C1351">
        <v>0</v>
      </c>
    </row>
    <row r="1352" spans="1:3" x14ac:dyDescent="0.25">
      <c r="A1352">
        <v>1971</v>
      </c>
      <c r="B1352" t="s">
        <v>2700</v>
      </c>
      <c r="C1352">
        <v>0</v>
      </c>
    </row>
    <row r="1353" spans="1:3" x14ac:dyDescent="0.25">
      <c r="A1353">
        <v>1972</v>
      </c>
      <c r="B1353" t="s">
        <v>2702</v>
      </c>
      <c r="C1353">
        <v>0</v>
      </c>
    </row>
    <row r="1354" spans="1:3" x14ac:dyDescent="0.25">
      <c r="A1354">
        <v>1973</v>
      </c>
      <c r="B1354" t="s">
        <v>2704</v>
      </c>
      <c r="C1354">
        <v>0</v>
      </c>
    </row>
    <row r="1355" spans="1:3" x14ac:dyDescent="0.25">
      <c r="A1355">
        <v>1974</v>
      </c>
      <c r="B1355" t="s">
        <v>2706</v>
      </c>
      <c r="C1355">
        <v>0</v>
      </c>
    </row>
    <row r="1356" spans="1:3" x14ac:dyDescent="0.25">
      <c r="A1356">
        <v>1975</v>
      </c>
      <c r="B1356" t="s">
        <v>2708</v>
      </c>
      <c r="C1356">
        <v>0</v>
      </c>
    </row>
    <row r="1357" spans="1:3" x14ac:dyDescent="0.25">
      <c r="A1357">
        <v>1976</v>
      </c>
      <c r="B1357" t="s">
        <v>2710</v>
      </c>
      <c r="C1357">
        <v>0</v>
      </c>
    </row>
    <row r="1358" spans="1:3" x14ac:dyDescent="0.25">
      <c r="A1358">
        <v>1977</v>
      </c>
      <c r="B1358" t="s">
        <v>2712</v>
      </c>
      <c r="C1358">
        <v>0</v>
      </c>
    </row>
    <row r="1359" spans="1:3" x14ac:dyDescent="0.25">
      <c r="A1359">
        <v>1978</v>
      </c>
      <c r="B1359" t="s">
        <v>2714</v>
      </c>
      <c r="C1359">
        <v>0</v>
      </c>
    </row>
    <row r="1360" spans="1:3" x14ac:dyDescent="0.25">
      <c r="A1360">
        <v>1979</v>
      </c>
      <c r="B1360" t="s">
        <v>2716</v>
      </c>
      <c r="C1360">
        <v>0</v>
      </c>
    </row>
    <row r="1361" spans="1:3" x14ac:dyDescent="0.25">
      <c r="A1361">
        <v>1980</v>
      </c>
      <c r="B1361" t="s">
        <v>2718</v>
      </c>
      <c r="C1361">
        <v>0</v>
      </c>
    </row>
    <row r="1362" spans="1:3" x14ac:dyDescent="0.25">
      <c r="A1362">
        <v>1981</v>
      </c>
      <c r="B1362" t="s">
        <v>2720</v>
      </c>
      <c r="C1362">
        <v>0</v>
      </c>
    </row>
    <row r="1363" spans="1:3" x14ac:dyDescent="0.25">
      <c r="A1363">
        <v>1982</v>
      </c>
      <c r="B1363" t="s">
        <v>2722</v>
      </c>
      <c r="C1363">
        <v>0</v>
      </c>
    </row>
    <row r="1364" spans="1:3" x14ac:dyDescent="0.25">
      <c r="A1364">
        <v>1983</v>
      </c>
      <c r="B1364" t="s">
        <v>2724</v>
      </c>
      <c r="C1364">
        <v>0</v>
      </c>
    </row>
    <row r="1365" spans="1:3" x14ac:dyDescent="0.25">
      <c r="A1365">
        <v>1984</v>
      </c>
      <c r="B1365" t="s">
        <v>2726</v>
      </c>
      <c r="C1365">
        <v>0</v>
      </c>
    </row>
    <row r="1366" spans="1:3" x14ac:dyDescent="0.25">
      <c r="A1366">
        <v>1985</v>
      </c>
      <c r="B1366" t="s">
        <v>2728</v>
      </c>
      <c r="C1366">
        <v>0</v>
      </c>
    </row>
    <row r="1367" spans="1:3" x14ac:dyDescent="0.25">
      <c r="A1367">
        <v>1986</v>
      </c>
      <c r="B1367" t="s">
        <v>2730</v>
      </c>
      <c r="C1367">
        <v>0</v>
      </c>
    </row>
    <row r="1368" spans="1:3" x14ac:dyDescent="0.25">
      <c r="A1368">
        <v>1987</v>
      </c>
      <c r="B1368" t="s">
        <v>2732</v>
      </c>
      <c r="C1368">
        <v>0</v>
      </c>
    </row>
    <row r="1369" spans="1:3" x14ac:dyDescent="0.25">
      <c r="A1369">
        <v>1988</v>
      </c>
      <c r="B1369" t="s">
        <v>2734</v>
      </c>
      <c r="C1369">
        <v>0</v>
      </c>
    </row>
    <row r="1370" spans="1:3" x14ac:dyDescent="0.25">
      <c r="A1370">
        <v>1989</v>
      </c>
      <c r="B1370" t="s">
        <v>2736</v>
      </c>
      <c r="C1370">
        <v>0</v>
      </c>
    </row>
    <row r="1371" spans="1:3" x14ac:dyDescent="0.25">
      <c r="A1371">
        <v>1990</v>
      </c>
      <c r="B1371" t="s">
        <v>2738</v>
      </c>
      <c r="C1371">
        <v>0</v>
      </c>
    </row>
    <row r="1372" spans="1:3" x14ac:dyDescent="0.25">
      <c r="A1372">
        <v>1991</v>
      </c>
      <c r="B1372" t="s">
        <v>2740</v>
      </c>
      <c r="C1372">
        <v>0</v>
      </c>
    </row>
    <row r="1373" spans="1:3" x14ac:dyDescent="0.25">
      <c r="A1373">
        <v>1992</v>
      </c>
      <c r="B1373" t="s">
        <v>2742</v>
      </c>
      <c r="C1373">
        <v>0</v>
      </c>
    </row>
    <row r="1374" spans="1:3" x14ac:dyDescent="0.25">
      <c r="A1374">
        <v>1993</v>
      </c>
      <c r="B1374" t="s">
        <v>2744</v>
      </c>
      <c r="C1374">
        <v>0</v>
      </c>
    </row>
    <row r="1375" spans="1:3" x14ac:dyDescent="0.25">
      <c r="A1375">
        <v>1994</v>
      </c>
      <c r="B1375" t="s">
        <v>2746</v>
      </c>
      <c r="C1375">
        <v>0</v>
      </c>
    </row>
    <row r="1376" spans="1:3" x14ac:dyDescent="0.25">
      <c r="A1376">
        <v>1995</v>
      </c>
      <c r="B1376" t="s">
        <v>2748</v>
      </c>
      <c r="C1376">
        <v>0</v>
      </c>
    </row>
    <row r="1377" spans="1:3" x14ac:dyDescent="0.25">
      <c r="A1377">
        <v>1996</v>
      </c>
      <c r="B1377" t="s">
        <v>2750</v>
      </c>
      <c r="C1377">
        <v>0</v>
      </c>
    </row>
    <row r="1378" spans="1:3" x14ac:dyDescent="0.25">
      <c r="A1378">
        <v>1997</v>
      </c>
      <c r="B1378" t="s">
        <v>2752</v>
      </c>
      <c r="C1378">
        <v>0</v>
      </c>
    </row>
    <row r="1379" spans="1:3" x14ac:dyDescent="0.25">
      <c r="A1379">
        <v>1998</v>
      </c>
      <c r="B1379" t="s">
        <v>2754</v>
      </c>
      <c r="C1379">
        <v>0</v>
      </c>
    </row>
    <row r="1380" spans="1:3" x14ac:dyDescent="0.25">
      <c r="A1380">
        <v>1999</v>
      </c>
      <c r="B1380" t="s">
        <v>2756</v>
      </c>
      <c r="C1380">
        <v>0</v>
      </c>
    </row>
    <row r="1381" spans="1:3" x14ac:dyDescent="0.25">
      <c r="A1381">
        <v>2000</v>
      </c>
      <c r="B1381" t="s">
        <v>2758</v>
      </c>
      <c r="C1381">
        <v>0</v>
      </c>
    </row>
    <row r="1382" spans="1:3" x14ac:dyDescent="0.25">
      <c r="A1382">
        <v>2001</v>
      </c>
      <c r="B1382" t="s">
        <v>2760</v>
      </c>
      <c r="C1382">
        <v>0</v>
      </c>
    </row>
    <row r="1383" spans="1:3" x14ac:dyDescent="0.25">
      <c r="A1383">
        <v>2002</v>
      </c>
      <c r="B1383" t="s">
        <v>2762</v>
      </c>
      <c r="C1383">
        <v>0</v>
      </c>
    </row>
    <row r="1384" spans="1:3" x14ac:dyDescent="0.25">
      <c r="A1384">
        <v>2003</v>
      </c>
      <c r="B1384" t="s">
        <v>2764</v>
      </c>
      <c r="C1384">
        <v>0</v>
      </c>
    </row>
    <row r="1385" spans="1:3" x14ac:dyDescent="0.25">
      <c r="A1385">
        <v>2004</v>
      </c>
      <c r="B1385" t="s">
        <v>2766</v>
      </c>
      <c r="C1385">
        <v>0</v>
      </c>
    </row>
    <row r="1386" spans="1:3" x14ac:dyDescent="0.25">
      <c r="A1386">
        <v>2005</v>
      </c>
      <c r="B1386" t="s">
        <v>2768</v>
      </c>
      <c r="C1386">
        <v>0</v>
      </c>
    </row>
    <row r="1387" spans="1:3" x14ac:dyDescent="0.25">
      <c r="A1387">
        <v>2006</v>
      </c>
      <c r="B1387" t="s">
        <v>2770</v>
      </c>
      <c r="C1387">
        <v>0</v>
      </c>
    </row>
    <row r="1388" spans="1:3" x14ac:dyDescent="0.25">
      <c r="A1388">
        <v>2997</v>
      </c>
      <c r="B1388" t="s">
        <v>2772</v>
      </c>
      <c r="C1388">
        <v>0</v>
      </c>
    </row>
    <row r="1389" spans="1:3" x14ac:dyDescent="0.25">
      <c r="A1389">
        <v>2998</v>
      </c>
      <c r="B1389" t="s">
        <v>2774</v>
      </c>
      <c r="C1389">
        <v>0</v>
      </c>
    </row>
    <row r="1390" spans="1:3" x14ac:dyDescent="0.25">
      <c r="A1390">
        <v>2999</v>
      </c>
      <c r="B1390" t="s">
        <v>2776</v>
      </c>
      <c r="C1390">
        <v>0</v>
      </c>
    </row>
    <row r="1391" spans="1:3" x14ac:dyDescent="0.25">
      <c r="A1391">
        <v>3000</v>
      </c>
      <c r="B1391" t="s">
        <v>2778</v>
      </c>
      <c r="C1391">
        <v>0</v>
      </c>
    </row>
    <row r="1392" spans="1:3" x14ac:dyDescent="0.25">
      <c r="A1392">
        <v>3001</v>
      </c>
      <c r="B1392" t="s">
        <v>2780</v>
      </c>
      <c r="C1392">
        <v>0</v>
      </c>
    </row>
    <row r="1393" spans="1:3" x14ac:dyDescent="0.25">
      <c r="A1393">
        <v>3002</v>
      </c>
      <c r="B1393" t="s">
        <v>2782</v>
      </c>
      <c r="C1393">
        <v>0</v>
      </c>
    </row>
    <row r="1394" spans="1:3" x14ac:dyDescent="0.25">
      <c r="A1394">
        <v>3003</v>
      </c>
      <c r="B1394" t="s">
        <v>2784</v>
      </c>
      <c r="C1394">
        <v>0</v>
      </c>
    </row>
    <row r="1395" spans="1:3" x14ac:dyDescent="0.25">
      <c r="A1395">
        <v>3004</v>
      </c>
      <c r="B1395" t="s">
        <v>2786</v>
      </c>
      <c r="C1395">
        <v>0</v>
      </c>
    </row>
    <row r="1396" spans="1:3" x14ac:dyDescent="0.25">
      <c r="A1396">
        <v>3005</v>
      </c>
      <c r="B1396" t="s">
        <v>2788</v>
      </c>
      <c r="C1396">
        <v>0</v>
      </c>
    </row>
    <row r="1397" spans="1:3" x14ac:dyDescent="0.25">
      <c r="A1397">
        <v>3006</v>
      </c>
      <c r="B1397" t="s">
        <v>2790</v>
      </c>
      <c r="C1397">
        <v>0</v>
      </c>
    </row>
    <row r="1398" spans="1:3" x14ac:dyDescent="0.25">
      <c r="A1398">
        <v>3007</v>
      </c>
      <c r="B1398" t="s">
        <v>2792</v>
      </c>
      <c r="C1398">
        <v>0</v>
      </c>
    </row>
    <row r="1399" spans="1:3" x14ac:dyDescent="0.25">
      <c r="A1399">
        <v>3008</v>
      </c>
      <c r="B1399" t="s">
        <v>2794</v>
      </c>
      <c r="C1399">
        <v>0</v>
      </c>
    </row>
    <row r="1400" spans="1:3" x14ac:dyDescent="0.25">
      <c r="A1400">
        <v>3009</v>
      </c>
      <c r="B1400" t="s">
        <v>2796</v>
      </c>
      <c r="C1400">
        <v>0</v>
      </c>
    </row>
    <row r="1401" spans="1:3" x14ac:dyDescent="0.25">
      <c r="A1401">
        <v>3010</v>
      </c>
      <c r="B1401" t="s">
        <v>2798</v>
      </c>
      <c r="C1401">
        <v>0</v>
      </c>
    </row>
    <row r="1402" spans="1:3" x14ac:dyDescent="0.25">
      <c r="A1402">
        <v>3011</v>
      </c>
      <c r="B1402" t="s">
        <v>2800</v>
      </c>
      <c r="C1402">
        <v>0</v>
      </c>
    </row>
    <row r="1403" spans="1:3" x14ac:dyDescent="0.25">
      <c r="A1403">
        <v>3012</v>
      </c>
      <c r="B1403" t="s">
        <v>2802</v>
      </c>
      <c r="C1403">
        <v>0</v>
      </c>
    </row>
    <row r="1404" spans="1:3" x14ac:dyDescent="0.25">
      <c r="A1404">
        <v>3013</v>
      </c>
      <c r="B1404" t="s">
        <v>2804</v>
      </c>
      <c r="C1404">
        <v>0</v>
      </c>
    </row>
    <row r="1405" spans="1:3" x14ac:dyDescent="0.25">
      <c r="A1405">
        <v>3014</v>
      </c>
      <c r="B1405" t="s">
        <v>2806</v>
      </c>
      <c r="C1405">
        <v>0</v>
      </c>
    </row>
    <row r="1406" spans="1:3" x14ac:dyDescent="0.25">
      <c r="A1406">
        <v>3015</v>
      </c>
      <c r="B1406" t="s">
        <v>2808</v>
      </c>
      <c r="C1406">
        <v>0</v>
      </c>
    </row>
    <row r="1407" spans="1:3" x14ac:dyDescent="0.25">
      <c r="A1407">
        <v>3016</v>
      </c>
      <c r="B1407" t="s">
        <v>2810</v>
      </c>
      <c r="C1407">
        <v>0</v>
      </c>
    </row>
    <row r="1408" spans="1:3" x14ac:dyDescent="0.25">
      <c r="A1408">
        <v>30161</v>
      </c>
      <c r="B1408" t="s">
        <v>2812</v>
      </c>
      <c r="C1408">
        <v>0</v>
      </c>
    </row>
    <row r="1409" spans="1:3" x14ac:dyDescent="0.25">
      <c r="A1409">
        <v>3017</v>
      </c>
      <c r="B1409" t="s">
        <v>2814</v>
      </c>
      <c r="C1409">
        <v>0</v>
      </c>
    </row>
    <row r="1410" spans="1:3" x14ac:dyDescent="0.25">
      <c r="A1410">
        <v>3018</v>
      </c>
      <c r="B1410" t="s">
        <v>2816</v>
      </c>
      <c r="C1410">
        <v>0</v>
      </c>
    </row>
    <row r="1411" spans="1:3" x14ac:dyDescent="0.25">
      <c r="A1411">
        <v>3019</v>
      </c>
      <c r="B1411" t="s">
        <v>2818</v>
      </c>
      <c r="C1411">
        <v>0</v>
      </c>
    </row>
    <row r="1412" spans="1:3" x14ac:dyDescent="0.25">
      <c r="A1412">
        <v>3020</v>
      </c>
      <c r="B1412" t="s">
        <v>2820</v>
      </c>
      <c r="C1412">
        <v>0</v>
      </c>
    </row>
    <row r="1413" spans="1:3" x14ac:dyDescent="0.25">
      <c r="A1413">
        <v>3021</v>
      </c>
      <c r="B1413" t="s">
        <v>2822</v>
      </c>
      <c r="C1413">
        <v>0</v>
      </c>
    </row>
    <row r="1414" spans="1:3" x14ac:dyDescent="0.25">
      <c r="A1414">
        <v>3022</v>
      </c>
      <c r="B1414" t="s">
        <v>2824</v>
      </c>
      <c r="C1414">
        <v>0</v>
      </c>
    </row>
    <row r="1415" spans="1:3" x14ac:dyDescent="0.25">
      <c r="A1415">
        <v>3023</v>
      </c>
      <c r="B1415" t="s">
        <v>2826</v>
      </c>
      <c r="C1415">
        <v>0</v>
      </c>
    </row>
    <row r="1416" spans="1:3" x14ac:dyDescent="0.25">
      <c r="A1416">
        <v>3024</v>
      </c>
      <c r="B1416" t="s">
        <v>2828</v>
      </c>
      <c r="C1416">
        <v>0</v>
      </c>
    </row>
    <row r="1417" spans="1:3" x14ac:dyDescent="0.25">
      <c r="A1417">
        <v>3025</v>
      </c>
      <c r="B1417" t="s">
        <v>2830</v>
      </c>
      <c r="C1417">
        <v>0</v>
      </c>
    </row>
    <row r="1418" spans="1:3" x14ac:dyDescent="0.25">
      <c r="A1418">
        <v>3026</v>
      </c>
      <c r="B1418" t="s">
        <v>2832</v>
      </c>
      <c r="C1418">
        <v>0</v>
      </c>
    </row>
    <row r="1419" spans="1:3" x14ac:dyDescent="0.25">
      <c r="A1419">
        <v>3027</v>
      </c>
      <c r="B1419" t="s">
        <v>2834</v>
      </c>
      <c r="C1419">
        <v>0</v>
      </c>
    </row>
    <row r="1420" spans="1:3" x14ac:dyDescent="0.25">
      <c r="A1420">
        <v>3028</v>
      </c>
      <c r="B1420" t="s">
        <v>2836</v>
      </c>
      <c r="C1420">
        <v>0</v>
      </c>
    </row>
    <row r="1421" spans="1:3" x14ac:dyDescent="0.25">
      <c r="A1421">
        <v>3029</v>
      </c>
      <c r="B1421" t="s">
        <v>2838</v>
      </c>
      <c r="C1421">
        <v>0</v>
      </c>
    </row>
    <row r="1422" spans="1:3" x14ac:dyDescent="0.25">
      <c r="A1422">
        <v>30291</v>
      </c>
      <c r="B1422" t="s">
        <v>2840</v>
      </c>
      <c r="C1422">
        <v>0</v>
      </c>
    </row>
    <row r="1423" spans="1:3" x14ac:dyDescent="0.25">
      <c r="A1423">
        <v>3030</v>
      </c>
      <c r="B1423" t="s">
        <v>2842</v>
      </c>
      <c r="C1423">
        <v>0</v>
      </c>
    </row>
    <row r="1424" spans="1:3" x14ac:dyDescent="0.25">
      <c r="A1424">
        <v>3031</v>
      </c>
      <c r="B1424" t="s">
        <v>2844</v>
      </c>
      <c r="C1424">
        <v>0</v>
      </c>
    </row>
    <row r="1425" spans="1:3" x14ac:dyDescent="0.25">
      <c r="A1425">
        <v>3032</v>
      </c>
      <c r="B1425" t="s">
        <v>2846</v>
      </c>
      <c r="C1425">
        <v>0</v>
      </c>
    </row>
    <row r="1426" spans="1:3" x14ac:dyDescent="0.25">
      <c r="A1426">
        <v>3033</v>
      </c>
      <c r="B1426" t="s">
        <v>2848</v>
      </c>
      <c r="C1426">
        <v>0</v>
      </c>
    </row>
    <row r="1427" spans="1:3" x14ac:dyDescent="0.25">
      <c r="A1427">
        <v>3034</v>
      </c>
      <c r="B1427" t="s">
        <v>2850</v>
      </c>
      <c r="C1427">
        <v>0</v>
      </c>
    </row>
    <row r="1428" spans="1:3" x14ac:dyDescent="0.25">
      <c r="A1428">
        <v>3035</v>
      </c>
      <c r="B1428" t="s">
        <v>2852</v>
      </c>
      <c r="C1428">
        <v>0</v>
      </c>
    </row>
    <row r="1429" spans="1:3" x14ac:dyDescent="0.25">
      <c r="A1429">
        <v>3036</v>
      </c>
      <c r="B1429" t="s">
        <v>2854</v>
      </c>
      <c r="C1429">
        <v>0</v>
      </c>
    </row>
    <row r="1430" spans="1:3" x14ac:dyDescent="0.25">
      <c r="A1430">
        <v>3037</v>
      </c>
      <c r="B1430" t="s">
        <v>2856</v>
      </c>
      <c r="C1430">
        <v>0</v>
      </c>
    </row>
    <row r="1431" spans="1:3" x14ac:dyDescent="0.25">
      <c r="A1431">
        <v>3100</v>
      </c>
      <c r="B1431" t="s">
        <v>2858</v>
      </c>
      <c r="C1431">
        <v>0</v>
      </c>
    </row>
    <row r="1432" spans="1:3" x14ac:dyDescent="0.25">
      <c r="A1432">
        <v>3101</v>
      </c>
      <c r="B1432" t="s">
        <v>2860</v>
      </c>
      <c r="C1432">
        <v>0</v>
      </c>
    </row>
    <row r="1433" spans="1:3" x14ac:dyDescent="0.25">
      <c r="A1433">
        <v>3102</v>
      </c>
      <c r="B1433" t="s">
        <v>2862</v>
      </c>
      <c r="C1433">
        <v>0</v>
      </c>
    </row>
    <row r="1434" spans="1:3" x14ac:dyDescent="0.25">
      <c r="A1434">
        <v>3103</v>
      </c>
      <c r="B1434" t="s">
        <v>2864</v>
      </c>
      <c r="C1434">
        <v>0</v>
      </c>
    </row>
    <row r="1435" spans="1:3" x14ac:dyDescent="0.25">
      <c r="A1435">
        <v>3104</v>
      </c>
      <c r="B1435" t="s">
        <v>2866</v>
      </c>
      <c r="C1435">
        <v>0</v>
      </c>
    </row>
    <row r="1436" spans="1:3" x14ac:dyDescent="0.25">
      <c r="A1436">
        <v>3105</v>
      </c>
      <c r="B1436" t="s">
        <v>2868</v>
      </c>
      <c r="C1436">
        <v>0</v>
      </c>
    </row>
    <row r="1437" spans="1:3" x14ac:dyDescent="0.25">
      <c r="A1437">
        <v>3106</v>
      </c>
      <c r="B1437" t="s">
        <v>2870</v>
      </c>
      <c r="C1437">
        <v>0</v>
      </c>
    </row>
    <row r="1438" spans="1:3" x14ac:dyDescent="0.25">
      <c r="A1438">
        <v>3107</v>
      </c>
      <c r="B1438" t="s">
        <v>2872</v>
      </c>
      <c r="C1438">
        <v>0</v>
      </c>
    </row>
    <row r="1439" spans="1:3" x14ac:dyDescent="0.25">
      <c r="A1439">
        <v>3108</v>
      </c>
      <c r="B1439" t="s">
        <v>2874</v>
      </c>
      <c r="C1439">
        <v>0</v>
      </c>
    </row>
    <row r="1440" spans="1:3" x14ac:dyDescent="0.25">
      <c r="A1440">
        <v>3109</v>
      </c>
      <c r="B1440" t="s">
        <v>2876</v>
      </c>
      <c r="C1440">
        <v>0</v>
      </c>
    </row>
    <row r="1441" spans="1:3" x14ac:dyDescent="0.25">
      <c r="A1441">
        <v>3110</v>
      </c>
      <c r="B1441" t="s">
        <v>2878</v>
      </c>
      <c r="C1441">
        <v>0</v>
      </c>
    </row>
    <row r="1442" spans="1:3" x14ac:dyDescent="0.25">
      <c r="A1442">
        <v>31101</v>
      </c>
      <c r="B1442" t="s">
        <v>2880</v>
      </c>
      <c r="C1442">
        <v>0</v>
      </c>
    </row>
    <row r="1443" spans="1:3" x14ac:dyDescent="0.25">
      <c r="A1443">
        <v>3111</v>
      </c>
      <c r="B1443" t="s">
        <v>2882</v>
      </c>
      <c r="C1443">
        <v>0</v>
      </c>
    </row>
    <row r="1444" spans="1:3" x14ac:dyDescent="0.25">
      <c r="A1444">
        <v>3112</v>
      </c>
      <c r="B1444" t="s">
        <v>2884</v>
      </c>
      <c r="C1444">
        <v>0</v>
      </c>
    </row>
    <row r="1445" spans="1:3" x14ac:dyDescent="0.25">
      <c r="A1445">
        <v>3113</v>
      </c>
      <c r="B1445" t="s">
        <v>2886</v>
      </c>
      <c r="C1445">
        <v>0</v>
      </c>
    </row>
    <row r="1446" spans="1:3" x14ac:dyDescent="0.25">
      <c r="A1446">
        <v>3114</v>
      </c>
      <c r="B1446" t="s">
        <v>2888</v>
      </c>
      <c r="C1446">
        <v>0</v>
      </c>
    </row>
    <row r="1447" spans="1:3" x14ac:dyDescent="0.25">
      <c r="A1447">
        <v>3115</v>
      </c>
      <c r="B1447" t="s">
        <v>2890</v>
      </c>
      <c r="C1447">
        <v>0</v>
      </c>
    </row>
    <row r="1448" spans="1:3" x14ac:dyDescent="0.25">
      <c r="A1448">
        <v>3116</v>
      </c>
      <c r="B1448" t="s">
        <v>2892</v>
      </c>
      <c r="C1448">
        <v>0</v>
      </c>
    </row>
    <row r="1449" spans="1:3" x14ac:dyDescent="0.25">
      <c r="A1449">
        <v>3117</v>
      </c>
      <c r="B1449" t="s">
        <v>2894</v>
      </c>
      <c r="C1449">
        <v>0</v>
      </c>
    </row>
    <row r="1450" spans="1:3" x14ac:dyDescent="0.25">
      <c r="A1450">
        <v>3118</v>
      </c>
      <c r="B1450" t="s">
        <v>2896</v>
      </c>
      <c r="C1450">
        <v>0</v>
      </c>
    </row>
    <row r="1451" spans="1:3" x14ac:dyDescent="0.25">
      <c r="A1451">
        <v>3119</v>
      </c>
      <c r="B1451" t="s">
        <v>2898</v>
      </c>
      <c r="C1451">
        <v>0</v>
      </c>
    </row>
    <row r="1452" spans="1:3" x14ac:dyDescent="0.25">
      <c r="A1452">
        <v>3120</v>
      </c>
      <c r="B1452" t="s">
        <v>2900</v>
      </c>
      <c r="C1452">
        <v>0</v>
      </c>
    </row>
    <row r="1453" spans="1:3" x14ac:dyDescent="0.25">
      <c r="A1453">
        <v>3121</v>
      </c>
      <c r="B1453" t="s">
        <v>2902</v>
      </c>
      <c r="C1453">
        <v>0</v>
      </c>
    </row>
    <row r="1454" spans="1:3" x14ac:dyDescent="0.25">
      <c r="A1454">
        <v>3122</v>
      </c>
      <c r="B1454" t="s">
        <v>2904</v>
      </c>
      <c r="C1454">
        <v>0</v>
      </c>
    </row>
    <row r="1455" spans="1:3" x14ac:dyDescent="0.25">
      <c r="A1455">
        <v>3123</v>
      </c>
      <c r="B1455" t="s">
        <v>2906</v>
      </c>
      <c r="C1455">
        <v>0</v>
      </c>
    </row>
    <row r="1456" spans="1:3" x14ac:dyDescent="0.25">
      <c r="A1456">
        <v>3124</v>
      </c>
      <c r="B1456" t="s">
        <v>2908</v>
      </c>
      <c r="C1456">
        <v>0</v>
      </c>
    </row>
    <row r="1457" spans="1:3" x14ac:dyDescent="0.25">
      <c r="A1457">
        <v>3125</v>
      </c>
      <c r="B1457" t="s">
        <v>2910</v>
      </c>
      <c r="C1457">
        <v>0</v>
      </c>
    </row>
    <row r="1458" spans="1:3" x14ac:dyDescent="0.25">
      <c r="A1458">
        <v>3126</v>
      </c>
      <c r="B1458" t="s">
        <v>2912</v>
      </c>
      <c r="C1458">
        <v>0</v>
      </c>
    </row>
    <row r="1459" spans="1:3" x14ac:dyDescent="0.25">
      <c r="A1459">
        <v>3127</v>
      </c>
      <c r="B1459" t="s">
        <v>2914</v>
      </c>
      <c r="C1459">
        <v>0</v>
      </c>
    </row>
    <row r="1460" spans="1:3" x14ac:dyDescent="0.25">
      <c r="A1460">
        <v>3190</v>
      </c>
      <c r="B1460" t="s">
        <v>2916</v>
      </c>
      <c r="C1460">
        <v>0</v>
      </c>
    </row>
    <row r="1461" spans="1:3" x14ac:dyDescent="0.25">
      <c r="A1461">
        <v>3191</v>
      </c>
      <c r="B1461" t="s">
        <v>2918</v>
      </c>
      <c r="C1461">
        <v>0</v>
      </c>
    </row>
    <row r="1462" spans="1:3" x14ac:dyDescent="0.25">
      <c r="A1462">
        <v>3192</v>
      </c>
      <c r="B1462" t="s">
        <v>2920</v>
      </c>
      <c r="C1462">
        <v>0</v>
      </c>
    </row>
    <row r="1463" spans="1:3" x14ac:dyDescent="0.25">
      <c r="A1463">
        <v>3193</v>
      </c>
      <c r="B1463" t="s">
        <v>2922</v>
      </c>
      <c r="C1463">
        <v>0</v>
      </c>
    </row>
    <row r="1464" spans="1:3" x14ac:dyDescent="0.25">
      <c r="A1464">
        <v>3194</v>
      </c>
      <c r="B1464" t="s">
        <v>2924</v>
      </c>
      <c r="C1464">
        <v>0</v>
      </c>
    </row>
    <row r="1465" spans="1:3" x14ac:dyDescent="0.25">
      <c r="A1465">
        <v>3195</v>
      </c>
      <c r="B1465" t="s">
        <v>2926</v>
      </c>
      <c r="C1465">
        <v>0</v>
      </c>
    </row>
    <row r="1466" spans="1:3" x14ac:dyDescent="0.25">
      <c r="A1466">
        <v>3196</v>
      </c>
      <c r="B1466" t="s">
        <v>2928</v>
      </c>
      <c r="C1466">
        <v>0</v>
      </c>
    </row>
    <row r="1467" spans="1:3" x14ac:dyDescent="0.25">
      <c r="A1467">
        <v>3197</v>
      </c>
      <c r="B1467" t="s">
        <v>2930</v>
      </c>
      <c r="C1467">
        <v>0</v>
      </c>
    </row>
    <row r="1468" spans="1:3" x14ac:dyDescent="0.25">
      <c r="A1468">
        <v>3198</v>
      </c>
      <c r="B1468" t="s">
        <v>2932</v>
      </c>
      <c r="C1468">
        <v>0</v>
      </c>
    </row>
    <row r="1469" spans="1:3" x14ac:dyDescent="0.25">
      <c r="A1469">
        <v>3199</v>
      </c>
      <c r="B1469" t="s">
        <v>2934</v>
      </c>
      <c r="C1469">
        <v>0</v>
      </c>
    </row>
    <row r="1470" spans="1:3" x14ac:dyDescent="0.25">
      <c r="A1470">
        <v>3200</v>
      </c>
      <c r="B1470" t="s">
        <v>2936</v>
      </c>
      <c r="C1470">
        <v>0</v>
      </c>
    </row>
    <row r="1471" spans="1:3" x14ac:dyDescent="0.25">
      <c r="A1471">
        <v>3201</v>
      </c>
      <c r="B1471" t="s">
        <v>2938</v>
      </c>
      <c r="C1471">
        <v>0</v>
      </c>
    </row>
    <row r="1472" spans="1:3" x14ac:dyDescent="0.25">
      <c r="A1472">
        <v>3202</v>
      </c>
      <c r="B1472" t="s">
        <v>2940</v>
      </c>
      <c r="C1472">
        <v>0</v>
      </c>
    </row>
    <row r="1473" spans="1:3" x14ac:dyDescent="0.25">
      <c r="A1473">
        <v>3203</v>
      </c>
      <c r="B1473" t="s">
        <v>2942</v>
      </c>
      <c r="C1473">
        <v>0</v>
      </c>
    </row>
    <row r="1474" spans="1:3" x14ac:dyDescent="0.25">
      <c r="A1474">
        <v>3204</v>
      </c>
      <c r="B1474" t="s">
        <v>2944</v>
      </c>
      <c r="C1474">
        <v>0</v>
      </c>
    </row>
    <row r="1475" spans="1:3" x14ac:dyDescent="0.25">
      <c r="A1475">
        <v>3205</v>
      </c>
      <c r="B1475" t="s">
        <v>2946</v>
      </c>
      <c r="C1475">
        <v>0</v>
      </c>
    </row>
    <row r="1476" spans="1:3" x14ac:dyDescent="0.25">
      <c r="A1476">
        <v>3206</v>
      </c>
      <c r="B1476" t="s">
        <v>2948</v>
      </c>
      <c r="C1476">
        <v>0</v>
      </c>
    </row>
    <row r="1477" spans="1:3" x14ac:dyDescent="0.25">
      <c r="A1477">
        <v>3207</v>
      </c>
      <c r="B1477" t="s">
        <v>2950</v>
      </c>
      <c r="C1477">
        <v>0</v>
      </c>
    </row>
    <row r="1478" spans="1:3" x14ac:dyDescent="0.25">
      <c r="A1478">
        <v>3208</v>
      </c>
      <c r="B1478" t="s">
        <v>2952</v>
      </c>
      <c r="C1478">
        <v>0</v>
      </c>
    </row>
    <row r="1479" spans="1:3" x14ac:dyDescent="0.25">
      <c r="A1479">
        <v>3209</v>
      </c>
      <c r="B1479" t="s">
        <v>2954</v>
      </c>
      <c r="C1479">
        <v>0</v>
      </c>
    </row>
    <row r="1480" spans="1:3" x14ac:dyDescent="0.25">
      <c r="A1480">
        <v>3210</v>
      </c>
      <c r="B1480" t="s">
        <v>2956</v>
      </c>
      <c r="C1480">
        <v>0</v>
      </c>
    </row>
    <row r="1481" spans="1:3" x14ac:dyDescent="0.25">
      <c r="A1481">
        <v>3211</v>
      </c>
      <c r="B1481" t="s">
        <v>2958</v>
      </c>
      <c r="C1481">
        <v>0</v>
      </c>
    </row>
    <row r="1482" spans="1:3" x14ac:dyDescent="0.25">
      <c r="A1482">
        <v>3212</v>
      </c>
      <c r="B1482" t="s">
        <v>2960</v>
      </c>
      <c r="C1482">
        <v>0</v>
      </c>
    </row>
    <row r="1483" spans="1:3" x14ac:dyDescent="0.25">
      <c r="A1483">
        <v>3213</v>
      </c>
      <c r="B1483" t="s">
        <v>2962</v>
      </c>
      <c r="C1483">
        <v>0</v>
      </c>
    </row>
    <row r="1484" spans="1:3" x14ac:dyDescent="0.25">
      <c r="A1484">
        <v>3214</v>
      </c>
      <c r="B1484" t="s">
        <v>2964</v>
      </c>
      <c r="C1484">
        <v>0</v>
      </c>
    </row>
    <row r="1485" spans="1:3" x14ac:dyDescent="0.25">
      <c r="A1485">
        <v>3215</v>
      </c>
      <c r="B1485" t="s">
        <v>2966</v>
      </c>
      <c r="C1485">
        <v>0</v>
      </c>
    </row>
    <row r="1486" spans="1:3" x14ac:dyDescent="0.25">
      <c r="A1486">
        <v>3216</v>
      </c>
      <c r="B1486" t="s">
        <v>2968</v>
      </c>
      <c r="C1486">
        <v>0</v>
      </c>
    </row>
    <row r="1487" spans="1:3" x14ac:dyDescent="0.25">
      <c r="A1487">
        <v>3217</v>
      </c>
      <c r="B1487" t="s">
        <v>2970</v>
      </c>
      <c r="C1487">
        <v>0</v>
      </c>
    </row>
    <row r="1488" spans="1:3" x14ac:dyDescent="0.25">
      <c r="A1488">
        <v>3218</v>
      </c>
      <c r="B1488" t="s">
        <v>2972</v>
      </c>
      <c r="C1488">
        <v>0</v>
      </c>
    </row>
    <row r="1489" spans="1:3" x14ac:dyDescent="0.25">
      <c r="A1489">
        <v>3219</v>
      </c>
      <c r="B1489" t="s">
        <v>2974</v>
      </c>
      <c r="C1489">
        <v>0</v>
      </c>
    </row>
    <row r="1490" spans="1:3" x14ac:dyDescent="0.25">
      <c r="A1490">
        <v>3220</v>
      </c>
      <c r="B1490" t="s">
        <v>2976</v>
      </c>
      <c r="C1490">
        <v>0</v>
      </c>
    </row>
    <row r="1491" spans="1:3" x14ac:dyDescent="0.25">
      <c r="A1491">
        <v>3221</v>
      </c>
      <c r="B1491" t="s">
        <v>2978</v>
      </c>
      <c r="C1491">
        <v>0</v>
      </c>
    </row>
    <row r="1492" spans="1:3" x14ac:dyDescent="0.25">
      <c r="A1492">
        <v>3222</v>
      </c>
      <c r="B1492" t="s">
        <v>2980</v>
      </c>
      <c r="C1492">
        <v>0</v>
      </c>
    </row>
    <row r="1493" spans="1:3" x14ac:dyDescent="0.25">
      <c r="A1493">
        <v>3223</v>
      </c>
      <c r="B1493" t="s">
        <v>2982</v>
      </c>
      <c r="C1493">
        <v>0</v>
      </c>
    </row>
    <row r="1494" spans="1:3" x14ac:dyDescent="0.25">
      <c r="A1494">
        <v>3224</v>
      </c>
      <c r="B1494" t="s">
        <v>2984</v>
      </c>
      <c r="C1494">
        <v>0</v>
      </c>
    </row>
    <row r="1495" spans="1:3" x14ac:dyDescent="0.25">
      <c r="A1495">
        <v>3225</v>
      </c>
      <c r="B1495" t="s">
        <v>2986</v>
      </c>
      <c r="C1495">
        <v>0</v>
      </c>
    </row>
    <row r="1496" spans="1:3" x14ac:dyDescent="0.25">
      <c r="A1496">
        <v>3226</v>
      </c>
      <c r="B1496" t="s">
        <v>2988</v>
      </c>
      <c r="C1496">
        <v>0</v>
      </c>
    </row>
    <row r="1497" spans="1:3" x14ac:dyDescent="0.25">
      <c r="A1497">
        <v>3227</v>
      </c>
      <c r="B1497" t="s">
        <v>2990</v>
      </c>
      <c r="C1497">
        <v>0</v>
      </c>
    </row>
    <row r="1498" spans="1:3" x14ac:dyDescent="0.25">
      <c r="A1498">
        <v>3228</v>
      </c>
      <c r="B1498" t="s">
        <v>2992</v>
      </c>
      <c r="C1498">
        <v>0</v>
      </c>
    </row>
    <row r="1499" spans="1:3" x14ac:dyDescent="0.25">
      <c r="A1499">
        <v>3229</v>
      </c>
      <c r="B1499" t="s">
        <v>2994</v>
      </c>
      <c r="C1499">
        <v>0</v>
      </c>
    </row>
    <row r="1500" spans="1:3" x14ac:dyDescent="0.25">
      <c r="A1500">
        <v>3230</v>
      </c>
      <c r="B1500" t="s">
        <v>2996</v>
      </c>
      <c r="C1500">
        <v>0</v>
      </c>
    </row>
    <row r="1501" spans="1:3" x14ac:dyDescent="0.25">
      <c r="A1501">
        <v>3231</v>
      </c>
      <c r="B1501" t="s">
        <v>2998</v>
      </c>
      <c r="C1501">
        <v>0</v>
      </c>
    </row>
    <row r="1502" spans="1:3" x14ac:dyDescent="0.25">
      <c r="A1502">
        <v>3232</v>
      </c>
      <c r="B1502" t="s">
        <v>3000</v>
      </c>
      <c r="C1502">
        <v>0</v>
      </c>
    </row>
    <row r="1503" spans="1:3" x14ac:dyDescent="0.25">
      <c r="A1503">
        <v>3233</v>
      </c>
      <c r="B1503" t="s">
        <v>3002</v>
      </c>
      <c r="C1503">
        <v>0</v>
      </c>
    </row>
    <row r="1504" spans="1:3" x14ac:dyDescent="0.25">
      <c r="A1504">
        <v>3234</v>
      </c>
      <c r="B1504" t="s">
        <v>3004</v>
      </c>
      <c r="C1504">
        <v>0</v>
      </c>
    </row>
    <row r="1505" spans="1:3" x14ac:dyDescent="0.25">
      <c r="A1505">
        <v>3242</v>
      </c>
      <c r="B1505" t="s">
        <v>3006</v>
      </c>
      <c r="C1505">
        <v>0</v>
      </c>
    </row>
    <row r="1506" spans="1:3" x14ac:dyDescent="0.25">
      <c r="A1506">
        <v>3243</v>
      </c>
      <c r="B1506" t="s">
        <v>3008</v>
      </c>
      <c r="C1506">
        <v>0</v>
      </c>
    </row>
    <row r="1507" spans="1:3" x14ac:dyDescent="0.25">
      <c r="A1507">
        <v>3244</v>
      </c>
      <c r="B1507" t="s">
        <v>3010</v>
      </c>
      <c r="C1507">
        <v>0</v>
      </c>
    </row>
    <row r="1508" spans="1:3" x14ac:dyDescent="0.25">
      <c r="A1508">
        <v>3245</v>
      </c>
      <c r="B1508" t="s">
        <v>3012</v>
      </c>
      <c r="C1508">
        <v>0</v>
      </c>
    </row>
    <row r="1509" spans="1:3" x14ac:dyDescent="0.25">
      <c r="A1509">
        <v>3246</v>
      </c>
      <c r="B1509" t="s">
        <v>3014</v>
      </c>
      <c r="C1509">
        <v>0</v>
      </c>
    </row>
    <row r="1510" spans="1:3" x14ac:dyDescent="0.25">
      <c r="A1510">
        <v>3247</v>
      </c>
      <c r="B1510" t="s">
        <v>3016</v>
      </c>
      <c r="C1510">
        <v>0</v>
      </c>
    </row>
    <row r="1511" spans="1:3" x14ac:dyDescent="0.25">
      <c r="A1511">
        <v>3248</v>
      </c>
      <c r="B1511" t="s">
        <v>3018</v>
      </c>
      <c r="C1511">
        <v>0</v>
      </c>
    </row>
    <row r="1512" spans="1:3" x14ac:dyDescent="0.25">
      <c r="A1512">
        <v>3249</v>
      </c>
      <c r="B1512" t="s">
        <v>3020</v>
      </c>
      <c r="C1512">
        <v>0</v>
      </c>
    </row>
    <row r="1513" spans="1:3" x14ac:dyDescent="0.25">
      <c r="A1513">
        <v>3250</v>
      </c>
      <c r="B1513" t="s">
        <v>3022</v>
      </c>
      <c r="C1513">
        <v>0</v>
      </c>
    </row>
    <row r="1514" spans="1:3" x14ac:dyDescent="0.25">
      <c r="A1514">
        <v>3251</v>
      </c>
      <c r="B1514" t="s">
        <v>3024</v>
      </c>
      <c r="C1514">
        <v>0</v>
      </c>
    </row>
    <row r="1515" spans="1:3" x14ac:dyDescent="0.25">
      <c r="A1515">
        <v>3252</v>
      </c>
      <c r="B1515" t="s">
        <v>3026</v>
      </c>
      <c r="C1515">
        <v>0</v>
      </c>
    </row>
    <row r="1516" spans="1:3" x14ac:dyDescent="0.25">
      <c r="A1516">
        <v>3253</v>
      </c>
      <c r="B1516" t="s">
        <v>3028</v>
      </c>
      <c r="C1516">
        <v>0</v>
      </c>
    </row>
    <row r="1517" spans="1:3" x14ac:dyDescent="0.25">
      <c r="A1517">
        <v>3254</v>
      </c>
      <c r="B1517" t="s">
        <v>3030</v>
      </c>
      <c r="C1517">
        <v>0</v>
      </c>
    </row>
    <row r="1518" spans="1:3" x14ac:dyDescent="0.25">
      <c r="A1518">
        <v>3255</v>
      </c>
      <c r="B1518" t="s">
        <v>3032</v>
      </c>
      <c r="C1518">
        <v>0</v>
      </c>
    </row>
    <row r="1519" spans="1:3" x14ac:dyDescent="0.25">
      <c r="A1519">
        <v>3256</v>
      </c>
      <c r="B1519" t="s">
        <v>3034</v>
      </c>
      <c r="C1519">
        <v>0</v>
      </c>
    </row>
    <row r="1520" spans="1:3" x14ac:dyDescent="0.25">
      <c r="A1520">
        <v>3257</v>
      </c>
      <c r="B1520" t="s">
        <v>3036</v>
      </c>
      <c r="C1520">
        <v>0</v>
      </c>
    </row>
    <row r="1521" spans="1:3" x14ac:dyDescent="0.25">
      <c r="A1521">
        <v>3258</v>
      </c>
      <c r="B1521" t="s">
        <v>3038</v>
      </c>
      <c r="C1521">
        <v>0</v>
      </c>
    </row>
    <row r="1522" spans="1:3" x14ac:dyDescent="0.25">
      <c r="A1522">
        <v>3260</v>
      </c>
      <c r="B1522" t="s">
        <v>3040</v>
      </c>
      <c r="C1522">
        <v>0</v>
      </c>
    </row>
    <row r="1523" spans="1:3" x14ac:dyDescent="0.25">
      <c r="A1523">
        <v>3261</v>
      </c>
      <c r="B1523" t="s">
        <v>3042</v>
      </c>
      <c r="C1523">
        <v>0</v>
      </c>
    </row>
    <row r="1524" spans="1:3" x14ac:dyDescent="0.25">
      <c r="A1524">
        <v>3262</v>
      </c>
      <c r="B1524" t="s">
        <v>3044</v>
      </c>
      <c r="C1524">
        <v>0</v>
      </c>
    </row>
    <row r="1525" spans="1:3" x14ac:dyDescent="0.25">
      <c r="A1525">
        <v>3263</v>
      </c>
      <c r="B1525" t="s">
        <v>3046</v>
      </c>
      <c r="C1525">
        <v>0</v>
      </c>
    </row>
    <row r="1526" spans="1:3" x14ac:dyDescent="0.25">
      <c r="A1526">
        <v>3264</v>
      </c>
      <c r="B1526" t="s">
        <v>3048</v>
      </c>
      <c r="C1526">
        <v>0</v>
      </c>
    </row>
    <row r="1527" spans="1:3" x14ac:dyDescent="0.25">
      <c r="A1527">
        <v>3265</v>
      </c>
      <c r="B1527" t="s">
        <v>3050</v>
      </c>
      <c r="C1527">
        <v>0</v>
      </c>
    </row>
    <row r="1528" spans="1:3" x14ac:dyDescent="0.25">
      <c r="A1528">
        <v>3266</v>
      </c>
      <c r="B1528" t="s">
        <v>3052</v>
      </c>
      <c r="C1528">
        <v>0</v>
      </c>
    </row>
    <row r="1529" spans="1:3" x14ac:dyDescent="0.25">
      <c r="A1529">
        <v>3267</v>
      </c>
      <c r="B1529" t="s">
        <v>3054</v>
      </c>
      <c r="C1529">
        <v>0</v>
      </c>
    </row>
    <row r="1530" spans="1:3" x14ac:dyDescent="0.25">
      <c r="A1530">
        <v>3268</v>
      </c>
      <c r="B1530" t="s">
        <v>3056</v>
      </c>
      <c r="C1530">
        <v>0</v>
      </c>
    </row>
    <row r="1531" spans="1:3" x14ac:dyDescent="0.25">
      <c r="A1531">
        <v>3269</v>
      </c>
      <c r="B1531" t="s">
        <v>3058</v>
      </c>
      <c r="C1531">
        <v>0</v>
      </c>
    </row>
    <row r="1532" spans="1:3" x14ac:dyDescent="0.25">
      <c r="A1532">
        <v>3270</v>
      </c>
      <c r="B1532" t="s">
        <v>3060</v>
      </c>
      <c r="C1532">
        <v>0</v>
      </c>
    </row>
    <row r="1533" spans="1:3" x14ac:dyDescent="0.25">
      <c r="A1533">
        <v>3271</v>
      </c>
      <c r="B1533" t="s">
        <v>3062</v>
      </c>
      <c r="C1533">
        <v>0</v>
      </c>
    </row>
    <row r="1534" spans="1:3" x14ac:dyDescent="0.25">
      <c r="A1534">
        <v>3272</v>
      </c>
      <c r="B1534" t="s">
        <v>3064</v>
      </c>
      <c r="C1534">
        <v>0</v>
      </c>
    </row>
    <row r="1535" spans="1:3" x14ac:dyDescent="0.25">
      <c r="A1535">
        <v>3274</v>
      </c>
      <c r="B1535" t="s">
        <v>3066</v>
      </c>
      <c r="C1535">
        <v>0</v>
      </c>
    </row>
    <row r="1536" spans="1:3" x14ac:dyDescent="0.25">
      <c r="A1536">
        <v>3275</v>
      </c>
      <c r="B1536" t="s">
        <v>3068</v>
      </c>
      <c r="C1536">
        <v>0</v>
      </c>
    </row>
    <row r="1537" spans="1:3" x14ac:dyDescent="0.25">
      <c r="A1537">
        <v>3276</v>
      </c>
      <c r="B1537" t="s">
        <v>3070</v>
      </c>
      <c r="C1537">
        <v>0</v>
      </c>
    </row>
    <row r="1538" spans="1:3" x14ac:dyDescent="0.25">
      <c r="A1538">
        <v>3277</v>
      </c>
      <c r="B1538" t="s">
        <v>3072</v>
      </c>
      <c r="C1538">
        <v>0</v>
      </c>
    </row>
    <row r="1539" spans="1:3" x14ac:dyDescent="0.25">
      <c r="A1539">
        <v>3281</v>
      </c>
      <c r="B1539" t="s">
        <v>3074</v>
      </c>
      <c r="C1539">
        <v>0</v>
      </c>
    </row>
    <row r="1540" spans="1:3" x14ac:dyDescent="0.25">
      <c r="A1540">
        <v>3282</v>
      </c>
      <c r="B1540" t="s">
        <v>3076</v>
      </c>
      <c r="C1540">
        <v>0</v>
      </c>
    </row>
    <row r="1541" spans="1:3" x14ac:dyDescent="0.25">
      <c r="A1541">
        <v>3283</v>
      </c>
      <c r="B1541" t="s">
        <v>3078</v>
      </c>
      <c r="C1541">
        <v>0</v>
      </c>
    </row>
    <row r="1542" spans="1:3" x14ac:dyDescent="0.25">
      <c r="A1542">
        <v>3284</v>
      </c>
      <c r="B1542" t="s">
        <v>3080</v>
      </c>
      <c r="C1542">
        <v>0</v>
      </c>
    </row>
    <row r="1543" spans="1:3" x14ac:dyDescent="0.25">
      <c r="A1543">
        <v>3285</v>
      </c>
      <c r="B1543" t="s">
        <v>3082</v>
      </c>
      <c r="C1543">
        <v>0</v>
      </c>
    </row>
    <row r="1544" spans="1:3" x14ac:dyDescent="0.25">
      <c r="A1544">
        <v>3286</v>
      </c>
      <c r="B1544" t="s">
        <v>3084</v>
      </c>
      <c r="C1544">
        <v>0</v>
      </c>
    </row>
    <row r="1545" spans="1:3" x14ac:dyDescent="0.25">
      <c r="A1545">
        <v>3287</v>
      </c>
      <c r="B1545" t="s">
        <v>3086</v>
      </c>
      <c r="C1545">
        <v>0</v>
      </c>
    </row>
    <row r="1546" spans="1:3" x14ac:dyDescent="0.25">
      <c r="A1546">
        <v>3288</v>
      </c>
      <c r="B1546" t="s">
        <v>3088</v>
      </c>
      <c r="C1546">
        <v>0</v>
      </c>
    </row>
    <row r="1547" spans="1:3" x14ac:dyDescent="0.25">
      <c r="A1547">
        <v>3290</v>
      </c>
      <c r="B1547" t="s">
        <v>3090</v>
      </c>
      <c r="C1547">
        <v>0</v>
      </c>
    </row>
    <row r="1548" spans="1:3" x14ac:dyDescent="0.25">
      <c r="A1548">
        <v>3291</v>
      </c>
      <c r="B1548" t="s">
        <v>3092</v>
      </c>
      <c r="C1548">
        <v>0</v>
      </c>
    </row>
    <row r="1549" spans="1:3" x14ac:dyDescent="0.25">
      <c r="A1549">
        <v>3292</v>
      </c>
      <c r="B1549" t="s">
        <v>3094</v>
      </c>
      <c r="C1549">
        <v>0</v>
      </c>
    </row>
    <row r="1550" spans="1:3" x14ac:dyDescent="0.25">
      <c r="A1550">
        <v>3293</v>
      </c>
      <c r="B1550" t="s">
        <v>3096</v>
      </c>
      <c r="C1550">
        <v>0</v>
      </c>
    </row>
    <row r="1551" spans="1:3" x14ac:dyDescent="0.25">
      <c r="A1551">
        <v>3294</v>
      </c>
      <c r="B1551" t="s">
        <v>3098</v>
      </c>
      <c r="C1551">
        <v>0</v>
      </c>
    </row>
    <row r="1552" spans="1:3" x14ac:dyDescent="0.25">
      <c r="A1552">
        <v>3295</v>
      </c>
      <c r="B1552" t="s">
        <v>3100</v>
      </c>
      <c r="C1552">
        <v>0</v>
      </c>
    </row>
    <row r="1553" spans="1:3" x14ac:dyDescent="0.25">
      <c r="A1553">
        <v>3300</v>
      </c>
      <c r="B1553" t="s">
        <v>3102</v>
      </c>
      <c r="C1553">
        <v>0</v>
      </c>
    </row>
    <row r="1554" spans="1:3" x14ac:dyDescent="0.25">
      <c r="A1554">
        <v>3301</v>
      </c>
      <c r="B1554" t="s">
        <v>3104</v>
      </c>
      <c r="C1554">
        <v>0</v>
      </c>
    </row>
    <row r="1555" spans="1:3" x14ac:dyDescent="0.25">
      <c r="A1555">
        <v>3302</v>
      </c>
      <c r="B1555" t="s">
        <v>3106</v>
      </c>
      <c r="C1555">
        <v>0</v>
      </c>
    </row>
    <row r="1556" spans="1:3" x14ac:dyDescent="0.25">
      <c r="A1556">
        <v>3303</v>
      </c>
      <c r="B1556" t="s">
        <v>3108</v>
      </c>
      <c r="C1556">
        <v>0</v>
      </c>
    </row>
    <row r="1557" spans="1:3" x14ac:dyDescent="0.25">
      <c r="A1557">
        <v>3308</v>
      </c>
      <c r="B1557" t="s">
        <v>3110</v>
      </c>
      <c r="C1557">
        <v>0</v>
      </c>
    </row>
    <row r="1558" spans="1:3" x14ac:dyDescent="0.25">
      <c r="A1558">
        <v>3309</v>
      </c>
      <c r="B1558" t="s">
        <v>3112</v>
      </c>
      <c r="C1558">
        <v>0</v>
      </c>
    </row>
    <row r="1559" spans="1:3" x14ac:dyDescent="0.25">
      <c r="A1559">
        <v>3310</v>
      </c>
      <c r="B1559" t="s">
        <v>3114</v>
      </c>
      <c r="C1559">
        <v>0</v>
      </c>
    </row>
    <row r="1560" spans="1:3" x14ac:dyDescent="0.25">
      <c r="A1560">
        <v>3311</v>
      </c>
      <c r="B1560" t="s">
        <v>3116</v>
      </c>
      <c r="C1560">
        <v>0</v>
      </c>
    </row>
    <row r="1561" spans="1:3" x14ac:dyDescent="0.25">
      <c r="A1561">
        <v>3312</v>
      </c>
      <c r="B1561" t="s">
        <v>3118</v>
      </c>
      <c r="C1561">
        <v>0</v>
      </c>
    </row>
    <row r="1562" spans="1:3" x14ac:dyDescent="0.25">
      <c r="A1562">
        <v>3313</v>
      </c>
      <c r="B1562" t="s">
        <v>3120</v>
      </c>
      <c r="C1562">
        <v>0</v>
      </c>
    </row>
    <row r="1563" spans="1:3" x14ac:dyDescent="0.25">
      <c r="A1563">
        <v>3314</v>
      </c>
      <c r="B1563" t="s">
        <v>3122</v>
      </c>
      <c r="C1563">
        <v>0</v>
      </c>
    </row>
    <row r="1564" spans="1:3" x14ac:dyDescent="0.25">
      <c r="A1564">
        <v>3315</v>
      </c>
      <c r="B1564" t="s">
        <v>3124</v>
      </c>
      <c r="C1564">
        <v>0</v>
      </c>
    </row>
    <row r="1565" spans="1:3" x14ac:dyDescent="0.25">
      <c r="A1565">
        <v>3316</v>
      </c>
      <c r="B1565" t="s">
        <v>3126</v>
      </c>
      <c r="C1565">
        <v>0</v>
      </c>
    </row>
    <row r="1566" spans="1:3" x14ac:dyDescent="0.25">
      <c r="A1566">
        <v>3317</v>
      </c>
      <c r="B1566" t="s">
        <v>3128</v>
      </c>
      <c r="C1566">
        <v>0</v>
      </c>
    </row>
    <row r="1567" spans="1:3" x14ac:dyDescent="0.25">
      <c r="A1567">
        <v>3318</v>
      </c>
      <c r="B1567" t="s">
        <v>3130</v>
      </c>
      <c r="C1567">
        <v>0</v>
      </c>
    </row>
    <row r="1568" spans="1:3" x14ac:dyDescent="0.25">
      <c r="A1568">
        <v>3319</v>
      </c>
      <c r="B1568" t="s">
        <v>3132</v>
      </c>
      <c r="C1568">
        <v>0</v>
      </c>
    </row>
    <row r="1569" spans="1:3" x14ac:dyDescent="0.25">
      <c r="A1569">
        <v>3320</v>
      </c>
      <c r="B1569" t="s">
        <v>3134</v>
      </c>
      <c r="C1569">
        <v>0</v>
      </c>
    </row>
    <row r="1570" spans="1:3" x14ac:dyDescent="0.25">
      <c r="A1570">
        <v>3321</v>
      </c>
      <c r="B1570" t="s">
        <v>3136</v>
      </c>
      <c r="C1570">
        <v>0</v>
      </c>
    </row>
    <row r="1571" spans="1:3" x14ac:dyDescent="0.25">
      <c r="A1571">
        <v>33210</v>
      </c>
      <c r="B1571" t="s">
        <v>3138</v>
      </c>
      <c r="C1571">
        <v>0</v>
      </c>
    </row>
    <row r="1572" spans="1:3" x14ac:dyDescent="0.25">
      <c r="A1572">
        <v>3322</v>
      </c>
      <c r="B1572" t="s">
        <v>3140</v>
      </c>
      <c r="C1572">
        <v>0</v>
      </c>
    </row>
    <row r="1573" spans="1:3" x14ac:dyDescent="0.25">
      <c r="A1573">
        <v>3323</v>
      </c>
      <c r="B1573" t="s">
        <v>3142</v>
      </c>
      <c r="C1573">
        <v>0</v>
      </c>
    </row>
    <row r="1574" spans="1:3" x14ac:dyDescent="0.25">
      <c r="A1574">
        <v>3324</v>
      </c>
      <c r="B1574" t="s">
        <v>3144</v>
      </c>
      <c r="C1574">
        <v>0</v>
      </c>
    </row>
    <row r="1575" spans="1:3" x14ac:dyDescent="0.25">
      <c r="A1575">
        <v>3326</v>
      </c>
      <c r="B1575" t="s">
        <v>3146</v>
      </c>
      <c r="C1575">
        <v>0</v>
      </c>
    </row>
    <row r="1576" spans="1:3" x14ac:dyDescent="0.25">
      <c r="A1576">
        <v>3327</v>
      </c>
      <c r="B1576" t="s">
        <v>3148</v>
      </c>
      <c r="C1576">
        <v>0</v>
      </c>
    </row>
    <row r="1577" spans="1:3" x14ac:dyDescent="0.25">
      <c r="A1577">
        <v>3328</v>
      </c>
      <c r="B1577" t="s">
        <v>3150</v>
      </c>
      <c r="C1577">
        <v>0</v>
      </c>
    </row>
    <row r="1578" spans="1:3" x14ac:dyDescent="0.25">
      <c r="A1578">
        <v>3329</v>
      </c>
      <c r="B1578" t="s">
        <v>3152</v>
      </c>
      <c r="C1578">
        <v>0</v>
      </c>
    </row>
    <row r="1579" spans="1:3" x14ac:dyDescent="0.25">
      <c r="A1579">
        <v>3330</v>
      </c>
      <c r="B1579" t="s">
        <v>3154</v>
      </c>
      <c r="C1579">
        <v>0</v>
      </c>
    </row>
    <row r="1580" spans="1:3" x14ac:dyDescent="0.25">
      <c r="A1580">
        <v>3331</v>
      </c>
      <c r="B1580" t="s">
        <v>3156</v>
      </c>
      <c r="C1580">
        <v>0</v>
      </c>
    </row>
    <row r="1581" spans="1:3" x14ac:dyDescent="0.25">
      <c r="A1581">
        <v>3332</v>
      </c>
      <c r="B1581" t="s">
        <v>3158</v>
      </c>
      <c r="C1581">
        <v>0</v>
      </c>
    </row>
    <row r="1582" spans="1:3" x14ac:dyDescent="0.25">
      <c r="A1582">
        <v>3333</v>
      </c>
      <c r="B1582" t="s">
        <v>3160</v>
      </c>
      <c r="C1582">
        <v>0</v>
      </c>
    </row>
    <row r="1583" spans="1:3" x14ac:dyDescent="0.25">
      <c r="A1583">
        <v>3334</v>
      </c>
      <c r="B1583" t="s">
        <v>3162</v>
      </c>
      <c r="C1583">
        <v>0</v>
      </c>
    </row>
    <row r="1584" spans="1:3" x14ac:dyDescent="0.25">
      <c r="A1584">
        <v>3335</v>
      </c>
      <c r="B1584" t="s">
        <v>3164</v>
      </c>
      <c r="C1584">
        <v>0</v>
      </c>
    </row>
    <row r="1585" spans="1:3" x14ac:dyDescent="0.25">
      <c r="A1585">
        <v>3350</v>
      </c>
      <c r="B1585" t="s">
        <v>2972</v>
      </c>
      <c r="C1585">
        <v>0</v>
      </c>
    </row>
    <row r="1586" spans="1:3" x14ac:dyDescent="0.25">
      <c r="A1586">
        <v>3351</v>
      </c>
      <c r="B1586" t="s">
        <v>3167</v>
      </c>
      <c r="C1586">
        <v>0</v>
      </c>
    </row>
    <row r="1587" spans="1:3" x14ac:dyDescent="0.25">
      <c r="A1587">
        <v>3352</v>
      </c>
      <c r="B1587" t="s">
        <v>3169</v>
      </c>
      <c r="C1587">
        <v>0</v>
      </c>
    </row>
    <row r="1588" spans="1:3" x14ac:dyDescent="0.25">
      <c r="A1588">
        <v>3400</v>
      </c>
      <c r="B1588" t="s">
        <v>3171</v>
      </c>
      <c r="C1588">
        <v>0</v>
      </c>
    </row>
    <row r="1589" spans="1:3" x14ac:dyDescent="0.25">
      <c r="A1589">
        <v>3401</v>
      </c>
      <c r="B1589" t="s">
        <v>3173</v>
      </c>
      <c r="C1589">
        <v>0</v>
      </c>
    </row>
    <row r="1590" spans="1:3" x14ac:dyDescent="0.25">
      <c r="A1590">
        <v>3402</v>
      </c>
      <c r="B1590" t="s">
        <v>3175</v>
      </c>
      <c r="C1590">
        <v>0</v>
      </c>
    </row>
    <row r="1591" spans="1:3" x14ac:dyDescent="0.25">
      <c r="A1591">
        <v>3403</v>
      </c>
      <c r="B1591" t="s">
        <v>3177</v>
      </c>
      <c r="C1591">
        <v>0</v>
      </c>
    </row>
    <row r="1592" spans="1:3" x14ac:dyDescent="0.25">
      <c r="A1592">
        <v>3404</v>
      </c>
      <c r="B1592" t="s">
        <v>3179</v>
      </c>
      <c r="C1592">
        <v>0</v>
      </c>
    </row>
    <row r="1593" spans="1:3" x14ac:dyDescent="0.25">
      <c r="A1593">
        <v>3405</v>
      </c>
      <c r="B1593" t="s">
        <v>3181</v>
      </c>
      <c r="C1593">
        <v>0</v>
      </c>
    </row>
    <row r="1594" spans="1:3" x14ac:dyDescent="0.25">
      <c r="A1594">
        <v>3406</v>
      </c>
      <c r="B1594" t="s">
        <v>3183</v>
      </c>
      <c r="C1594">
        <v>0</v>
      </c>
    </row>
    <row r="1595" spans="1:3" x14ac:dyDescent="0.25">
      <c r="A1595">
        <v>3407</v>
      </c>
      <c r="B1595" t="s">
        <v>3185</v>
      </c>
      <c r="C1595">
        <v>0</v>
      </c>
    </row>
    <row r="1596" spans="1:3" x14ac:dyDescent="0.25">
      <c r="A1596">
        <v>3408</v>
      </c>
      <c r="B1596" t="s">
        <v>3187</v>
      </c>
      <c r="C1596">
        <v>0</v>
      </c>
    </row>
    <row r="1597" spans="1:3" x14ac:dyDescent="0.25">
      <c r="A1597">
        <v>3409</v>
      </c>
      <c r="B1597" t="s">
        <v>3189</v>
      </c>
      <c r="C1597">
        <v>0</v>
      </c>
    </row>
    <row r="1598" spans="1:3" x14ac:dyDescent="0.25">
      <c r="A1598">
        <v>3410</v>
      </c>
      <c r="B1598" t="s">
        <v>3191</v>
      </c>
      <c r="C1598">
        <v>0</v>
      </c>
    </row>
    <row r="1599" spans="1:3" x14ac:dyDescent="0.25">
      <c r="A1599">
        <v>3411</v>
      </c>
      <c r="B1599" t="s">
        <v>3193</v>
      </c>
      <c r="C1599">
        <v>0</v>
      </c>
    </row>
    <row r="1600" spans="1:3" x14ac:dyDescent="0.25">
      <c r="A1600">
        <v>3412</v>
      </c>
      <c r="B1600" t="s">
        <v>3195</v>
      </c>
      <c r="C1600">
        <v>0</v>
      </c>
    </row>
    <row r="1601" spans="1:3" x14ac:dyDescent="0.25">
      <c r="A1601">
        <v>3413</v>
      </c>
      <c r="B1601" t="s">
        <v>3197</v>
      </c>
      <c r="C1601">
        <v>0</v>
      </c>
    </row>
    <row r="1602" spans="1:3" x14ac:dyDescent="0.25">
      <c r="A1602">
        <v>3420</v>
      </c>
      <c r="B1602" t="s">
        <v>3199</v>
      </c>
      <c r="C1602">
        <v>0</v>
      </c>
    </row>
    <row r="1603" spans="1:3" x14ac:dyDescent="0.25">
      <c r="A1603">
        <v>3421</v>
      </c>
      <c r="B1603" t="s">
        <v>3201</v>
      </c>
      <c r="C1603">
        <v>0</v>
      </c>
    </row>
    <row r="1604" spans="1:3" x14ac:dyDescent="0.25">
      <c r="A1604">
        <v>3422</v>
      </c>
      <c r="B1604" t="s">
        <v>3203</v>
      </c>
      <c r="C1604">
        <v>0</v>
      </c>
    </row>
    <row r="1605" spans="1:3" x14ac:dyDescent="0.25">
      <c r="A1605">
        <v>3423</v>
      </c>
      <c r="B1605" t="s">
        <v>3205</v>
      </c>
      <c r="C1605">
        <v>0</v>
      </c>
    </row>
    <row r="1606" spans="1:3" x14ac:dyDescent="0.25">
      <c r="A1606">
        <v>3424</v>
      </c>
      <c r="B1606" t="s">
        <v>3207</v>
      </c>
      <c r="C1606">
        <v>0</v>
      </c>
    </row>
    <row r="1607" spans="1:3" x14ac:dyDescent="0.25">
      <c r="A1607">
        <v>3428</v>
      </c>
      <c r="B1607" t="s">
        <v>3209</v>
      </c>
      <c r="C1607">
        <v>0</v>
      </c>
    </row>
    <row r="1608" spans="1:3" x14ac:dyDescent="0.25">
      <c r="A1608">
        <v>3429</v>
      </c>
      <c r="B1608" t="s">
        <v>3211</v>
      </c>
      <c r="C1608">
        <v>0</v>
      </c>
    </row>
    <row r="1609" spans="1:3" x14ac:dyDescent="0.25">
      <c r="A1609">
        <v>3430</v>
      </c>
      <c r="B1609" t="s">
        <v>3213</v>
      </c>
      <c r="C1609">
        <v>0</v>
      </c>
    </row>
    <row r="1610" spans="1:3" x14ac:dyDescent="0.25">
      <c r="A1610">
        <v>3431</v>
      </c>
      <c r="B1610" t="s">
        <v>3215</v>
      </c>
      <c r="C1610">
        <v>0</v>
      </c>
    </row>
    <row r="1611" spans="1:3" x14ac:dyDescent="0.25">
      <c r="A1611">
        <v>3432</v>
      </c>
      <c r="B1611" t="s">
        <v>3217</v>
      </c>
      <c r="C1611">
        <v>0</v>
      </c>
    </row>
    <row r="1612" spans="1:3" x14ac:dyDescent="0.25">
      <c r="A1612">
        <v>3433</v>
      </c>
      <c r="B1612" t="s">
        <v>3219</v>
      </c>
      <c r="C1612">
        <v>0</v>
      </c>
    </row>
    <row r="1613" spans="1:3" x14ac:dyDescent="0.25">
      <c r="A1613">
        <v>3434</v>
      </c>
      <c r="B1613" t="s">
        <v>3221</v>
      </c>
      <c r="C1613">
        <v>0</v>
      </c>
    </row>
    <row r="1614" spans="1:3" x14ac:dyDescent="0.25">
      <c r="A1614">
        <v>3487</v>
      </c>
      <c r="B1614" t="s">
        <v>3223</v>
      </c>
      <c r="C1614">
        <v>0</v>
      </c>
    </row>
    <row r="1615" spans="1:3" x14ac:dyDescent="0.25">
      <c r="A1615">
        <v>3488</v>
      </c>
      <c r="B1615" t="s">
        <v>3225</v>
      </c>
      <c r="C1615">
        <v>0</v>
      </c>
    </row>
    <row r="1616" spans="1:3" x14ac:dyDescent="0.25">
      <c r="A1616">
        <v>3489</v>
      </c>
      <c r="B1616" t="s">
        <v>3227</v>
      </c>
      <c r="C1616">
        <v>0</v>
      </c>
    </row>
    <row r="1617" spans="1:3" x14ac:dyDescent="0.25">
      <c r="A1617">
        <v>3490</v>
      </c>
      <c r="B1617" t="s">
        <v>3229</v>
      </c>
      <c r="C1617">
        <v>0</v>
      </c>
    </row>
    <row r="1618" spans="1:3" x14ac:dyDescent="0.25">
      <c r="A1618">
        <v>3491</v>
      </c>
      <c r="B1618" t="s">
        <v>3231</v>
      </c>
      <c r="C1618">
        <v>0</v>
      </c>
    </row>
    <row r="1619" spans="1:3" x14ac:dyDescent="0.25">
      <c r="A1619">
        <v>3492</v>
      </c>
      <c r="B1619" t="s">
        <v>3233</v>
      </c>
      <c r="C1619">
        <v>0</v>
      </c>
    </row>
    <row r="1620" spans="1:3" x14ac:dyDescent="0.25">
      <c r="A1620">
        <v>3493</v>
      </c>
      <c r="B1620" t="s">
        <v>3235</v>
      </c>
      <c r="C1620">
        <v>0</v>
      </c>
    </row>
    <row r="1621" spans="1:3" x14ac:dyDescent="0.25">
      <c r="A1621">
        <v>3494</v>
      </c>
      <c r="B1621" t="s">
        <v>3237</v>
      </c>
      <c r="C1621">
        <v>0</v>
      </c>
    </row>
    <row r="1622" spans="1:3" x14ac:dyDescent="0.25">
      <c r="A1622">
        <v>3495</v>
      </c>
      <c r="B1622" t="s">
        <v>3239</v>
      </c>
      <c r="C1622">
        <v>0</v>
      </c>
    </row>
    <row r="1623" spans="1:3" x14ac:dyDescent="0.25">
      <c r="A1623">
        <v>3496</v>
      </c>
      <c r="B1623" t="s">
        <v>3241</v>
      </c>
      <c r="C1623">
        <v>0</v>
      </c>
    </row>
    <row r="1624" spans="1:3" x14ac:dyDescent="0.25">
      <c r="A1624">
        <v>3497</v>
      </c>
      <c r="B1624" t="s">
        <v>3243</v>
      </c>
      <c r="C1624">
        <v>0</v>
      </c>
    </row>
    <row r="1625" spans="1:3" x14ac:dyDescent="0.25">
      <c r="A1625">
        <v>3498</v>
      </c>
      <c r="B1625" t="s">
        <v>3245</v>
      </c>
      <c r="C1625">
        <v>0</v>
      </c>
    </row>
    <row r="1626" spans="1:3" x14ac:dyDescent="0.25">
      <c r="A1626">
        <v>3499</v>
      </c>
      <c r="B1626" t="s">
        <v>3247</v>
      </c>
      <c r="C1626">
        <v>0</v>
      </c>
    </row>
    <row r="1627" spans="1:3" x14ac:dyDescent="0.25">
      <c r="A1627">
        <v>3500</v>
      </c>
      <c r="B1627" t="s">
        <v>3249</v>
      </c>
      <c r="C1627">
        <v>0</v>
      </c>
    </row>
    <row r="1628" spans="1:3" x14ac:dyDescent="0.25">
      <c r="A1628">
        <v>3501</v>
      </c>
      <c r="B1628" t="s">
        <v>3251</v>
      </c>
      <c r="C1628">
        <v>0</v>
      </c>
    </row>
    <row r="1629" spans="1:3" x14ac:dyDescent="0.25">
      <c r="A1629">
        <v>3502</v>
      </c>
      <c r="B1629" t="s">
        <v>3253</v>
      </c>
      <c r="C1629">
        <v>0</v>
      </c>
    </row>
    <row r="1630" spans="1:3" x14ac:dyDescent="0.25">
      <c r="A1630">
        <v>3503</v>
      </c>
      <c r="B1630" t="s">
        <v>3255</v>
      </c>
      <c r="C1630">
        <v>0</v>
      </c>
    </row>
    <row r="1631" spans="1:3" x14ac:dyDescent="0.25">
      <c r="A1631">
        <v>3504</v>
      </c>
      <c r="B1631" t="s">
        <v>3257</v>
      </c>
      <c r="C1631">
        <v>0</v>
      </c>
    </row>
    <row r="1632" spans="1:3" x14ac:dyDescent="0.25">
      <c r="A1632">
        <v>3505</v>
      </c>
      <c r="B1632" t="s">
        <v>3259</v>
      </c>
      <c r="C1632">
        <v>0</v>
      </c>
    </row>
    <row r="1633" spans="1:3" x14ac:dyDescent="0.25">
      <c r="A1633">
        <v>3506</v>
      </c>
      <c r="B1633" t="s">
        <v>3261</v>
      </c>
      <c r="C1633">
        <v>0</v>
      </c>
    </row>
    <row r="1634" spans="1:3" x14ac:dyDescent="0.25">
      <c r="A1634">
        <v>3507</v>
      </c>
      <c r="B1634" t="s">
        <v>3263</v>
      </c>
      <c r="C1634">
        <v>0</v>
      </c>
    </row>
    <row r="1635" spans="1:3" x14ac:dyDescent="0.25">
      <c r="A1635">
        <v>3508</v>
      </c>
      <c r="B1635" t="s">
        <v>3265</v>
      </c>
      <c r="C1635">
        <v>0</v>
      </c>
    </row>
    <row r="1636" spans="1:3" x14ac:dyDescent="0.25">
      <c r="A1636">
        <v>3509</v>
      </c>
      <c r="B1636" t="s">
        <v>3267</v>
      </c>
      <c r="C1636">
        <v>0</v>
      </c>
    </row>
    <row r="1637" spans="1:3" x14ac:dyDescent="0.25">
      <c r="A1637">
        <v>3510</v>
      </c>
      <c r="B1637" t="s">
        <v>3269</v>
      </c>
      <c r="C1637">
        <v>0</v>
      </c>
    </row>
    <row r="1638" spans="1:3" x14ac:dyDescent="0.25">
      <c r="A1638">
        <v>3511</v>
      </c>
      <c r="B1638" t="s">
        <v>3271</v>
      </c>
      <c r="C1638">
        <v>0</v>
      </c>
    </row>
    <row r="1639" spans="1:3" x14ac:dyDescent="0.25">
      <c r="A1639">
        <v>3512</v>
      </c>
      <c r="B1639" t="s">
        <v>3273</v>
      </c>
      <c r="C1639">
        <v>0</v>
      </c>
    </row>
    <row r="1640" spans="1:3" x14ac:dyDescent="0.25">
      <c r="A1640">
        <v>3514</v>
      </c>
      <c r="B1640" t="s">
        <v>3275</v>
      </c>
      <c r="C1640">
        <v>0</v>
      </c>
    </row>
    <row r="1641" spans="1:3" x14ac:dyDescent="0.25">
      <c r="A1641">
        <v>3515</v>
      </c>
      <c r="B1641" t="s">
        <v>3277</v>
      </c>
      <c r="C1641">
        <v>0</v>
      </c>
    </row>
    <row r="1642" spans="1:3" x14ac:dyDescent="0.25">
      <c r="A1642">
        <v>3516</v>
      </c>
      <c r="B1642" t="s">
        <v>3279</v>
      </c>
      <c r="C1642">
        <v>0</v>
      </c>
    </row>
    <row r="1643" spans="1:3" x14ac:dyDescent="0.25">
      <c r="A1643">
        <v>3517</v>
      </c>
      <c r="B1643" t="s">
        <v>3281</v>
      </c>
      <c r="C1643">
        <v>0</v>
      </c>
    </row>
    <row r="1644" spans="1:3" x14ac:dyDescent="0.25">
      <c r="A1644">
        <v>3518</v>
      </c>
      <c r="B1644" t="s">
        <v>3283</v>
      </c>
      <c r="C1644">
        <v>0</v>
      </c>
    </row>
    <row r="1645" spans="1:3" x14ac:dyDescent="0.25">
      <c r="A1645">
        <v>3519</v>
      </c>
      <c r="B1645" t="s">
        <v>3285</v>
      </c>
      <c r="C1645">
        <v>0</v>
      </c>
    </row>
    <row r="1646" spans="1:3" x14ac:dyDescent="0.25">
      <c r="A1646">
        <v>3520</v>
      </c>
      <c r="B1646" t="s">
        <v>3287</v>
      </c>
      <c r="C1646">
        <v>0</v>
      </c>
    </row>
    <row r="1647" spans="1:3" x14ac:dyDescent="0.25">
      <c r="A1647">
        <v>3521</v>
      </c>
      <c r="B1647" t="s">
        <v>3289</v>
      </c>
      <c r="C1647">
        <v>0</v>
      </c>
    </row>
    <row r="1648" spans="1:3" x14ac:dyDescent="0.25">
      <c r="A1648">
        <v>3522</v>
      </c>
      <c r="B1648" t="s">
        <v>3291</v>
      </c>
      <c r="C1648">
        <v>0</v>
      </c>
    </row>
    <row r="1649" spans="1:3" x14ac:dyDescent="0.25">
      <c r="A1649">
        <v>3523</v>
      </c>
      <c r="B1649" t="s">
        <v>3293</v>
      </c>
      <c r="C1649">
        <v>0</v>
      </c>
    </row>
    <row r="1650" spans="1:3" x14ac:dyDescent="0.25">
      <c r="A1650">
        <v>3530</v>
      </c>
      <c r="B1650" t="s">
        <v>3295</v>
      </c>
      <c r="C1650">
        <v>0</v>
      </c>
    </row>
    <row r="1651" spans="1:3" x14ac:dyDescent="0.25">
      <c r="A1651">
        <v>3531</v>
      </c>
      <c r="B1651" t="s">
        <v>3297</v>
      </c>
      <c r="C1651">
        <v>0</v>
      </c>
    </row>
    <row r="1652" spans="1:3" x14ac:dyDescent="0.25">
      <c r="A1652">
        <v>3532</v>
      </c>
      <c r="B1652" t="s">
        <v>3299</v>
      </c>
      <c r="C1652">
        <v>0</v>
      </c>
    </row>
    <row r="1653" spans="1:3" x14ac:dyDescent="0.25">
      <c r="A1653">
        <v>3533</v>
      </c>
      <c r="B1653" t="s">
        <v>3301</v>
      </c>
      <c r="C1653">
        <v>0</v>
      </c>
    </row>
    <row r="1654" spans="1:3" x14ac:dyDescent="0.25">
      <c r="A1654">
        <v>3610</v>
      </c>
      <c r="B1654" t="s">
        <v>3303</v>
      </c>
      <c r="C1654">
        <v>0</v>
      </c>
    </row>
    <row r="1655" spans="1:3" x14ac:dyDescent="0.25">
      <c r="A1655">
        <v>3611</v>
      </c>
      <c r="B1655" t="s">
        <v>3305</v>
      </c>
      <c r="C1655">
        <v>0</v>
      </c>
    </row>
    <row r="1656" spans="1:3" x14ac:dyDescent="0.25">
      <c r="A1656">
        <v>3630</v>
      </c>
      <c r="B1656" t="s">
        <v>3307</v>
      </c>
      <c r="C1656">
        <v>0</v>
      </c>
    </row>
    <row r="1657" spans="1:3" x14ac:dyDescent="0.25">
      <c r="A1657">
        <v>3631</v>
      </c>
      <c r="B1657" t="s">
        <v>3309</v>
      </c>
      <c r="C1657">
        <v>0</v>
      </c>
    </row>
    <row r="1658" spans="1:3" x14ac:dyDescent="0.25">
      <c r="A1658">
        <v>3632</v>
      </c>
      <c r="B1658" t="s">
        <v>3311</v>
      </c>
      <c r="C1658">
        <v>0</v>
      </c>
    </row>
    <row r="1659" spans="1:3" x14ac:dyDescent="0.25">
      <c r="A1659">
        <v>3638</v>
      </c>
      <c r="B1659" t="s">
        <v>3313</v>
      </c>
      <c r="C1659">
        <v>0</v>
      </c>
    </row>
    <row r="1660" spans="1:3" x14ac:dyDescent="0.25">
      <c r="A1660">
        <v>3642</v>
      </c>
      <c r="B1660" t="s">
        <v>3315</v>
      </c>
      <c r="C1660">
        <v>0</v>
      </c>
    </row>
    <row r="1661" spans="1:3" x14ac:dyDescent="0.25">
      <c r="A1661">
        <v>3661</v>
      </c>
      <c r="B1661" t="s">
        <v>3317</v>
      </c>
      <c r="C1661">
        <v>0</v>
      </c>
    </row>
    <row r="1662" spans="1:3" x14ac:dyDescent="0.25">
      <c r="A1662">
        <v>3662</v>
      </c>
      <c r="B1662" t="s">
        <v>3319</v>
      </c>
      <c r="C1662">
        <v>0</v>
      </c>
    </row>
    <row r="1663" spans="1:3" x14ac:dyDescent="0.25">
      <c r="A1663">
        <v>3663</v>
      </c>
      <c r="B1663" t="s">
        <v>3321</v>
      </c>
      <c r="C1663">
        <v>0</v>
      </c>
    </row>
    <row r="1664" spans="1:3" x14ac:dyDescent="0.25">
      <c r="A1664">
        <v>3664</v>
      </c>
      <c r="B1664" t="s">
        <v>3323</v>
      </c>
      <c r="C1664">
        <v>0</v>
      </c>
    </row>
    <row r="1665" spans="1:3" x14ac:dyDescent="0.25">
      <c r="A1665">
        <v>3665</v>
      </c>
      <c r="B1665" t="s">
        <v>3325</v>
      </c>
      <c r="C1665">
        <v>0</v>
      </c>
    </row>
    <row r="1666" spans="1:3" x14ac:dyDescent="0.25">
      <c r="A1666">
        <v>3666</v>
      </c>
      <c r="B1666" t="s">
        <v>3327</v>
      </c>
      <c r="C1666">
        <v>0</v>
      </c>
    </row>
    <row r="1667" spans="1:3" x14ac:dyDescent="0.25">
      <c r="A1667">
        <v>3667</v>
      </c>
      <c r="B1667" t="s">
        <v>3329</v>
      </c>
      <c r="C1667">
        <v>0</v>
      </c>
    </row>
    <row r="1668" spans="1:3" x14ac:dyDescent="0.25">
      <c r="A1668">
        <v>3668</v>
      </c>
      <c r="B1668" t="s">
        <v>3331</v>
      </c>
      <c r="C1668">
        <v>0</v>
      </c>
    </row>
    <row r="1669" spans="1:3" x14ac:dyDescent="0.25">
      <c r="A1669">
        <v>3670</v>
      </c>
      <c r="B1669" t="s">
        <v>3333</v>
      </c>
      <c r="C1669">
        <v>0</v>
      </c>
    </row>
    <row r="1670" spans="1:3" x14ac:dyDescent="0.25">
      <c r="A1670">
        <v>3671</v>
      </c>
      <c r="B1670" t="s">
        <v>3335</v>
      </c>
      <c r="C1670">
        <v>0</v>
      </c>
    </row>
    <row r="1671" spans="1:3" x14ac:dyDescent="0.25">
      <c r="A1671">
        <v>3672</v>
      </c>
      <c r="B1671" t="s">
        <v>3337</v>
      </c>
      <c r="C1671">
        <v>0</v>
      </c>
    </row>
    <row r="1672" spans="1:3" x14ac:dyDescent="0.25">
      <c r="A1672">
        <v>3673</v>
      </c>
      <c r="B1672" t="s">
        <v>3339</v>
      </c>
      <c r="C1672">
        <v>0</v>
      </c>
    </row>
    <row r="1673" spans="1:3" x14ac:dyDescent="0.25">
      <c r="A1673">
        <v>3674</v>
      </c>
      <c r="B1673" t="s">
        <v>3341</v>
      </c>
      <c r="C1673">
        <v>0</v>
      </c>
    </row>
    <row r="1674" spans="1:3" x14ac:dyDescent="0.25">
      <c r="A1674">
        <v>3678</v>
      </c>
      <c r="B1674" t="s">
        <v>3343</v>
      </c>
      <c r="C1674">
        <v>0</v>
      </c>
    </row>
    <row r="1675" spans="1:3" x14ac:dyDescent="0.25">
      <c r="A1675">
        <v>3679</v>
      </c>
      <c r="B1675" t="s">
        <v>3343</v>
      </c>
      <c r="C1675">
        <v>0</v>
      </c>
    </row>
    <row r="1676" spans="1:3" x14ac:dyDescent="0.25">
      <c r="A1676">
        <v>3680</v>
      </c>
      <c r="B1676" t="s">
        <v>3346</v>
      </c>
      <c r="C1676">
        <v>0</v>
      </c>
    </row>
    <row r="1677" spans="1:3" x14ac:dyDescent="0.25">
      <c r="A1677">
        <v>3690</v>
      </c>
      <c r="B1677" t="s">
        <v>3348</v>
      </c>
      <c r="C1677">
        <v>0</v>
      </c>
    </row>
    <row r="1678" spans="1:3" x14ac:dyDescent="0.25">
      <c r="A1678">
        <v>3691</v>
      </c>
      <c r="B1678" t="s">
        <v>3350</v>
      </c>
      <c r="C1678">
        <v>0</v>
      </c>
    </row>
    <row r="1679" spans="1:3" x14ac:dyDescent="0.25">
      <c r="A1679">
        <v>3696</v>
      </c>
      <c r="B1679" t="s">
        <v>3352</v>
      </c>
      <c r="C1679">
        <v>0</v>
      </c>
    </row>
    <row r="1680" spans="1:3" x14ac:dyDescent="0.25">
      <c r="A1680">
        <v>3698</v>
      </c>
      <c r="B1680" t="s">
        <v>3354</v>
      </c>
      <c r="C1680">
        <v>0</v>
      </c>
    </row>
    <row r="1681" spans="1:3" x14ac:dyDescent="0.25">
      <c r="A1681">
        <v>3703</v>
      </c>
      <c r="B1681" t="s">
        <v>3356</v>
      </c>
      <c r="C1681">
        <v>0</v>
      </c>
    </row>
    <row r="1682" spans="1:3" x14ac:dyDescent="0.25">
      <c r="A1682">
        <v>3705</v>
      </c>
      <c r="B1682" t="s">
        <v>3358</v>
      </c>
      <c r="C1682">
        <v>0</v>
      </c>
    </row>
    <row r="1683" spans="1:3" x14ac:dyDescent="0.25">
      <c r="A1683">
        <v>3710</v>
      </c>
      <c r="B1683" t="s">
        <v>3360</v>
      </c>
      <c r="C1683">
        <v>0</v>
      </c>
    </row>
    <row r="1684" spans="1:3" x14ac:dyDescent="0.25">
      <c r="A1684">
        <v>3712</v>
      </c>
      <c r="B1684" t="s">
        <v>3362</v>
      </c>
      <c r="C1684">
        <v>0</v>
      </c>
    </row>
    <row r="1685" spans="1:3" x14ac:dyDescent="0.25">
      <c r="A1685">
        <v>3723</v>
      </c>
      <c r="B1685" t="s">
        <v>3364</v>
      </c>
      <c r="C1685">
        <v>0</v>
      </c>
    </row>
    <row r="1686" spans="1:3" x14ac:dyDescent="0.25">
      <c r="A1686">
        <v>3726</v>
      </c>
      <c r="B1686" t="s">
        <v>3366</v>
      </c>
      <c r="C1686">
        <v>0</v>
      </c>
    </row>
    <row r="1687" spans="1:3" x14ac:dyDescent="0.25">
      <c r="A1687">
        <v>3727</v>
      </c>
      <c r="B1687" t="s">
        <v>3368</v>
      </c>
      <c r="C1687">
        <v>0</v>
      </c>
    </row>
    <row r="1688" spans="1:3" x14ac:dyDescent="0.25">
      <c r="A1688">
        <v>3728</v>
      </c>
      <c r="B1688" t="s">
        <v>3370</v>
      </c>
      <c r="C1688">
        <v>0</v>
      </c>
    </row>
    <row r="1689" spans="1:3" x14ac:dyDescent="0.25">
      <c r="A1689">
        <v>3996</v>
      </c>
      <c r="B1689" t="s">
        <v>3372</v>
      </c>
      <c r="C1689">
        <v>0</v>
      </c>
    </row>
    <row r="1690" spans="1:3" x14ac:dyDescent="0.25">
      <c r="A1690">
        <v>3997</v>
      </c>
      <c r="B1690" t="s">
        <v>3374</v>
      </c>
      <c r="C1690">
        <v>0</v>
      </c>
    </row>
    <row r="1691" spans="1:3" x14ac:dyDescent="0.25">
      <c r="A1691">
        <v>3998</v>
      </c>
      <c r="B1691" t="s">
        <v>3376</v>
      </c>
      <c r="C1691">
        <v>0</v>
      </c>
    </row>
    <row r="1692" spans="1:3" x14ac:dyDescent="0.25">
      <c r="A1692">
        <v>3999</v>
      </c>
      <c r="B1692" t="s">
        <v>3378</v>
      </c>
      <c r="C1692">
        <v>0</v>
      </c>
    </row>
    <row r="1693" spans="1:3" x14ac:dyDescent="0.25">
      <c r="A1693">
        <v>4000</v>
      </c>
      <c r="B1693" t="s">
        <v>3380</v>
      </c>
      <c r="C1693">
        <v>0</v>
      </c>
    </row>
    <row r="1694" spans="1:3" x14ac:dyDescent="0.25">
      <c r="A1694">
        <v>4001</v>
      </c>
      <c r="B1694" t="s">
        <v>3382</v>
      </c>
      <c r="C1694">
        <v>0</v>
      </c>
    </row>
    <row r="1695" spans="1:3" x14ac:dyDescent="0.25">
      <c r="A1695">
        <v>4002</v>
      </c>
      <c r="B1695" t="s">
        <v>3384</v>
      </c>
      <c r="C1695">
        <v>0</v>
      </c>
    </row>
    <row r="1696" spans="1:3" x14ac:dyDescent="0.25">
      <c r="A1696">
        <v>4003</v>
      </c>
      <c r="B1696" t="s">
        <v>3386</v>
      </c>
      <c r="C1696">
        <v>0</v>
      </c>
    </row>
    <row r="1697" spans="1:3" x14ac:dyDescent="0.25">
      <c r="A1697">
        <v>4004</v>
      </c>
      <c r="B1697" t="s">
        <v>3388</v>
      </c>
      <c r="C1697">
        <v>0</v>
      </c>
    </row>
    <row r="1698" spans="1:3" x14ac:dyDescent="0.25">
      <c r="A1698">
        <v>4005</v>
      </c>
      <c r="B1698" t="s">
        <v>3390</v>
      </c>
      <c r="C1698">
        <v>0</v>
      </c>
    </row>
    <row r="1699" spans="1:3" x14ac:dyDescent="0.25">
      <c r="A1699">
        <v>4006</v>
      </c>
      <c r="B1699" t="s">
        <v>3392</v>
      </c>
      <c r="C1699">
        <v>0</v>
      </c>
    </row>
    <row r="1700" spans="1:3" x14ac:dyDescent="0.25">
      <c r="A1700">
        <v>4007</v>
      </c>
      <c r="B1700" t="s">
        <v>3394</v>
      </c>
      <c r="C1700">
        <v>0</v>
      </c>
    </row>
    <row r="1701" spans="1:3" x14ac:dyDescent="0.25">
      <c r="A1701">
        <v>4008</v>
      </c>
      <c r="B1701" t="s">
        <v>3396</v>
      </c>
      <c r="C1701">
        <v>0</v>
      </c>
    </row>
    <row r="1702" spans="1:3" x14ac:dyDescent="0.25">
      <c r="A1702">
        <v>4009</v>
      </c>
      <c r="B1702" t="s">
        <v>3398</v>
      </c>
      <c r="C1702">
        <v>0</v>
      </c>
    </row>
    <row r="1703" spans="1:3" x14ac:dyDescent="0.25">
      <c r="A1703">
        <v>4010</v>
      </c>
      <c r="B1703" t="s">
        <v>3400</v>
      </c>
      <c r="C1703">
        <v>0</v>
      </c>
    </row>
    <row r="1704" spans="1:3" x14ac:dyDescent="0.25">
      <c r="A1704">
        <v>4011</v>
      </c>
      <c r="B1704" t="s">
        <v>3402</v>
      </c>
      <c r="C1704">
        <v>0</v>
      </c>
    </row>
    <row r="1705" spans="1:3" x14ac:dyDescent="0.25">
      <c r="A1705">
        <v>4012</v>
      </c>
      <c r="B1705" t="s">
        <v>3404</v>
      </c>
      <c r="C1705">
        <v>0</v>
      </c>
    </row>
    <row r="1706" spans="1:3" x14ac:dyDescent="0.25">
      <c r="A1706">
        <v>4013</v>
      </c>
      <c r="B1706" t="s">
        <v>3406</v>
      </c>
      <c r="C1706">
        <v>0</v>
      </c>
    </row>
    <row r="1707" spans="1:3" x14ac:dyDescent="0.25">
      <c r="A1707">
        <v>4014</v>
      </c>
      <c r="B1707" t="s">
        <v>3408</v>
      </c>
      <c r="C1707">
        <v>0</v>
      </c>
    </row>
    <row r="1708" spans="1:3" x14ac:dyDescent="0.25">
      <c r="A1708">
        <v>4015</v>
      </c>
      <c r="B1708" t="s">
        <v>3410</v>
      </c>
      <c r="C1708">
        <v>0</v>
      </c>
    </row>
    <row r="1709" spans="1:3" x14ac:dyDescent="0.25">
      <c r="A1709">
        <v>4016</v>
      </c>
      <c r="B1709" t="s">
        <v>3412</v>
      </c>
      <c r="C1709">
        <v>0</v>
      </c>
    </row>
    <row r="1710" spans="1:3" x14ac:dyDescent="0.25">
      <c r="A1710">
        <v>4017</v>
      </c>
      <c r="B1710" t="s">
        <v>3414</v>
      </c>
      <c r="C1710">
        <v>0</v>
      </c>
    </row>
    <row r="1711" spans="1:3" x14ac:dyDescent="0.25">
      <c r="A1711">
        <v>4018</v>
      </c>
      <c r="B1711" t="s">
        <v>3416</v>
      </c>
      <c r="C1711">
        <v>0</v>
      </c>
    </row>
    <row r="1712" spans="1:3" x14ac:dyDescent="0.25">
      <c r="A1712">
        <v>4019</v>
      </c>
      <c r="B1712" t="s">
        <v>3418</v>
      </c>
      <c r="C1712">
        <v>0</v>
      </c>
    </row>
    <row r="1713" spans="1:3" x14ac:dyDescent="0.25">
      <c r="A1713">
        <v>4020</v>
      </c>
      <c r="B1713" t="s">
        <v>3420</v>
      </c>
      <c r="C1713">
        <v>0</v>
      </c>
    </row>
    <row r="1714" spans="1:3" x14ac:dyDescent="0.25">
      <c r="A1714">
        <v>4021</v>
      </c>
      <c r="B1714" t="s">
        <v>3422</v>
      </c>
      <c r="C1714">
        <v>0</v>
      </c>
    </row>
    <row r="1715" spans="1:3" x14ac:dyDescent="0.25">
      <c r="A1715">
        <v>4022</v>
      </c>
      <c r="B1715" t="s">
        <v>3424</v>
      </c>
      <c r="C1715">
        <v>0</v>
      </c>
    </row>
    <row r="1716" spans="1:3" x14ac:dyDescent="0.25">
      <c r="A1716">
        <v>4023</v>
      </c>
      <c r="B1716" t="s">
        <v>3426</v>
      </c>
      <c r="C1716">
        <v>0</v>
      </c>
    </row>
    <row r="1717" spans="1:3" x14ac:dyDescent="0.25">
      <c r="A1717">
        <v>4024</v>
      </c>
      <c r="B1717" t="s">
        <v>3428</v>
      </c>
      <c r="C1717">
        <v>0</v>
      </c>
    </row>
    <row r="1718" spans="1:3" x14ac:dyDescent="0.25">
      <c r="A1718">
        <v>4025</v>
      </c>
      <c r="B1718" t="s">
        <v>3430</v>
      </c>
      <c r="C1718">
        <v>0</v>
      </c>
    </row>
    <row r="1719" spans="1:3" x14ac:dyDescent="0.25">
      <c r="A1719">
        <v>4026</v>
      </c>
      <c r="B1719" t="s">
        <v>3432</v>
      </c>
      <c r="C1719">
        <v>0</v>
      </c>
    </row>
    <row r="1720" spans="1:3" x14ac:dyDescent="0.25">
      <c r="A1720">
        <v>4027</v>
      </c>
      <c r="B1720" t="s">
        <v>3434</v>
      </c>
      <c r="C1720">
        <v>0</v>
      </c>
    </row>
    <row r="1721" spans="1:3" x14ac:dyDescent="0.25">
      <c r="A1721">
        <v>4028</v>
      </c>
      <c r="B1721" t="s">
        <v>3436</v>
      </c>
      <c r="C1721">
        <v>0</v>
      </c>
    </row>
    <row r="1722" spans="1:3" x14ac:dyDescent="0.25">
      <c r="A1722">
        <v>4029</v>
      </c>
      <c r="B1722" t="s">
        <v>3438</v>
      </c>
      <c r="C1722">
        <v>0</v>
      </c>
    </row>
    <row r="1723" spans="1:3" x14ac:dyDescent="0.25">
      <c r="A1723">
        <v>4030</v>
      </c>
      <c r="B1723" t="s">
        <v>3440</v>
      </c>
      <c r="C1723">
        <v>0</v>
      </c>
    </row>
    <row r="1724" spans="1:3" x14ac:dyDescent="0.25">
      <c r="A1724">
        <v>4031</v>
      </c>
      <c r="B1724" t="s">
        <v>3442</v>
      </c>
      <c r="C1724">
        <v>0</v>
      </c>
    </row>
    <row r="1725" spans="1:3" x14ac:dyDescent="0.25">
      <c r="A1725">
        <v>4032</v>
      </c>
      <c r="B1725" t="s">
        <v>3444</v>
      </c>
      <c r="C1725">
        <v>0</v>
      </c>
    </row>
    <row r="1726" spans="1:3" x14ac:dyDescent="0.25">
      <c r="A1726">
        <v>4033</v>
      </c>
      <c r="B1726" t="s">
        <v>3446</v>
      </c>
      <c r="C1726">
        <v>0</v>
      </c>
    </row>
    <row r="1727" spans="1:3" x14ac:dyDescent="0.25">
      <c r="A1727">
        <v>4034</v>
      </c>
      <c r="B1727" t="s">
        <v>3448</v>
      </c>
      <c r="C1727">
        <v>0</v>
      </c>
    </row>
    <row r="1728" spans="1:3" x14ac:dyDescent="0.25">
      <c r="A1728">
        <v>4035</v>
      </c>
      <c r="B1728" t="s">
        <v>3450</v>
      </c>
      <c r="C1728">
        <v>0</v>
      </c>
    </row>
    <row r="1729" spans="1:3" x14ac:dyDescent="0.25">
      <c r="A1729">
        <v>4036</v>
      </c>
      <c r="B1729" t="s">
        <v>3452</v>
      </c>
      <c r="C1729">
        <v>0</v>
      </c>
    </row>
    <row r="1730" spans="1:3" x14ac:dyDescent="0.25">
      <c r="A1730">
        <v>4037</v>
      </c>
      <c r="B1730" t="s">
        <v>3454</v>
      </c>
      <c r="C1730">
        <v>0</v>
      </c>
    </row>
    <row r="1731" spans="1:3" x14ac:dyDescent="0.25">
      <c r="A1731">
        <v>4040</v>
      </c>
      <c r="B1731" t="s">
        <v>3456</v>
      </c>
      <c r="C1731">
        <v>0</v>
      </c>
    </row>
    <row r="1732" spans="1:3" x14ac:dyDescent="0.25">
      <c r="A1732">
        <v>4041</v>
      </c>
      <c r="B1732" t="s">
        <v>3458</v>
      </c>
      <c r="C1732">
        <v>0</v>
      </c>
    </row>
    <row r="1733" spans="1:3" x14ac:dyDescent="0.25">
      <c r="A1733">
        <v>4042</v>
      </c>
      <c r="B1733" t="s">
        <v>3460</v>
      </c>
      <c r="C1733">
        <v>0</v>
      </c>
    </row>
    <row r="1734" spans="1:3" x14ac:dyDescent="0.25">
      <c r="A1734">
        <v>4043</v>
      </c>
      <c r="B1734" t="s">
        <v>3462</v>
      </c>
      <c r="C1734">
        <v>0</v>
      </c>
    </row>
    <row r="1735" spans="1:3" x14ac:dyDescent="0.25">
      <c r="A1735">
        <v>4044</v>
      </c>
      <c r="B1735" t="s">
        <v>3464</v>
      </c>
      <c r="C1735">
        <v>0</v>
      </c>
    </row>
    <row r="1736" spans="1:3" x14ac:dyDescent="0.25">
      <c r="A1736">
        <v>4045</v>
      </c>
      <c r="B1736" t="s">
        <v>3466</v>
      </c>
      <c r="C1736">
        <v>0</v>
      </c>
    </row>
    <row r="1737" spans="1:3" x14ac:dyDescent="0.25">
      <c r="A1737">
        <v>4046</v>
      </c>
      <c r="B1737" t="s">
        <v>3468</v>
      </c>
      <c r="C1737">
        <v>0</v>
      </c>
    </row>
    <row r="1738" spans="1:3" x14ac:dyDescent="0.25">
      <c r="A1738">
        <v>4047</v>
      </c>
      <c r="B1738" t="s">
        <v>3470</v>
      </c>
      <c r="C1738">
        <v>0</v>
      </c>
    </row>
    <row r="1739" spans="1:3" x14ac:dyDescent="0.25">
      <c r="A1739">
        <v>4048</v>
      </c>
      <c r="B1739" t="s">
        <v>3472</v>
      </c>
      <c r="C1739">
        <v>0</v>
      </c>
    </row>
    <row r="1740" spans="1:3" x14ac:dyDescent="0.25">
      <c r="A1740">
        <v>4049</v>
      </c>
      <c r="B1740" t="s">
        <v>3474</v>
      </c>
      <c r="C1740">
        <v>0</v>
      </c>
    </row>
    <row r="1741" spans="1:3" x14ac:dyDescent="0.25">
      <c r="A1741">
        <v>4050</v>
      </c>
      <c r="B1741" t="s">
        <v>3476</v>
      </c>
      <c r="C1741">
        <v>0</v>
      </c>
    </row>
    <row r="1742" spans="1:3" x14ac:dyDescent="0.25">
      <c r="A1742">
        <v>4051</v>
      </c>
      <c r="B1742" t="s">
        <v>3478</v>
      </c>
      <c r="C1742">
        <v>0</v>
      </c>
    </row>
    <row r="1743" spans="1:3" x14ac:dyDescent="0.25">
      <c r="A1743">
        <v>4052</v>
      </c>
      <c r="B1743" t="s">
        <v>3480</v>
      </c>
      <c r="C1743">
        <v>0</v>
      </c>
    </row>
    <row r="1744" spans="1:3" x14ac:dyDescent="0.25">
      <c r="A1744">
        <v>4053</v>
      </c>
      <c r="B1744" t="s">
        <v>3482</v>
      </c>
      <c r="C1744">
        <v>0</v>
      </c>
    </row>
    <row r="1745" spans="1:3" x14ac:dyDescent="0.25">
      <c r="A1745">
        <v>4054</v>
      </c>
      <c r="B1745" t="s">
        <v>3484</v>
      </c>
      <c r="C1745">
        <v>0</v>
      </c>
    </row>
    <row r="1746" spans="1:3" x14ac:dyDescent="0.25">
      <c r="A1746">
        <v>4055</v>
      </c>
      <c r="B1746" t="s">
        <v>3486</v>
      </c>
      <c r="C1746">
        <v>0</v>
      </c>
    </row>
    <row r="1747" spans="1:3" x14ac:dyDescent="0.25">
      <c r="A1747">
        <v>4056</v>
      </c>
      <c r="B1747" t="s">
        <v>3488</v>
      </c>
      <c r="C1747">
        <v>0</v>
      </c>
    </row>
    <row r="1748" spans="1:3" x14ac:dyDescent="0.25">
      <c r="A1748">
        <v>4057</v>
      </c>
      <c r="B1748" t="s">
        <v>3490</v>
      </c>
      <c r="C1748">
        <v>0</v>
      </c>
    </row>
    <row r="1749" spans="1:3" x14ac:dyDescent="0.25">
      <c r="A1749">
        <v>4058</v>
      </c>
      <c r="B1749" t="s">
        <v>3492</v>
      </c>
      <c r="C1749">
        <v>0</v>
      </c>
    </row>
    <row r="1750" spans="1:3" x14ac:dyDescent="0.25">
      <c r="A1750">
        <v>4100</v>
      </c>
      <c r="B1750" t="s">
        <v>3494</v>
      </c>
      <c r="C1750">
        <v>0</v>
      </c>
    </row>
    <row r="1751" spans="1:3" x14ac:dyDescent="0.25">
      <c r="A1751">
        <v>4101</v>
      </c>
      <c r="B1751" t="s">
        <v>3496</v>
      </c>
      <c r="C1751">
        <v>0</v>
      </c>
    </row>
    <row r="1752" spans="1:3" x14ac:dyDescent="0.25">
      <c r="A1752">
        <v>4102</v>
      </c>
      <c r="B1752" t="s">
        <v>3498</v>
      </c>
      <c r="C1752">
        <v>0</v>
      </c>
    </row>
    <row r="1753" spans="1:3" x14ac:dyDescent="0.25">
      <c r="A1753">
        <v>4103</v>
      </c>
      <c r="B1753" t="s">
        <v>3500</v>
      </c>
      <c r="C1753">
        <v>0</v>
      </c>
    </row>
    <row r="1754" spans="1:3" x14ac:dyDescent="0.25">
      <c r="A1754">
        <v>4104</v>
      </c>
      <c r="B1754" t="s">
        <v>3502</v>
      </c>
      <c r="C1754">
        <v>0</v>
      </c>
    </row>
    <row r="1755" spans="1:3" x14ac:dyDescent="0.25">
      <c r="A1755">
        <v>4105</v>
      </c>
      <c r="B1755" t="s">
        <v>3504</v>
      </c>
      <c r="C1755">
        <v>0</v>
      </c>
    </row>
    <row r="1756" spans="1:3" x14ac:dyDescent="0.25">
      <c r="A1756">
        <v>4106</v>
      </c>
      <c r="B1756" t="s">
        <v>3506</v>
      </c>
      <c r="C1756">
        <v>0</v>
      </c>
    </row>
    <row r="1757" spans="1:3" x14ac:dyDescent="0.25">
      <c r="A1757">
        <v>4107</v>
      </c>
      <c r="B1757" t="s">
        <v>3508</v>
      </c>
      <c r="C1757">
        <v>0</v>
      </c>
    </row>
    <row r="1758" spans="1:3" x14ac:dyDescent="0.25">
      <c r="A1758">
        <v>4108</v>
      </c>
      <c r="B1758" t="s">
        <v>3510</v>
      </c>
      <c r="C1758">
        <v>0</v>
      </c>
    </row>
    <row r="1759" spans="1:3" x14ac:dyDescent="0.25">
      <c r="A1759">
        <v>4109</v>
      </c>
      <c r="B1759" t="s">
        <v>3512</v>
      </c>
      <c r="C1759">
        <v>0</v>
      </c>
    </row>
    <row r="1760" spans="1:3" x14ac:dyDescent="0.25">
      <c r="A1760">
        <v>4110</v>
      </c>
      <c r="B1760" t="s">
        <v>3514</v>
      </c>
      <c r="C1760">
        <v>0</v>
      </c>
    </row>
    <row r="1761" spans="1:3" x14ac:dyDescent="0.25">
      <c r="A1761">
        <v>4111</v>
      </c>
      <c r="B1761" t="s">
        <v>3516</v>
      </c>
      <c r="C1761">
        <v>0</v>
      </c>
    </row>
    <row r="1762" spans="1:3" x14ac:dyDescent="0.25">
      <c r="A1762">
        <v>4112</v>
      </c>
      <c r="B1762" t="s">
        <v>3518</v>
      </c>
      <c r="C1762">
        <v>0</v>
      </c>
    </row>
    <row r="1763" spans="1:3" x14ac:dyDescent="0.25">
      <c r="A1763">
        <v>4113</v>
      </c>
      <c r="B1763" t="s">
        <v>3520</v>
      </c>
      <c r="C1763">
        <v>0</v>
      </c>
    </row>
    <row r="1764" spans="1:3" x14ac:dyDescent="0.25">
      <c r="A1764">
        <v>4114</v>
      </c>
      <c r="B1764" t="s">
        <v>3522</v>
      </c>
      <c r="C1764">
        <v>0</v>
      </c>
    </row>
    <row r="1765" spans="1:3" x14ac:dyDescent="0.25">
      <c r="A1765">
        <v>4115</v>
      </c>
      <c r="B1765" t="s">
        <v>3524</v>
      </c>
      <c r="C1765">
        <v>0</v>
      </c>
    </row>
    <row r="1766" spans="1:3" x14ac:dyDescent="0.25">
      <c r="A1766">
        <v>4116</v>
      </c>
      <c r="B1766" t="s">
        <v>3526</v>
      </c>
      <c r="C1766">
        <v>0</v>
      </c>
    </row>
    <row r="1767" spans="1:3" x14ac:dyDescent="0.25">
      <c r="A1767">
        <v>4117</v>
      </c>
      <c r="B1767" t="s">
        <v>3528</v>
      </c>
      <c r="C1767">
        <v>0</v>
      </c>
    </row>
    <row r="1768" spans="1:3" x14ac:dyDescent="0.25">
      <c r="A1768">
        <v>4118</v>
      </c>
      <c r="B1768" t="s">
        <v>3530</v>
      </c>
      <c r="C1768">
        <v>0</v>
      </c>
    </row>
    <row r="1769" spans="1:3" x14ac:dyDescent="0.25">
      <c r="A1769">
        <v>4119</v>
      </c>
      <c r="B1769" t="s">
        <v>3532</v>
      </c>
      <c r="C1769">
        <v>0</v>
      </c>
    </row>
    <row r="1770" spans="1:3" x14ac:dyDescent="0.25">
      <c r="A1770">
        <v>4120</v>
      </c>
      <c r="B1770" t="s">
        <v>3534</v>
      </c>
      <c r="C1770">
        <v>0</v>
      </c>
    </row>
    <row r="1771" spans="1:3" x14ac:dyDescent="0.25">
      <c r="A1771">
        <v>4121</v>
      </c>
      <c r="B1771" t="s">
        <v>3536</v>
      </c>
      <c r="C1771">
        <v>0</v>
      </c>
    </row>
    <row r="1772" spans="1:3" x14ac:dyDescent="0.25">
      <c r="A1772">
        <v>4122</v>
      </c>
      <c r="B1772" t="s">
        <v>3538</v>
      </c>
      <c r="C1772">
        <v>0</v>
      </c>
    </row>
    <row r="1773" spans="1:3" x14ac:dyDescent="0.25">
      <c r="A1773">
        <v>4140</v>
      </c>
      <c r="B1773" t="s">
        <v>3540</v>
      </c>
      <c r="C1773">
        <v>0</v>
      </c>
    </row>
    <row r="1774" spans="1:3" x14ac:dyDescent="0.25">
      <c r="A1774">
        <v>4141</v>
      </c>
      <c r="B1774" t="s">
        <v>3542</v>
      </c>
      <c r="C1774">
        <v>0</v>
      </c>
    </row>
    <row r="1775" spans="1:3" x14ac:dyDescent="0.25">
      <c r="A1775">
        <v>4142</v>
      </c>
      <c r="B1775" t="s">
        <v>3544</v>
      </c>
      <c r="C1775">
        <v>0</v>
      </c>
    </row>
    <row r="1776" spans="1:3" x14ac:dyDescent="0.25">
      <c r="A1776">
        <v>4143</v>
      </c>
      <c r="B1776" t="s">
        <v>3546</v>
      </c>
      <c r="C1776">
        <v>0</v>
      </c>
    </row>
    <row r="1777" spans="1:3" x14ac:dyDescent="0.25">
      <c r="A1777">
        <v>4144</v>
      </c>
      <c r="B1777" t="s">
        <v>3548</v>
      </c>
      <c r="C1777">
        <v>0</v>
      </c>
    </row>
    <row r="1778" spans="1:3" x14ac:dyDescent="0.25">
      <c r="A1778">
        <v>4145</v>
      </c>
      <c r="B1778" t="s">
        <v>3550</v>
      </c>
      <c r="C1778">
        <v>0</v>
      </c>
    </row>
    <row r="1779" spans="1:3" x14ac:dyDescent="0.25">
      <c r="A1779">
        <v>4146</v>
      </c>
      <c r="B1779" t="s">
        <v>3552</v>
      </c>
      <c r="C1779">
        <v>0</v>
      </c>
    </row>
    <row r="1780" spans="1:3" x14ac:dyDescent="0.25">
      <c r="A1780">
        <v>4147</v>
      </c>
      <c r="B1780" t="s">
        <v>3554</v>
      </c>
      <c r="C1780">
        <v>0</v>
      </c>
    </row>
    <row r="1781" spans="1:3" x14ac:dyDescent="0.25">
      <c r="A1781">
        <v>4148</v>
      </c>
      <c r="B1781" t="s">
        <v>3556</v>
      </c>
      <c r="C1781">
        <v>0</v>
      </c>
    </row>
    <row r="1782" spans="1:3" x14ac:dyDescent="0.25">
      <c r="A1782">
        <v>4149</v>
      </c>
      <c r="B1782" t="s">
        <v>3558</v>
      </c>
      <c r="C1782">
        <v>0</v>
      </c>
    </row>
    <row r="1783" spans="1:3" x14ac:dyDescent="0.25">
      <c r="A1783">
        <v>4150</v>
      </c>
      <c r="B1783" t="s">
        <v>3560</v>
      </c>
      <c r="C1783">
        <v>0</v>
      </c>
    </row>
    <row r="1784" spans="1:3" x14ac:dyDescent="0.25">
      <c r="A1784">
        <v>4151</v>
      </c>
      <c r="B1784" t="s">
        <v>3562</v>
      </c>
      <c r="C1784">
        <v>0</v>
      </c>
    </row>
    <row r="1785" spans="1:3" x14ac:dyDescent="0.25">
      <c r="A1785">
        <v>4152</v>
      </c>
      <c r="B1785" t="s">
        <v>3564</v>
      </c>
      <c r="C1785">
        <v>0</v>
      </c>
    </row>
    <row r="1786" spans="1:3" x14ac:dyDescent="0.25">
      <c r="A1786">
        <v>4153</v>
      </c>
      <c r="B1786" t="s">
        <v>3566</v>
      </c>
      <c r="C1786">
        <v>0</v>
      </c>
    </row>
    <row r="1787" spans="1:3" x14ac:dyDescent="0.25">
      <c r="A1787">
        <v>4154</v>
      </c>
      <c r="B1787" t="s">
        <v>3568</v>
      </c>
      <c r="C1787">
        <v>0</v>
      </c>
    </row>
    <row r="1788" spans="1:3" x14ac:dyDescent="0.25">
      <c r="A1788">
        <v>4155</v>
      </c>
      <c r="B1788" t="s">
        <v>3570</v>
      </c>
      <c r="C1788">
        <v>0</v>
      </c>
    </row>
    <row r="1789" spans="1:3" x14ac:dyDescent="0.25">
      <c r="A1789">
        <v>4156</v>
      </c>
      <c r="B1789" t="s">
        <v>3572</v>
      </c>
      <c r="C1789">
        <v>0</v>
      </c>
    </row>
    <row r="1790" spans="1:3" x14ac:dyDescent="0.25">
      <c r="A1790">
        <v>4157</v>
      </c>
      <c r="B1790" t="s">
        <v>3574</v>
      </c>
      <c r="C1790">
        <v>0</v>
      </c>
    </row>
    <row r="1791" spans="1:3" x14ac:dyDescent="0.25">
      <c r="A1791">
        <v>4200</v>
      </c>
      <c r="B1791" t="s">
        <v>3576</v>
      </c>
      <c r="C1791">
        <v>0</v>
      </c>
    </row>
    <row r="1792" spans="1:3" x14ac:dyDescent="0.25">
      <c r="A1792">
        <v>4201</v>
      </c>
      <c r="B1792" t="s">
        <v>3578</v>
      </c>
      <c r="C1792">
        <v>0</v>
      </c>
    </row>
    <row r="1793" spans="1:3" x14ac:dyDescent="0.25">
      <c r="A1793">
        <v>4202</v>
      </c>
      <c r="B1793" t="s">
        <v>3580</v>
      </c>
      <c r="C1793">
        <v>0</v>
      </c>
    </row>
    <row r="1794" spans="1:3" x14ac:dyDescent="0.25">
      <c r="A1794">
        <v>4203</v>
      </c>
      <c r="B1794" t="s">
        <v>3582</v>
      </c>
      <c r="C1794">
        <v>0</v>
      </c>
    </row>
    <row r="1795" spans="1:3" x14ac:dyDescent="0.25">
      <c r="A1795">
        <v>4204</v>
      </c>
      <c r="B1795" t="s">
        <v>3584</v>
      </c>
      <c r="C1795">
        <v>0</v>
      </c>
    </row>
    <row r="1796" spans="1:3" x14ac:dyDescent="0.25">
      <c r="A1796">
        <v>4205</v>
      </c>
      <c r="B1796" t="s">
        <v>3586</v>
      </c>
      <c r="C1796">
        <v>0</v>
      </c>
    </row>
    <row r="1797" spans="1:3" x14ac:dyDescent="0.25">
      <c r="A1797">
        <v>4206</v>
      </c>
      <c r="B1797" t="s">
        <v>3588</v>
      </c>
      <c r="C1797">
        <v>0</v>
      </c>
    </row>
    <row r="1798" spans="1:3" x14ac:dyDescent="0.25">
      <c r="A1798">
        <v>4207</v>
      </c>
      <c r="B1798" t="s">
        <v>3590</v>
      </c>
      <c r="C1798">
        <v>0</v>
      </c>
    </row>
    <row r="1799" spans="1:3" x14ac:dyDescent="0.25">
      <c r="A1799">
        <v>4208</v>
      </c>
      <c r="B1799" t="s">
        <v>3592</v>
      </c>
      <c r="C1799">
        <v>0</v>
      </c>
    </row>
    <row r="1800" spans="1:3" x14ac:dyDescent="0.25">
      <c r="A1800">
        <v>4209</v>
      </c>
      <c r="B1800" t="s">
        <v>3594</v>
      </c>
      <c r="C1800">
        <v>0</v>
      </c>
    </row>
    <row r="1801" spans="1:3" x14ac:dyDescent="0.25">
      <c r="A1801">
        <v>4210</v>
      </c>
      <c r="B1801" t="s">
        <v>3596</v>
      </c>
      <c r="C1801">
        <v>0</v>
      </c>
    </row>
    <row r="1802" spans="1:3" x14ac:dyDescent="0.25">
      <c r="A1802">
        <v>4211</v>
      </c>
      <c r="B1802" t="s">
        <v>3598</v>
      </c>
      <c r="C1802">
        <v>0</v>
      </c>
    </row>
    <row r="1803" spans="1:3" x14ac:dyDescent="0.25">
      <c r="A1803">
        <v>4212</v>
      </c>
      <c r="B1803" t="s">
        <v>3600</v>
      </c>
      <c r="C1803">
        <v>0</v>
      </c>
    </row>
    <row r="1804" spans="1:3" x14ac:dyDescent="0.25">
      <c r="A1804">
        <v>4213</v>
      </c>
      <c r="B1804" t="s">
        <v>3602</v>
      </c>
      <c r="C1804">
        <v>0</v>
      </c>
    </row>
    <row r="1805" spans="1:3" x14ac:dyDescent="0.25">
      <c r="A1805">
        <v>4215</v>
      </c>
      <c r="B1805" t="s">
        <v>3604</v>
      </c>
      <c r="C1805">
        <v>0</v>
      </c>
    </row>
    <row r="1806" spans="1:3" x14ac:dyDescent="0.25">
      <c r="A1806">
        <v>4216</v>
      </c>
      <c r="B1806" t="s">
        <v>3606</v>
      </c>
      <c r="C1806">
        <v>0</v>
      </c>
    </row>
    <row r="1807" spans="1:3" x14ac:dyDescent="0.25">
      <c r="A1807">
        <v>4217</v>
      </c>
      <c r="B1807" t="s">
        <v>3608</v>
      </c>
      <c r="C1807">
        <v>0</v>
      </c>
    </row>
    <row r="1808" spans="1:3" x14ac:dyDescent="0.25">
      <c r="A1808">
        <v>4218</v>
      </c>
      <c r="B1808" t="s">
        <v>3610</v>
      </c>
      <c r="C1808">
        <v>0</v>
      </c>
    </row>
    <row r="1809" spans="1:3" x14ac:dyDescent="0.25">
      <c r="A1809">
        <v>4219</v>
      </c>
      <c r="B1809" t="s">
        <v>3612</v>
      </c>
      <c r="C1809">
        <v>0</v>
      </c>
    </row>
    <row r="1810" spans="1:3" x14ac:dyDescent="0.25">
      <c r="A1810">
        <v>4220</v>
      </c>
      <c r="B1810" t="s">
        <v>3614</v>
      </c>
      <c r="C1810">
        <v>0</v>
      </c>
    </row>
    <row r="1811" spans="1:3" x14ac:dyDescent="0.25">
      <c r="A1811">
        <v>4221</v>
      </c>
      <c r="B1811" t="s">
        <v>3616</v>
      </c>
      <c r="C1811">
        <v>0</v>
      </c>
    </row>
    <row r="1812" spans="1:3" x14ac:dyDescent="0.25">
      <c r="A1812">
        <v>4222</v>
      </c>
      <c r="B1812" t="s">
        <v>3618</v>
      </c>
      <c r="C1812">
        <v>0</v>
      </c>
    </row>
    <row r="1813" spans="1:3" x14ac:dyDescent="0.25">
      <c r="A1813">
        <v>4223</v>
      </c>
      <c r="B1813" t="s">
        <v>3620</v>
      </c>
      <c r="C1813">
        <v>0</v>
      </c>
    </row>
    <row r="1814" spans="1:3" x14ac:dyDescent="0.25">
      <c r="A1814">
        <v>4224</v>
      </c>
      <c r="B1814" t="s">
        <v>3622</v>
      </c>
      <c r="C1814">
        <v>0</v>
      </c>
    </row>
    <row r="1815" spans="1:3" x14ac:dyDescent="0.25">
      <c r="A1815">
        <v>4225</v>
      </c>
      <c r="B1815" t="s">
        <v>3624</v>
      </c>
      <c r="C1815">
        <v>0</v>
      </c>
    </row>
    <row r="1816" spans="1:3" x14ac:dyDescent="0.25">
      <c r="A1816">
        <v>4226</v>
      </c>
      <c r="B1816" t="s">
        <v>3626</v>
      </c>
      <c r="C1816">
        <v>0</v>
      </c>
    </row>
    <row r="1817" spans="1:3" x14ac:dyDescent="0.25">
      <c r="A1817">
        <v>4227</v>
      </c>
      <c r="B1817" t="s">
        <v>3628</v>
      </c>
      <c r="C1817">
        <v>0</v>
      </c>
    </row>
    <row r="1818" spans="1:3" x14ac:dyDescent="0.25">
      <c r="A1818">
        <v>4228</v>
      </c>
      <c r="B1818" t="s">
        <v>3630</v>
      </c>
      <c r="C1818">
        <v>0</v>
      </c>
    </row>
    <row r="1819" spans="1:3" x14ac:dyDescent="0.25">
      <c r="A1819">
        <v>4229</v>
      </c>
      <c r="B1819" t="s">
        <v>3632</v>
      </c>
      <c r="C1819">
        <v>0</v>
      </c>
    </row>
    <row r="1820" spans="1:3" x14ac:dyDescent="0.25">
      <c r="A1820">
        <v>4230</v>
      </c>
      <c r="B1820" t="s">
        <v>3634</v>
      </c>
      <c r="C1820">
        <v>0</v>
      </c>
    </row>
    <row r="1821" spans="1:3" x14ac:dyDescent="0.25">
      <c r="A1821">
        <v>4231</v>
      </c>
      <c r="B1821" t="s">
        <v>3636</v>
      </c>
      <c r="C1821">
        <v>0</v>
      </c>
    </row>
    <row r="1822" spans="1:3" x14ac:dyDescent="0.25">
      <c r="A1822">
        <v>4232</v>
      </c>
      <c r="B1822" t="s">
        <v>3638</v>
      </c>
      <c r="C1822">
        <v>0</v>
      </c>
    </row>
    <row r="1823" spans="1:3" x14ac:dyDescent="0.25">
      <c r="A1823">
        <v>4233</v>
      </c>
      <c r="B1823" t="s">
        <v>3640</v>
      </c>
      <c r="C1823">
        <v>0</v>
      </c>
    </row>
    <row r="1824" spans="1:3" x14ac:dyDescent="0.25">
      <c r="A1824">
        <v>4234</v>
      </c>
      <c r="B1824" t="s">
        <v>3642</v>
      </c>
      <c r="C1824">
        <v>0</v>
      </c>
    </row>
    <row r="1825" spans="1:3" x14ac:dyDescent="0.25">
      <c r="A1825">
        <v>4235</v>
      </c>
      <c r="B1825" t="s">
        <v>3644</v>
      </c>
      <c r="C1825">
        <v>0</v>
      </c>
    </row>
    <row r="1826" spans="1:3" x14ac:dyDescent="0.25">
      <c r="A1826">
        <v>4236</v>
      </c>
      <c r="B1826" t="s">
        <v>3646</v>
      </c>
      <c r="C1826">
        <v>0</v>
      </c>
    </row>
    <row r="1827" spans="1:3" x14ac:dyDescent="0.25">
      <c r="A1827">
        <v>4237</v>
      </c>
      <c r="B1827" t="s">
        <v>3648</v>
      </c>
      <c r="C1827">
        <v>0</v>
      </c>
    </row>
    <row r="1828" spans="1:3" x14ac:dyDescent="0.25">
      <c r="A1828">
        <v>4238</v>
      </c>
      <c r="B1828" t="s">
        <v>3650</v>
      </c>
      <c r="C1828">
        <v>0</v>
      </c>
    </row>
    <row r="1829" spans="1:3" x14ac:dyDescent="0.25">
      <c r="A1829">
        <v>4239</v>
      </c>
      <c r="B1829" t="s">
        <v>3652</v>
      </c>
      <c r="C1829">
        <v>0</v>
      </c>
    </row>
    <row r="1830" spans="1:3" x14ac:dyDescent="0.25">
      <c r="A1830">
        <v>4240</v>
      </c>
      <c r="B1830" t="s">
        <v>3654</v>
      </c>
      <c r="C1830">
        <v>0</v>
      </c>
    </row>
    <row r="1831" spans="1:3" x14ac:dyDescent="0.25">
      <c r="A1831">
        <v>4241</v>
      </c>
      <c r="B1831" t="s">
        <v>3656</v>
      </c>
      <c r="C1831">
        <v>0</v>
      </c>
    </row>
    <row r="1832" spans="1:3" x14ac:dyDescent="0.25">
      <c r="A1832">
        <v>4242</v>
      </c>
      <c r="B1832" t="s">
        <v>3658</v>
      </c>
      <c r="C1832">
        <v>0</v>
      </c>
    </row>
    <row r="1833" spans="1:3" x14ac:dyDescent="0.25">
      <c r="A1833">
        <v>4243</v>
      </c>
      <c r="B1833" t="s">
        <v>3660</v>
      </c>
      <c r="C1833">
        <v>0</v>
      </c>
    </row>
    <row r="1834" spans="1:3" x14ac:dyDescent="0.25">
      <c r="A1834">
        <v>4244</v>
      </c>
      <c r="B1834" t="s">
        <v>3662</v>
      </c>
      <c r="C1834">
        <v>0</v>
      </c>
    </row>
    <row r="1835" spans="1:3" x14ac:dyDescent="0.25">
      <c r="A1835">
        <v>4245</v>
      </c>
      <c r="B1835" t="s">
        <v>3664</v>
      </c>
      <c r="C1835">
        <v>0</v>
      </c>
    </row>
    <row r="1836" spans="1:3" x14ac:dyDescent="0.25">
      <c r="A1836">
        <v>4246</v>
      </c>
      <c r="B1836" t="s">
        <v>3666</v>
      </c>
      <c r="C1836">
        <v>0</v>
      </c>
    </row>
    <row r="1837" spans="1:3" x14ac:dyDescent="0.25">
      <c r="A1837">
        <v>4247</v>
      </c>
      <c r="B1837" t="s">
        <v>3668</v>
      </c>
      <c r="C1837">
        <v>0</v>
      </c>
    </row>
    <row r="1838" spans="1:3" x14ac:dyDescent="0.25">
      <c r="A1838">
        <v>4248</v>
      </c>
      <c r="B1838" t="s">
        <v>3670</v>
      </c>
      <c r="C1838">
        <v>0</v>
      </c>
    </row>
    <row r="1839" spans="1:3" x14ac:dyDescent="0.25">
      <c r="A1839">
        <v>4249</v>
      </c>
      <c r="B1839" t="s">
        <v>3672</v>
      </c>
      <c r="C1839">
        <v>0</v>
      </c>
    </row>
    <row r="1840" spans="1:3" x14ac:dyDescent="0.25">
      <c r="A1840">
        <v>4250</v>
      </c>
      <c r="B1840" t="s">
        <v>3674</v>
      </c>
      <c r="C1840">
        <v>0</v>
      </c>
    </row>
    <row r="1841" spans="1:3" x14ac:dyDescent="0.25">
      <c r="A1841">
        <v>4251</v>
      </c>
      <c r="B1841" t="s">
        <v>3676</v>
      </c>
      <c r="C1841">
        <v>0</v>
      </c>
    </row>
    <row r="1842" spans="1:3" x14ac:dyDescent="0.25">
      <c r="A1842">
        <v>4252</v>
      </c>
      <c r="B1842" t="s">
        <v>3678</v>
      </c>
      <c r="C1842">
        <v>0</v>
      </c>
    </row>
    <row r="1843" spans="1:3" x14ac:dyDescent="0.25">
      <c r="A1843">
        <v>4253</v>
      </c>
      <c r="B1843" t="s">
        <v>3680</v>
      </c>
      <c r="C1843">
        <v>0</v>
      </c>
    </row>
    <row r="1844" spans="1:3" x14ac:dyDescent="0.25">
      <c r="A1844">
        <v>4254</v>
      </c>
      <c r="B1844" t="s">
        <v>3682</v>
      </c>
      <c r="C1844">
        <v>0</v>
      </c>
    </row>
    <row r="1845" spans="1:3" x14ac:dyDescent="0.25">
      <c r="A1845">
        <v>4255</v>
      </c>
      <c r="B1845" t="s">
        <v>3684</v>
      </c>
      <c r="C1845">
        <v>0</v>
      </c>
    </row>
    <row r="1846" spans="1:3" x14ac:dyDescent="0.25">
      <c r="A1846">
        <v>4256</v>
      </c>
      <c r="B1846" t="s">
        <v>3686</v>
      </c>
      <c r="C1846">
        <v>0</v>
      </c>
    </row>
    <row r="1847" spans="1:3" x14ac:dyDescent="0.25">
      <c r="A1847">
        <v>4257</v>
      </c>
      <c r="B1847" t="s">
        <v>3688</v>
      </c>
      <c r="C1847">
        <v>0</v>
      </c>
    </row>
    <row r="1848" spans="1:3" x14ac:dyDescent="0.25">
      <c r="A1848">
        <v>4258</v>
      </c>
      <c r="B1848" t="s">
        <v>3690</v>
      </c>
      <c r="C1848">
        <v>0</v>
      </c>
    </row>
    <row r="1849" spans="1:3" x14ac:dyDescent="0.25">
      <c r="A1849">
        <v>4259</v>
      </c>
      <c r="B1849" t="s">
        <v>3692</v>
      </c>
      <c r="C1849">
        <v>0</v>
      </c>
    </row>
    <row r="1850" spans="1:3" x14ac:dyDescent="0.25">
      <c r="A1850">
        <v>4260</v>
      </c>
      <c r="B1850" t="s">
        <v>3694</v>
      </c>
      <c r="C1850">
        <v>0</v>
      </c>
    </row>
    <row r="1851" spans="1:3" x14ac:dyDescent="0.25">
      <c r="A1851">
        <v>4261</v>
      </c>
      <c r="B1851" t="s">
        <v>3696</v>
      </c>
      <c r="C1851">
        <v>0</v>
      </c>
    </row>
    <row r="1852" spans="1:3" x14ac:dyDescent="0.25">
      <c r="A1852">
        <v>4262</v>
      </c>
      <c r="B1852" t="s">
        <v>3698</v>
      </c>
      <c r="C1852">
        <v>0</v>
      </c>
    </row>
    <row r="1853" spans="1:3" x14ac:dyDescent="0.25">
      <c r="A1853">
        <v>4263</v>
      </c>
      <c r="B1853" t="s">
        <v>3700</v>
      </c>
      <c r="C1853">
        <v>0</v>
      </c>
    </row>
    <row r="1854" spans="1:3" x14ac:dyDescent="0.25">
      <c r="A1854">
        <v>4264</v>
      </c>
      <c r="B1854" t="s">
        <v>3702</v>
      </c>
      <c r="C1854">
        <v>0</v>
      </c>
    </row>
    <row r="1855" spans="1:3" x14ac:dyDescent="0.25">
      <c r="A1855">
        <v>4265</v>
      </c>
      <c r="B1855" t="s">
        <v>3704</v>
      </c>
      <c r="C1855">
        <v>0</v>
      </c>
    </row>
    <row r="1856" spans="1:3" x14ac:dyDescent="0.25">
      <c r="A1856">
        <v>4266</v>
      </c>
      <c r="B1856" t="s">
        <v>3706</v>
      </c>
      <c r="C1856">
        <v>0</v>
      </c>
    </row>
    <row r="1857" spans="1:3" x14ac:dyDescent="0.25">
      <c r="A1857">
        <v>4267</v>
      </c>
      <c r="B1857" t="s">
        <v>3708</v>
      </c>
      <c r="C1857">
        <v>0</v>
      </c>
    </row>
    <row r="1858" spans="1:3" x14ac:dyDescent="0.25">
      <c r="A1858">
        <v>4268</v>
      </c>
      <c r="B1858" t="s">
        <v>3710</v>
      </c>
      <c r="C1858">
        <v>0</v>
      </c>
    </row>
    <row r="1859" spans="1:3" x14ac:dyDescent="0.25">
      <c r="A1859">
        <v>4269</v>
      </c>
      <c r="B1859" t="s">
        <v>3712</v>
      </c>
      <c r="C1859">
        <v>0</v>
      </c>
    </row>
    <row r="1860" spans="1:3" x14ac:dyDescent="0.25">
      <c r="A1860">
        <v>4270</v>
      </c>
      <c r="B1860" t="s">
        <v>3714</v>
      </c>
      <c r="C1860">
        <v>0</v>
      </c>
    </row>
    <row r="1861" spans="1:3" x14ac:dyDescent="0.25">
      <c r="A1861">
        <v>4271</v>
      </c>
      <c r="B1861" t="s">
        <v>3716</v>
      </c>
      <c r="C1861">
        <v>0</v>
      </c>
    </row>
    <row r="1862" spans="1:3" x14ac:dyDescent="0.25">
      <c r="A1862">
        <v>4272</v>
      </c>
      <c r="B1862" t="s">
        <v>3718</v>
      </c>
      <c r="C1862">
        <v>0</v>
      </c>
    </row>
    <row r="1863" spans="1:3" x14ac:dyDescent="0.25">
      <c r="A1863">
        <v>4273</v>
      </c>
      <c r="B1863" t="s">
        <v>3720</v>
      </c>
      <c r="C1863">
        <v>0</v>
      </c>
    </row>
    <row r="1864" spans="1:3" x14ac:dyDescent="0.25">
      <c r="A1864">
        <v>4274</v>
      </c>
      <c r="B1864" t="s">
        <v>3722</v>
      </c>
      <c r="C1864">
        <v>0</v>
      </c>
    </row>
    <row r="1865" spans="1:3" x14ac:dyDescent="0.25">
      <c r="A1865">
        <v>4275</v>
      </c>
      <c r="B1865" t="s">
        <v>3724</v>
      </c>
      <c r="C1865">
        <v>0</v>
      </c>
    </row>
    <row r="1866" spans="1:3" x14ac:dyDescent="0.25">
      <c r="A1866">
        <v>4276</v>
      </c>
      <c r="B1866" t="s">
        <v>3726</v>
      </c>
      <c r="C1866">
        <v>0</v>
      </c>
    </row>
    <row r="1867" spans="1:3" x14ac:dyDescent="0.25">
      <c r="A1867">
        <v>4277</v>
      </c>
      <c r="B1867" t="s">
        <v>3728</v>
      </c>
      <c r="C1867">
        <v>0</v>
      </c>
    </row>
    <row r="1868" spans="1:3" x14ac:dyDescent="0.25">
      <c r="A1868">
        <v>4278</v>
      </c>
      <c r="B1868" t="s">
        <v>3730</v>
      </c>
      <c r="C1868">
        <v>0</v>
      </c>
    </row>
    <row r="1869" spans="1:3" x14ac:dyDescent="0.25">
      <c r="A1869">
        <v>4279</v>
      </c>
      <c r="B1869" t="s">
        <v>3732</v>
      </c>
      <c r="C1869">
        <v>0</v>
      </c>
    </row>
    <row r="1870" spans="1:3" x14ac:dyDescent="0.25">
      <c r="A1870">
        <v>4280</v>
      </c>
      <c r="B1870" t="s">
        <v>3734</v>
      </c>
      <c r="C1870">
        <v>0</v>
      </c>
    </row>
    <row r="1871" spans="1:3" x14ac:dyDescent="0.25">
      <c r="A1871">
        <v>4281</v>
      </c>
      <c r="B1871" t="s">
        <v>3736</v>
      </c>
      <c r="C1871">
        <v>0</v>
      </c>
    </row>
    <row r="1872" spans="1:3" x14ac:dyDescent="0.25">
      <c r="A1872">
        <v>4282</v>
      </c>
      <c r="B1872" t="s">
        <v>3738</v>
      </c>
      <c r="C1872">
        <v>0</v>
      </c>
    </row>
    <row r="1873" spans="1:3" x14ac:dyDescent="0.25">
      <c r="A1873">
        <v>4283</v>
      </c>
      <c r="B1873" t="s">
        <v>3740</v>
      </c>
      <c r="C1873">
        <v>0</v>
      </c>
    </row>
    <row r="1874" spans="1:3" x14ac:dyDescent="0.25">
      <c r="A1874">
        <v>4284</v>
      </c>
      <c r="B1874" t="s">
        <v>3742</v>
      </c>
      <c r="C1874">
        <v>0</v>
      </c>
    </row>
    <row r="1875" spans="1:3" x14ac:dyDescent="0.25">
      <c r="A1875">
        <v>4285</v>
      </c>
      <c r="B1875" t="s">
        <v>3744</v>
      </c>
      <c r="C1875">
        <v>0</v>
      </c>
    </row>
    <row r="1876" spans="1:3" x14ac:dyDescent="0.25">
      <c r="A1876">
        <v>4286</v>
      </c>
      <c r="B1876" t="s">
        <v>3746</v>
      </c>
      <c r="C1876">
        <v>0</v>
      </c>
    </row>
    <row r="1877" spans="1:3" x14ac:dyDescent="0.25">
      <c r="A1877">
        <v>4287</v>
      </c>
      <c r="B1877" t="s">
        <v>3748</v>
      </c>
      <c r="C1877">
        <v>0</v>
      </c>
    </row>
    <row r="1878" spans="1:3" x14ac:dyDescent="0.25">
      <c r="A1878">
        <v>4288</v>
      </c>
      <c r="B1878" t="s">
        <v>3750</v>
      </c>
      <c r="C1878">
        <v>0</v>
      </c>
    </row>
    <row r="1879" spans="1:3" x14ac:dyDescent="0.25">
      <c r="A1879">
        <v>4289</v>
      </c>
      <c r="B1879" t="s">
        <v>3752</v>
      </c>
      <c r="C1879">
        <v>0</v>
      </c>
    </row>
    <row r="1880" spans="1:3" x14ac:dyDescent="0.25">
      <c r="A1880">
        <v>4290</v>
      </c>
      <c r="B1880" t="s">
        <v>3754</v>
      </c>
      <c r="C1880">
        <v>0</v>
      </c>
    </row>
    <row r="1881" spans="1:3" x14ac:dyDescent="0.25">
      <c r="A1881">
        <v>4291</v>
      </c>
      <c r="B1881" t="s">
        <v>3756</v>
      </c>
      <c r="C1881">
        <v>0</v>
      </c>
    </row>
    <row r="1882" spans="1:3" x14ac:dyDescent="0.25">
      <c r="A1882">
        <v>4292</v>
      </c>
      <c r="B1882" t="s">
        <v>3758</v>
      </c>
      <c r="C1882">
        <v>0</v>
      </c>
    </row>
    <row r="1883" spans="1:3" x14ac:dyDescent="0.25">
      <c r="A1883">
        <v>7000</v>
      </c>
      <c r="B1883" t="s">
        <v>3760</v>
      </c>
      <c r="C1883">
        <v>0</v>
      </c>
    </row>
    <row r="1884" spans="1:3" x14ac:dyDescent="0.25">
      <c r="A1884">
        <v>7001</v>
      </c>
      <c r="B1884" t="s">
        <v>3762</v>
      </c>
      <c r="C1884">
        <v>0</v>
      </c>
    </row>
    <row r="1885" spans="1:3" x14ac:dyDescent="0.25">
      <c r="A1885">
        <v>7002</v>
      </c>
      <c r="B1885" t="s">
        <v>3764</v>
      </c>
      <c r="C1885">
        <v>0</v>
      </c>
    </row>
    <row r="1886" spans="1:3" x14ac:dyDescent="0.25">
      <c r="A1886">
        <v>7003</v>
      </c>
      <c r="B1886" t="s">
        <v>3766</v>
      </c>
      <c r="C1886">
        <v>0</v>
      </c>
    </row>
    <row r="1887" spans="1:3" x14ac:dyDescent="0.25">
      <c r="A1887">
        <v>7004</v>
      </c>
      <c r="B1887" t="s">
        <v>3768</v>
      </c>
      <c r="C1887">
        <v>0</v>
      </c>
    </row>
    <row r="1888" spans="1:3" x14ac:dyDescent="0.25">
      <c r="A1888">
        <v>7005</v>
      </c>
      <c r="B1888" t="s">
        <v>3770</v>
      </c>
      <c r="C1888">
        <v>0</v>
      </c>
    </row>
    <row r="1889" spans="1:3" x14ac:dyDescent="0.25">
      <c r="A1889">
        <v>7006</v>
      </c>
      <c r="B1889" t="s">
        <v>3772</v>
      </c>
      <c r="C1889">
        <v>0</v>
      </c>
    </row>
    <row r="1890" spans="1:3" x14ac:dyDescent="0.25">
      <c r="A1890">
        <v>7007</v>
      </c>
      <c r="B1890" t="s">
        <v>3774</v>
      </c>
      <c r="C1890">
        <v>0</v>
      </c>
    </row>
    <row r="1891" spans="1:3" x14ac:dyDescent="0.25">
      <c r="A1891">
        <v>7008</v>
      </c>
      <c r="B1891" t="s">
        <v>3776</v>
      </c>
      <c r="C1891">
        <v>0</v>
      </c>
    </row>
    <row r="1892" spans="1:3" x14ac:dyDescent="0.25">
      <c r="A1892">
        <v>7009</v>
      </c>
      <c r="B1892" t="s">
        <v>3778</v>
      </c>
      <c r="C1892">
        <v>0</v>
      </c>
    </row>
    <row r="1893" spans="1:3" x14ac:dyDescent="0.25">
      <c r="A1893">
        <v>7010</v>
      </c>
      <c r="B1893" t="s">
        <v>3780</v>
      </c>
      <c r="C1893">
        <v>0</v>
      </c>
    </row>
    <row r="1894" spans="1:3" x14ac:dyDescent="0.25">
      <c r="A1894">
        <v>7011</v>
      </c>
      <c r="B1894" t="s">
        <v>3782</v>
      </c>
      <c r="C1894">
        <v>0</v>
      </c>
    </row>
    <row r="1895" spans="1:3" x14ac:dyDescent="0.25">
      <c r="A1895">
        <v>7013</v>
      </c>
      <c r="B1895" t="s">
        <v>3784</v>
      </c>
      <c r="C1895">
        <v>0</v>
      </c>
    </row>
    <row r="1896" spans="1:3" x14ac:dyDescent="0.25">
      <c r="A1896">
        <v>7014</v>
      </c>
      <c r="B1896" t="s">
        <v>3786</v>
      </c>
      <c r="C1896">
        <v>0</v>
      </c>
    </row>
    <row r="1897" spans="1:3" x14ac:dyDescent="0.25">
      <c r="A1897">
        <v>7015</v>
      </c>
      <c r="B1897" t="s">
        <v>3788</v>
      </c>
      <c r="C1897">
        <v>0</v>
      </c>
    </row>
    <row r="1898" spans="1:3" x14ac:dyDescent="0.25">
      <c r="A1898">
        <v>7016</v>
      </c>
      <c r="B1898" t="s">
        <v>3790</v>
      </c>
      <c r="C1898">
        <v>0</v>
      </c>
    </row>
    <row r="1899" spans="1:3" x14ac:dyDescent="0.25">
      <c r="A1899">
        <v>7017</v>
      </c>
      <c r="B1899" t="s">
        <v>3792</v>
      </c>
      <c r="C1899">
        <v>0</v>
      </c>
    </row>
    <row r="1900" spans="1:3" x14ac:dyDescent="0.25">
      <c r="A1900">
        <v>7018</v>
      </c>
      <c r="B1900" t="s">
        <v>3794</v>
      </c>
      <c r="C1900">
        <v>0</v>
      </c>
    </row>
    <row r="1901" spans="1:3" x14ac:dyDescent="0.25">
      <c r="A1901">
        <v>7019</v>
      </c>
      <c r="B1901" t="s">
        <v>3796</v>
      </c>
      <c r="C1901">
        <v>0</v>
      </c>
    </row>
    <row r="1902" spans="1:3" x14ac:dyDescent="0.25">
      <c r="A1902">
        <v>7020</v>
      </c>
      <c r="B1902" t="s">
        <v>3798</v>
      </c>
      <c r="C1902">
        <v>0</v>
      </c>
    </row>
    <row r="1903" spans="1:3" x14ac:dyDescent="0.25">
      <c r="A1903">
        <v>7021</v>
      </c>
      <c r="B1903" t="s">
        <v>3800</v>
      </c>
      <c r="C1903">
        <v>0</v>
      </c>
    </row>
    <row r="1904" spans="1:3" x14ac:dyDescent="0.25">
      <c r="A1904">
        <v>7022</v>
      </c>
      <c r="B1904" t="s">
        <v>3802</v>
      </c>
      <c r="C1904">
        <v>0</v>
      </c>
    </row>
    <row r="1905" spans="1:3" x14ac:dyDescent="0.25">
      <c r="A1905">
        <v>7023</v>
      </c>
      <c r="B1905" t="s">
        <v>3804</v>
      </c>
      <c r="C1905">
        <v>0</v>
      </c>
    </row>
    <row r="1906" spans="1:3" x14ac:dyDescent="0.25">
      <c r="A1906">
        <v>7024</v>
      </c>
      <c r="B1906" t="s">
        <v>3806</v>
      </c>
      <c r="C1906">
        <v>0</v>
      </c>
    </row>
    <row r="1907" spans="1:3" x14ac:dyDescent="0.25">
      <c r="A1907">
        <v>7025</v>
      </c>
      <c r="B1907" t="s">
        <v>3808</v>
      </c>
      <c r="C1907">
        <v>0</v>
      </c>
    </row>
    <row r="1908" spans="1:3" x14ac:dyDescent="0.25">
      <c r="A1908">
        <v>7026</v>
      </c>
      <c r="B1908" t="s">
        <v>3810</v>
      </c>
      <c r="C1908">
        <v>0</v>
      </c>
    </row>
    <row r="1909" spans="1:3" x14ac:dyDescent="0.25">
      <c r="A1909">
        <v>7027</v>
      </c>
      <c r="B1909" t="s">
        <v>3812</v>
      </c>
      <c r="C1909">
        <v>0</v>
      </c>
    </row>
    <row r="1910" spans="1:3" x14ac:dyDescent="0.25">
      <c r="A1910">
        <v>7028</v>
      </c>
      <c r="B1910" t="s">
        <v>3814</v>
      </c>
      <c r="C1910">
        <v>0</v>
      </c>
    </row>
    <row r="1911" spans="1:3" x14ac:dyDescent="0.25">
      <c r="A1911">
        <v>7030</v>
      </c>
      <c r="B1911" t="s">
        <v>3816</v>
      </c>
      <c r="C1911">
        <v>0</v>
      </c>
    </row>
    <row r="1912" spans="1:3" x14ac:dyDescent="0.25">
      <c r="A1912">
        <v>7031</v>
      </c>
      <c r="B1912" t="s">
        <v>3818</v>
      </c>
      <c r="C1912">
        <v>0</v>
      </c>
    </row>
    <row r="1913" spans="1:3" x14ac:dyDescent="0.25">
      <c r="A1913">
        <v>7032</v>
      </c>
      <c r="B1913" t="s">
        <v>3820</v>
      </c>
      <c r="C1913">
        <v>0</v>
      </c>
    </row>
    <row r="1914" spans="1:3" x14ac:dyDescent="0.25">
      <c r="A1914">
        <v>7033</v>
      </c>
      <c r="B1914" t="s">
        <v>3822</v>
      </c>
      <c r="C1914">
        <v>0</v>
      </c>
    </row>
    <row r="1915" spans="1:3" x14ac:dyDescent="0.25">
      <c r="A1915">
        <v>7034</v>
      </c>
      <c r="B1915" t="s">
        <v>3824</v>
      </c>
      <c r="C1915">
        <v>0</v>
      </c>
    </row>
    <row r="1916" spans="1:3" x14ac:dyDescent="0.25">
      <c r="A1916">
        <v>7035</v>
      </c>
      <c r="B1916" t="s">
        <v>3826</v>
      </c>
      <c r="C1916">
        <v>0</v>
      </c>
    </row>
    <row r="1917" spans="1:3" x14ac:dyDescent="0.25">
      <c r="A1917">
        <v>7036</v>
      </c>
      <c r="B1917" t="s">
        <v>3828</v>
      </c>
      <c r="C1917">
        <v>0</v>
      </c>
    </row>
    <row r="1918" spans="1:3" x14ac:dyDescent="0.25">
      <c r="A1918">
        <v>7037</v>
      </c>
      <c r="B1918" t="s">
        <v>3830</v>
      </c>
      <c r="C1918">
        <v>0</v>
      </c>
    </row>
    <row r="1919" spans="1:3" x14ac:dyDescent="0.25">
      <c r="A1919">
        <v>7038</v>
      </c>
      <c r="B1919" t="s">
        <v>3832</v>
      </c>
      <c r="C1919">
        <v>0</v>
      </c>
    </row>
    <row r="1920" spans="1:3" x14ac:dyDescent="0.25">
      <c r="A1920">
        <v>7039</v>
      </c>
      <c r="B1920" t="s">
        <v>3834</v>
      </c>
      <c r="C1920">
        <v>0</v>
      </c>
    </row>
    <row r="1921" spans="1:3" x14ac:dyDescent="0.25">
      <c r="A1921">
        <v>7040</v>
      </c>
      <c r="B1921" t="s">
        <v>3836</v>
      </c>
      <c r="C1921">
        <v>0</v>
      </c>
    </row>
    <row r="1922" spans="1:3" x14ac:dyDescent="0.25">
      <c r="A1922">
        <v>7041</v>
      </c>
      <c r="B1922" t="s">
        <v>3838</v>
      </c>
      <c r="C1922">
        <v>0</v>
      </c>
    </row>
    <row r="1923" spans="1:3" x14ac:dyDescent="0.25">
      <c r="A1923">
        <v>7042</v>
      </c>
      <c r="B1923" t="s">
        <v>3840</v>
      </c>
      <c r="C1923">
        <v>0</v>
      </c>
    </row>
    <row r="1924" spans="1:3" x14ac:dyDescent="0.25">
      <c r="A1924">
        <v>7043</v>
      </c>
      <c r="B1924" t="s">
        <v>3842</v>
      </c>
      <c r="C1924">
        <v>0</v>
      </c>
    </row>
    <row r="1925" spans="1:3" x14ac:dyDescent="0.25">
      <c r="A1925">
        <v>7044</v>
      </c>
      <c r="B1925" t="s">
        <v>3844</v>
      </c>
      <c r="C1925">
        <v>0</v>
      </c>
    </row>
    <row r="1926" spans="1:3" x14ac:dyDescent="0.25">
      <c r="A1926">
        <v>7051</v>
      </c>
      <c r="B1926" t="s">
        <v>3846</v>
      </c>
      <c r="C1926">
        <v>0</v>
      </c>
    </row>
    <row r="1927" spans="1:3" x14ac:dyDescent="0.25">
      <c r="A1927">
        <v>7052</v>
      </c>
      <c r="B1927" t="s">
        <v>3848</v>
      </c>
      <c r="C1927">
        <v>0</v>
      </c>
    </row>
    <row r="1928" spans="1:3" x14ac:dyDescent="0.25">
      <c r="A1928">
        <v>7054</v>
      </c>
      <c r="B1928" t="s">
        <v>3850</v>
      </c>
      <c r="C1928">
        <v>0</v>
      </c>
    </row>
    <row r="1929" spans="1:3" x14ac:dyDescent="0.25">
      <c r="A1929">
        <v>7055</v>
      </c>
      <c r="B1929" t="s">
        <v>3852</v>
      </c>
      <c r="C1929">
        <v>0</v>
      </c>
    </row>
    <row r="1930" spans="1:3" x14ac:dyDescent="0.25">
      <c r="A1930">
        <v>7056</v>
      </c>
      <c r="B1930" t="s">
        <v>3854</v>
      </c>
      <c r="C1930">
        <v>0</v>
      </c>
    </row>
    <row r="1931" spans="1:3" x14ac:dyDescent="0.25">
      <c r="A1931">
        <v>7060</v>
      </c>
      <c r="B1931" t="s">
        <v>3856</v>
      </c>
      <c r="C1931">
        <v>0</v>
      </c>
    </row>
    <row r="1932" spans="1:3" x14ac:dyDescent="0.25">
      <c r="A1932">
        <v>7061</v>
      </c>
      <c r="B1932" t="s">
        <v>3858</v>
      </c>
      <c r="C1932">
        <v>0</v>
      </c>
    </row>
    <row r="1933" spans="1:3" x14ac:dyDescent="0.25">
      <c r="A1933">
        <v>7062</v>
      </c>
      <c r="B1933" t="s">
        <v>3860</v>
      </c>
      <c r="C1933">
        <v>0</v>
      </c>
    </row>
    <row r="1934" spans="1:3" x14ac:dyDescent="0.25">
      <c r="A1934">
        <v>7063</v>
      </c>
      <c r="B1934" t="s">
        <v>3862</v>
      </c>
      <c r="C1934">
        <v>0</v>
      </c>
    </row>
    <row r="1935" spans="1:3" x14ac:dyDescent="0.25">
      <c r="A1935">
        <v>7070</v>
      </c>
      <c r="B1935" t="s">
        <v>3864</v>
      </c>
      <c r="C1935">
        <v>0</v>
      </c>
    </row>
    <row r="1936" spans="1:3" x14ac:dyDescent="0.25">
      <c r="A1936">
        <v>7071</v>
      </c>
      <c r="B1936" t="s">
        <v>3866</v>
      </c>
      <c r="C1936">
        <v>0</v>
      </c>
    </row>
    <row r="1937" spans="1:3" x14ac:dyDescent="0.25">
      <c r="A1937">
        <v>7072</v>
      </c>
      <c r="B1937" t="s">
        <v>3868</v>
      </c>
      <c r="C1937">
        <v>0</v>
      </c>
    </row>
    <row r="1938" spans="1:3" x14ac:dyDescent="0.25">
      <c r="A1938">
        <v>7073</v>
      </c>
      <c r="B1938" t="s">
        <v>3870</v>
      </c>
      <c r="C1938">
        <v>0</v>
      </c>
    </row>
    <row r="1939" spans="1:3" x14ac:dyDescent="0.25">
      <c r="A1939">
        <v>7074</v>
      </c>
      <c r="B1939" t="s">
        <v>3872</v>
      </c>
      <c r="C1939">
        <v>0</v>
      </c>
    </row>
    <row r="1940" spans="1:3" x14ac:dyDescent="0.25">
      <c r="A1940">
        <v>7075</v>
      </c>
      <c r="B1940" t="s">
        <v>3874</v>
      </c>
      <c r="C1940">
        <v>0</v>
      </c>
    </row>
    <row r="1941" spans="1:3" x14ac:dyDescent="0.25">
      <c r="A1941">
        <v>7076</v>
      </c>
      <c r="B1941" t="s">
        <v>3876</v>
      </c>
      <c r="C1941">
        <v>0</v>
      </c>
    </row>
    <row r="1942" spans="1:3" x14ac:dyDescent="0.25">
      <c r="A1942">
        <v>7077</v>
      </c>
      <c r="B1942" t="s">
        <v>3878</v>
      </c>
      <c r="C1942">
        <v>0</v>
      </c>
    </row>
    <row r="1943" spans="1:3" x14ac:dyDescent="0.25">
      <c r="A1943">
        <v>7078</v>
      </c>
      <c r="B1943" t="s">
        <v>3880</v>
      </c>
      <c r="C1943">
        <v>0</v>
      </c>
    </row>
    <row r="1944" spans="1:3" x14ac:dyDescent="0.25">
      <c r="A1944">
        <v>7079</v>
      </c>
      <c r="B1944" t="s">
        <v>3882</v>
      </c>
      <c r="C1944">
        <v>0</v>
      </c>
    </row>
    <row r="1945" spans="1:3" x14ac:dyDescent="0.25">
      <c r="A1945">
        <v>7080</v>
      </c>
      <c r="B1945" t="s">
        <v>3884</v>
      </c>
      <c r="C1945">
        <v>0</v>
      </c>
    </row>
    <row r="1946" spans="1:3" x14ac:dyDescent="0.25">
      <c r="A1946">
        <v>7081</v>
      </c>
      <c r="B1946" t="s">
        <v>3886</v>
      </c>
      <c r="C1946">
        <v>0</v>
      </c>
    </row>
    <row r="1947" spans="1:3" x14ac:dyDescent="0.25">
      <c r="A1947">
        <v>7082</v>
      </c>
      <c r="B1947" t="s">
        <v>3888</v>
      </c>
      <c r="C1947">
        <v>0</v>
      </c>
    </row>
    <row r="1948" spans="1:3" x14ac:dyDescent="0.25">
      <c r="A1948">
        <v>7083</v>
      </c>
      <c r="B1948" t="s">
        <v>3890</v>
      </c>
      <c r="C1948">
        <v>0</v>
      </c>
    </row>
    <row r="1949" spans="1:3" x14ac:dyDescent="0.25">
      <c r="A1949">
        <v>7084</v>
      </c>
      <c r="B1949" t="s">
        <v>3892</v>
      </c>
      <c r="C1949">
        <v>0</v>
      </c>
    </row>
    <row r="1950" spans="1:3" x14ac:dyDescent="0.25">
      <c r="A1950">
        <v>7100</v>
      </c>
      <c r="B1950" t="s">
        <v>3894</v>
      </c>
      <c r="C1950">
        <v>0</v>
      </c>
    </row>
    <row r="1951" spans="1:3" x14ac:dyDescent="0.25">
      <c r="A1951">
        <v>7102</v>
      </c>
      <c r="B1951" t="s">
        <v>3896</v>
      </c>
      <c r="C1951">
        <v>0</v>
      </c>
    </row>
    <row r="1952" spans="1:3" x14ac:dyDescent="0.25">
      <c r="A1952">
        <v>7103</v>
      </c>
      <c r="B1952" t="s">
        <v>3898</v>
      </c>
      <c r="C1952">
        <v>0</v>
      </c>
    </row>
    <row r="1953" spans="1:3" x14ac:dyDescent="0.25">
      <c r="A1953">
        <v>7104</v>
      </c>
      <c r="B1953" t="s">
        <v>3900</v>
      </c>
      <c r="C1953">
        <v>0</v>
      </c>
    </row>
    <row r="1954" spans="1:3" x14ac:dyDescent="0.25">
      <c r="A1954">
        <v>7105</v>
      </c>
      <c r="B1954" t="s">
        <v>3902</v>
      </c>
      <c r="C1954">
        <v>0</v>
      </c>
    </row>
    <row r="1955" spans="1:3" x14ac:dyDescent="0.25">
      <c r="A1955">
        <v>7106</v>
      </c>
      <c r="B1955" t="s">
        <v>3904</v>
      </c>
      <c r="C1955">
        <v>0</v>
      </c>
    </row>
    <row r="1956" spans="1:3" x14ac:dyDescent="0.25">
      <c r="A1956">
        <v>7110</v>
      </c>
      <c r="B1956" t="s">
        <v>3906</v>
      </c>
      <c r="C1956">
        <v>0</v>
      </c>
    </row>
    <row r="1957" spans="1:3" x14ac:dyDescent="0.25">
      <c r="A1957">
        <v>7111</v>
      </c>
      <c r="B1957" t="s">
        <v>3908</v>
      </c>
      <c r="C1957">
        <v>0</v>
      </c>
    </row>
    <row r="1958" spans="1:3" x14ac:dyDescent="0.25">
      <c r="A1958">
        <v>7112</v>
      </c>
      <c r="B1958" t="s">
        <v>3910</v>
      </c>
      <c r="C1958">
        <v>0</v>
      </c>
    </row>
    <row r="1959" spans="1:3" x14ac:dyDescent="0.25">
      <c r="A1959">
        <v>7115</v>
      </c>
      <c r="B1959" t="s">
        <v>3912</v>
      </c>
      <c r="C1959">
        <v>0</v>
      </c>
    </row>
    <row r="1960" spans="1:3" x14ac:dyDescent="0.25">
      <c r="A1960">
        <v>7116</v>
      </c>
      <c r="B1960" t="s">
        <v>3914</v>
      </c>
      <c r="C1960">
        <v>0</v>
      </c>
    </row>
    <row r="1961" spans="1:3" x14ac:dyDescent="0.25">
      <c r="A1961">
        <v>7117</v>
      </c>
      <c r="B1961" t="s">
        <v>3916</v>
      </c>
      <c r="C1961">
        <v>0</v>
      </c>
    </row>
    <row r="1962" spans="1:3" x14ac:dyDescent="0.25">
      <c r="A1962">
        <v>7118</v>
      </c>
      <c r="B1962" t="s">
        <v>3918</v>
      </c>
      <c r="C1962">
        <v>0</v>
      </c>
    </row>
    <row r="1963" spans="1:3" x14ac:dyDescent="0.25">
      <c r="A1963">
        <v>7120</v>
      </c>
      <c r="B1963" t="s">
        <v>3920</v>
      </c>
      <c r="C1963">
        <v>0</v>
      </c>
    </row>
    <row r="1964" spans="1:3" x14ac:dyDescent="0.25">
      <c r="A1964">
        <v>7121</v>
      </c>
      <c r="B1964" t="s">
        <v>3922</v>
      </c>
      <c r="C1964">
        <v>0</v>
      </c>
    </row>
    <row r="1965" spans="1:3" x14ac:dyDescent="0.25">
      <c r="A1965">
        <v>7122</v>
      </c>
      <c r="B1965" t="s">
        <v>3924</v>
      </c>
      <c r="C1965">
        <v>0</v>
      </c>
    </row>
    <row r="1966" spans="1:3" x14ac:dyDescent="0.25">
      <c r="A1966">
        <v>7123</v>
      </c>
      <c r="B1966" t="s">
        <v>3926</v>
      </c>
      <c r="C1966">
        <v>0</v>
      </c>
    </row>
    <row r="1967" spans="1:3" x14ac:dyDescent="0.25">
      <c r="A1967">
        <v>7124</v>
      </c>
      <c r="B1967" t="s">
        <v>3928</v>
      </c>
      <c r="C1967">
        <v>0</v>
      </c>
    </row>
    <row r="1968" spans="1:3" x14ac:dyDescent="0.25">
      <c r="A1968">
        <v>7125</v>
      </c>
      <c r="B1968" t="s">
        <v>3930</v>
      </c>
      <c r="C1968">
        <v>0</v>
      </c>
    </row>
    <row r="1969" spans="1:3" x14ac:dyDescent="0.25">
      <c r="A1969">
        <v>7127</v>
      </c>
      <c r="B1969" t="s">
        <v>3932</v>
      </c>
      <c r="C1969">
        <v>0</v>
      </c>
    </row>
    <row r="1970" spans="1:3" x14ac:dyDescent="0.25">
      <c r="A1970">
        <v>7128</v>
      </c>
      <c r="B1970" t="s">
        <v>3934</v>
      </c>
      <c r="C1970">
        <v>0</v>
      </c>
    </row>
    <row r="1971" spans="1:3" x14ac:dyDescent="0.25">
      <c r="A1971">
        <v>7129</v>
      </c>
      <c r="B1971" t="s">
        <v>3936</v>
      </c>
      <c r="C1971">
        <v>0</v>
      </c>
    </row>
    <row r="1972" spans="1:3" x14ac:dyDescent="0.25">
      <c r="A1972">
        <v>7130</v>
      </c>
      <c r="B1972" t="s">
        <v>3938</v>
      </c>
      <c r="C1972">
        <v>0</v>
      </c>
    </row>
    <row r="1973" spans="1:3" x14ac:dyDescent="0.25">
      <c r="A1973">
        <v>7131</v>
      </c>
      <c r="B1973" t="s">
        <v>3940</v>
      </c>
      <c r="C1973">
        <v>0</v>
      </c>
    </row>
    <row r="1974" spans="1:3" x14ac:dyDescent="0.25">
      <c r="A1974">
        <v>7132</v>
      </c>
      <c r="B1974" t="s">
        <v>3942</v>
      </c>
      <c r="C1974">
        <v>0</v>
      </c>
    </row>
    <row r="1975" spans="1:3" x14ac:dyDescent="0.25">
      <c r="A1975">
        <v>7133</v>
      </c>
      <c r="B1975" t="s">
        <v>3944</v>
      </c>
      <c r="C1975">
        <v>0</v>
      </c>
    </row>
    <row r="1976" spans="1:3" x14ac:dyDescent="0.25">
      <c r="A1976">
        <v>7134</v>
      </c>
      <c r="B1976" t="s">
        <v>3946</v>
      </c>
      <c r="C1976">
        <v>0</v>
      </c>
    </row>
    <row r="1977" spans="1:3" x14ac:dyDescent="0.25">
      <c r="A1977">
        <v>7135</v>
      </c>
      <c r="B1977" t="s">
        <v>3948</v>
      </c>
      <c r="C1977">
        <v>0</v>
      </c>
    </row>
    <row r="1978" spans="1:3" x14ac:dyDescent="0.25">
      <c r="A1978">
        <v>7136</v>
      </c>
      <c r="B1978" t="s">
        <v>3950</v>
      </c>
      <c r="C1978">
        <v>0</v>
      </c>
    </row>
    <row r="1979" spans="1:3" x14ac:dyDescent="0.25">
      <c r="A1979">
        <v>7137</v>
      </c>
      <c r="B1979" t="s">
        <v>3952</v>
      </c>
      <c r="C1979">
        <v>0</v>
      </c>
    </row>
    <row r="1980" spans="1:3" x14ac:dyDescent="0.25">
      <c r="A1980">
        <v>7138</v>
      </c>
      <c r="B1980" t="s">
        <v>3954</v>
      </c>
      <c r="C1980">
        <v>0</v>
      </c>
    </row>
    <row r="1981" spans="1:3" x14ac:dyDescent="0.25">
      <c r="A1981">
        <v>7139</v>
      </c>
      <c r="B1981" t="s">
        <v>3956</v>
      </c>
      <c r="C1981">
        <v>0</v>
      </c>
    </row>
    <row r="1982" spans="1:3" x14ac:dyDescent="0.25">
      <c r="A1982">
        <v>7140</v>
      </c>
      <c r="B1982" t="s">
        <v>3958</v>
      </c>
      <c r="C1982">
        <v>0</v>
      </c>
    </row>
    <row r="1983" spans="1:3" x14ac:dyDescent="0.25">
      <c r="A1983">
        <v>7141</v>
      </c>
      <c r="B1983" t="s">
        <v>3960</v>
      </c>
      <c r="C1983">
        <v>0</v>
      </c>
    </row>
    <row r="1984" spans="1:3" x14ac:dyDescent="0.25">
      <c r="A1984">
        <v>7142</v>
      </c>
      <c r="B1984" t="s">
        <v>3962</v>
      </c>
      <c r="C1984">
        <v>0</v>
      </c>
    </row>
    <row r="1985" spans="1:3" x14ac:dyDescent="0.25">
      <c r="A1985">
        <v>7143</v>
      </c>
      <c r="B1985" t="s">
        <v>3964</v>
      </c>
      <c r="C1985">
        <v>0</v>
      </c>
    </row>
    <row r="1986" spans="1:3" x14ac:dyDescent="0.25">
      <c r="A1986">
        <v>7144</v>
      </c>
      <c r="B1986" t="s">
        <v>3966</v>
      </c>
      <c r="C1986">
        <v>0</v>
      </c>
    </row>
    <row r="1987" spans="1:3" x14ac:dyDescent="0.25">
      <c r="A1987">
        <v>7145</v>
      </c>
      <c r="B1987" t="s">
        <v>3968</v>
      </c>
      <c r="C1987">
        <v>0</v>
      </c>
    </row>
    <row r="1988" spans="1:3" x14ac:dyDescent="0.25">
      <c r="A1988">
        <v>7146</v>
      </c>
      <c r="B1988" t="s">
        <v>3970</v>
      </c>
      <c r="C1988">
        <v>0</v>
      </c>
    </row>
    <row r="1989" spans="1:3" x14ac:dyDescent="0.25">
      <c r="A1989">
        <v>7147</v>
      </c>
      <c r="B1989" t="s">
        <v>3972</v>
      </c>
      <c r="C1989">
        <v>0</v>
      </c>
    </row>
    <row r="1990" spans="1:3" x14ac:dyDescent="0.25">
      <c r="A1990">
        <v>7148</v>
      </c>
      <c r="B1990" t="s">
        <v>3974</v>
      </c>
      <c r="C1990">
        <v>0</v>
      </c>
    </row>
    <row r="1991" spans="1:3" x14ac:dyDescent="0.25">
      <c r="A1991">
        <v>7149</v>
      </c>
      <c r="B1991" t="s">
        <v>3976</v>
      </c>
      <c r="C1991">
        <v>0</v>
      </c>
    </row>
    <row r="1992" spans="1:3" x14ac:dyDescent="0.25">
      <c r="A1992">
        <v>7150</v>
      </c>
      <c r="B1992" t="s">
        <v>3978</v>
      </c>
      <c r="C1992">
        <v>0</v>
      </c>
    </row>
    <row r="1993" spans="1:3" x14ac:dyDescent="0.25">
      <c r="A1993">
        <v>7151</v>
      </c>
      <c r="B1993" t="s">
        <v>3980</v>
      </c>
      <c r="C1993">
        <v>0</v>
      </c>
    </row>
    <row r="1994" spans="1:3" x14ac:dyDescent="0.25">
      <c r="A1994">
        <v>7152</v>
      </c>
      <c r="B1994" t="s">
        <v>3982</v>
      </c>
      <c r="C1994">
        <v>0</v>
      </c>
    </row>
    <row r="1995" spans="1:3" x14ac:dyDescent="0.25">
      <c r="A1995">
        <v>7153</v>
      </c>
      <c r="B1995" t="s">
        <v>3984</v>
      </c>
      <c r="C1995">
        <v>0</v>
      </c>
    </row>
    <row r="1996" spans="1:3" x14ac:dyDescent="0.25">
      <c r="A1996">
        <v>7154</v>
      </c>
      <c r="B1996" t="s">
        <v>3986</v>
      </c>
      <c r="C1996">
        <v>0</v>
      </c>
    </row>
    <row r="1997" spans="1:3" x14ac:dyDescent="0.25">
      <c r="A1997">
        <v>7155</v>
      </c>
      <c r="B1997" t="s">
        <v>3988</v>
      </c>
      <c r="C1997">
        <v>0</v>
      </c>
    </row>
    <row r="1998" spans="1:3" x14ac:dyDescent="0.25">
      <c r="A1998">
        <v>7156</v>
      </c>
      <c r="B1998" t="s">
        <v>3990</v>
      </c>
      <c r="C1998">
        <v>0</v>
      </c>
    </row>
    <row r="1999" spans="1:3" x14ac:dyDescent="0.25">
      <c r="A1999">
        <v>7157</v>
      </c>
      <c r="B1999" t="s">
        <v>3992</v>
      </c>
      <c r="C1999">
        <v>0</v>
      </c>
    </row>
    <row r="2000" spans="1:3" x14ac:dyDescent="0.25">
      <c r="A2000">
        <v>7158</v>
      </c>
      <c r="B2000" t="s">
        <v>3994</v>
      </c>
      <c r="C2000">
        <v>0</v>
      </c>
    </row>
    <row r="2001" spans="1:3" x14ac:dyDescent="0.25">
      <c r="A2001">
        <v>7159</v>
      </c>
      <c r="B2001" t="s">
        <v>3996</v>
      </c>
      <c r="C2001">
        <v>0</v>
      </c>
    </row>
    <row r="2002" spans="1:3" x14ac:dyDescent="0.25">
      <c r="A2002">
        <v>7160</v>
      </c>
      <c r="B2002" t="s">
        <v>3998</v>
      </c>
      <c r="C2002">
        <v>0</v>
      </c>
    </row>
    <row r="2003" spans="1:3" x14ac:dyDescent="0.25">
      <c r="A2003">
        <v>7161</v>
      </c>
      <c r="B2003" t="s">
        <v>4000</v>
      </c>
      <c r="C2003">
        <v>0</v>
      </c>
    </row>
    <row r="2004" spans="1:3" x14ac:dyDescent="0.25">
      <c r="A2004">
        <v>7162</v>
      </c>
      <c r="B2004" t="s">
        <v>4002</v>
      </c>
      <c r="C2004">
        <v>0</v>
      </c>
    </row>
    <row r="2005" spans="1:3" x14ac:dyDescent="0.25">
      <c r="A2005">
        <v>7163</v>
      </c>
      <c r="B2005" t="s">
        <v>4004</v>
      </c>
      <c r="C2005">
        <v>0</v>
      </c>
    </row>
    <row r="2006" spans="1:3" x14ac:dyDescent="0.25">
      <c r="A2006">
        <v>7164</v>
      </c>
      <c r="B2006" t="s">
        <v>4006</v>
      </c>
      <c r="C2006">
        <v>0</v>
      </c>
    </row>
    <row r="2007" spans="1:3" x14ac:dyDescent="0.25">
      <c r="A2007">
        <v>7165</v>
      </c>
      <c r="B2007" t="s">
        <v>4008</v>
      </c>
      <c r="C2007">
        <v>0</v>
      </c>
    </row>
    <row r="2008" spans="1:3" x14ac:dyDescent="0.25">
      <c r="A2008">
        <v>7166</v>
      </c>
      <c r="B2008" t="s">
        <v>4010</v>
      </c>
      <c r="C2008">
        <v>0</v>
      </c>
    </row>
    <row r="2009" spans="1:3" x14ac:dyDescent="0.25">
      <c r="A2009">
        <v>7167</v>
      </c>
      <c r="B2009" t="s">
        <v>4012</v>
      </c>
      <c r="C2009">
        <v>0</v>
      </c>
    </row>
    <row r="2010" spans="1:3" x14ac:dyDescent="0.25">
      <c r="A2010">
        <v>7168</v>
      </c>
      <c r="B2010" t="s">
        <v>4014</v>
      </c>
      <c r="C2010">
        <v>0</v>
      </c>
    </row>
    <row r="2011" spans="1:3" x14ac:dyDescent="0.25">
      <c r="A2011">
        <v>7169</v>
      </c>
      <c r="B2011" t="s">
        <v>4016</v>
      </c>
      <c r="C2011">
        <v>0</v>
      </c>
    </row>
    <row r="2012" spans="1:3" x14ac:dyDescent="0.25">
      <c r="A2012">
        <v>7170</v>
      </c>
      <c r="B2012" t="s">
        <v>4018</v>
      </c>
      <c r="C2012">
        <v>0</v>
      </c>
    </row>
    <row r="2013" spans="1:3" x14ac:dyDescent="0.25">
      <c r="A2013">
        <v>7171</v>
      </c>
      <c r="B2013" t="s">
        <v>4020</v>
      </c>
      <c r="C2013">
        <v>0</v>
      </c>
    </row>
    <row r="2014" spans="1:3" x14ac:dyDescent="0.25">
      <c r="A2014">
        <v>7172</v>
      </c>
      <c r="B2014" t="s">
        <v>4022</v>
      </c>
      <c r="C2014">
        <v>0</v>
      </c>
    </row>
    <row r="2015" spans="1:3" x14ac:dyDescent="0.25">
      <c r="A2015">
        <v>7173</v>
      </c>
      <c r="B2015" t="s">
        <v>4024</v>
      </c>
      <c r="C2015">
        <v>0</v>
      </c>
    </row>
    <row r="2016" spans="1:3" x14ac:dyDescent="0.25">
      <c r="A2016">
        <v>7174</v>
      </c>
      <c r="B2016" t="s">
        <v>4026</v>
      </c>
      <c r="C2016">
        <v>0</v>
      </c>
    </row>
    <row r="2017" spans="1:3" x14ac:dyDescent="0.25">
      <c r="A2017">
        <v>7175</v>
      </c>
      <c r="B2017" t="s">
        <v>4028</v>
      </c>
      <c r="C2017">
        <v>0</v>
      </c>
    </row>
    <row r="2018" spans="1:3" x14ac:dyDescent="0.25">
      <c r="A2018">
        <v>7176</v>
      </c>
      <c r="B2018" t="s">
        <v>4030</v>
      </c>
      <c r="C2018">
        <v>0</v>
      </c>
    </row>
    <row r="2019" spans="1:3" x14ac:dyDescent="0.25">
      <c r="A2019">
        <v>7177</v>
      </c>
      <c r="B2019" t="s">
        <v>4032</v>
      </c>
      <c r="C2019">
        <v>0</v>
      </c>
    </row>
    <row r="2020" spans="1:3" x14ac:dyDescent="0.25">
      <c r="A2020">
        <v>7178</v>
      </c>
      <c r="B2020" t="s">
        <v>4034</v>
      </c>
      <c r="C2020">
        <v>0</v>
      </c>
    </row>
    <row r="2021" spans="1:3" x14ac:dyDescent="0.25">
      <c r="A2021">
        <v>7179</v>
      </c>
      <c r="B2021" t="s">
        <v>4036</v>
      </c>
      <c r="C2021">
        <v>0</v>
      </c>
    </row>
    <row r="2022" spans="1:3" x14ac:dyDescent="0.25">
      <c r="A2022">
        <v>7180</v>
      </c>
      <c r="B2022" t="s">
        <v>4038</v>
      </c>
      <c r="C2022">
        <v>0</v>
      </c>
    </row>
    <row r="2023" spans="1:3" x14ac:dyDescent="0.25">
      <c r="A2023">
        <v>7181</v>
      </c>
      <c r="B2023" t="s">
        <v>4040</v>
      </c>
      <c r="C2023">
        <v>0</v>
      </c>
    </row>
    <row r="2024" spans="1:3" x14ac:dyDescent="0.25">
      <c r="A2024">
        <v>7182</v>
      </c>
      <c r="B2024" t="s">
        <v>4042</v>
      </c>
      <c r="C2024">
        <v>0</v>
      </c>
    </row>
    <row r="2025" spans="1:3" x14ac:dyDescent="0.25">
      <c r="A2025">
        <v>7183</v>
      </c>
      <c r="B2025" t="s">
        <v>4044</v>
      </c>
      <c r="C2025">
        <v>0</v>
      </c>
    </row>
    <row r="2026" spans="1:3" x14ac:dyDescent="0.25">
      <c r="A2026">
        <v>7184</v>
      </c>
      <c r="B2026" t="s">
        <v>4046</v>
      </c>
      <c r="C2026">
        <v>0</v>
      </c>
    </row>
    <row r="2027" spans="1:3" x14ac:dyDescent="0.25">
      <c r="A2027">
        <v>7185</v>
      </c>
      <c r="B2027" t="s">
        <v>4048</v>
      </c>
      <c r="C2027">
        <v>0</v>
      </c>
    </row>
    <row r="2028" spans="1:3" x14ac:dyDescent="0.25">
      <c r="A2028">
        <v>7186</v>
      </c>
      <c r="B2028" t="s">
        <v>4050</v>
      </c>
      <c r="C2028">
        <v>0</v>
      </c>
    </row>
    <row r="2029" spans="1:3" x14ac:dyDescent="0.25">
      <c r="A2029">
        <v>7187</v>
      </c>
      <c r="B2029" t="s">
        <v>4052</v>
      </c>
      <c r="C2029">
        <v>0</v>
      </c>
    </row>
    <row r="2030" spans="1:3" x14ac:dyDescent="0.25">
      <c r="A2030">
        <v>7188</v>
      </c>
      <c r="B2030" t="s">
        <v>4054</v>
      </c>
      <c r="C2030">
        <v>0</v>
      </c>
    </row>
    <row r="2031" spans="1:3" x14ac:dyDescent="0.25">
      <c r="A2031">
        <v>7189</v>
      </c>
      <c r="B2031" t="s">
        <v>4056</v>
      </c>
      <c r="C2031">
        <v>0</v>
      </c>
    </row>
    <row r="2032" spans="1:3" x14ac:dyDescent="0.25">
      <c r="A2032">
        <v>7190</v>
      </c>
      <c r="B2032" t="s">
        <v>4058</v>
      </c>
      <c r="C2032">
        <v>0</v>
      </c>
    </row>
    <row r="2033" spans="1:3" x14ac:dyDescent="0.25">
      <c r="A2033">
        <v>7191</v>
      </c>
      <c r="B2033" t="s">
        <v>4060</v>
      </c>
      <c r="C2033">
        <v>0</v>
      </c>
    </row>
    <row r="2034" spans="1:3" x14ac:dyDescent="0.25">
      <c r="A2034">
        <v>7192</v>
      </c>
      <c r="B2034" t="s">
        <v>4062</v>
      </c>
      <c r="C2034">
        <v>0</v>
      </c>
    </row>
    <row r="2035" spans="1:3" x14ac:dyDescent="0.25">
      <c r="A2035">
        <v>7193</v>
      </c>
      <c r="B2035" t="s">
        <v>4064</v>
      </c>
      <c r="C2035">
        <v>0</v>
      </c>
    </row>
    <row r="2036" spans="1:3" x14ac:dyDescent="0.25">
      <c r="A2036">
        <v>7194</v>
      </c>
      <c r="B2036" t="s">
        <v>4066</v>
      </c>
      <c r="C2036">
        <v>0</v>
      </c>
    </row>
    <row r="2037" spans="1:3" x14ac:dyDescent="0.25">
      <c r="A2037">
        <v>7195</v>
      </c>
      <c r="B2037" t="s">
        <v>4068</v>
      </c>
      <c r="C2037">
        <v>0</v>
      </c>
    </row>
    <row r="2038" spans="1:3" x14ac:dyDescent="0.25">
      <c r="A2038">
        <v>7196</v>
      </c>
      <c r="B2038" t="s">
        <v>4070</v>
      </c>
      <c r="C2038">
        <v>0</v>
      </c>
    </row>
    <row r="2039" spans="1:3" x14ac:dyDescent="0.25">
      <c r="A2039">
        <v>8000</v>
      </c>
      <c r="B2039" t="s">
        <v>4072</v>
      </c>
      <c r="C2039">
        <v>0</v>
      </c>
    </row>
    <row r="2040" spans="1:3" x14ac:dyDescent="0.25">
      <c r="A2040">
        <v>8001</v>
      </c>
      <c r="B2040" t="s">
        <v>4074</v>
      </c>
      <c r="C2040">
        <v>0</v>
      </c>
    </row>
    <row r="2041" spans="1:3" x14ac:dyDescent="0.25">
      <c r="A2041">
        <v>8002</v>
      </c>
      <c r="B2041" t="s">
        <v>4076</v>
      </c>
      <c r="C2041">
        <v>0</v>
      </c>
    </row>
    <row r="2042" spans="1:3" x14ac:dyDescent="0.25">
      <c r="A2042">
        <v>8003</v>
      </c>
      <c r="B2042" t="s">
        <v>4078</v>
      </c>
      <c r="C2042">
        <v>0</v>
      </c>
    </row>
    <row r="2043" spans="1:3" x14ac:dyDescent="0.25">
      <c r="A2043">
        <v>8004</v>
      </c>
      <c r="B2043" t="s">
        <v>4080</v>
      </c>
      <c r="C2043">
        <v>0</v>
      </c>
    </row>
    <row r="2044" spans="1:3" x14ac:dyDescent="0.25">
      <c r="A2044">
        <v>8005</v>
      </c>
      <c r="B2044" t="s">
        <v>4082</v>
      </c>
      <c r="C2044">
        <v>0</v>
      </c>
    </row>
    <row r="2045" spans="1:3" x14ac:dyDescent="0.25">
      <c r="A2045">
        <v>8009</v>
      </c>
      <c r="B2045" t="s">
        <v>4084</v>
      </c>
      <c r="C2045">
        <v>0</v>
      </c>
    </row>
    <row r="2046" spans="1:3" x14ac:dyDescent="0.25">
      <c r="A2046">
        <v>8010</v>
      </c>
      <c r="B2046" t="s">
        <v>4086</v>
      </c>
      <c r="C2046">
        <v>0</v>
      </c>
    </row>
    <row r="2047" spans="1:3" x14ac:dyDescent="0.25">
      <c r="A2047">
        <v>8011</v>
      </c>
      <c r="B2047" t="s">
        <v>4088</v>
      </c>
      <c r="C2047">
        <v>0</v>
      </c>
    </row>
    <row r="2048" spans="1:3" x14ac:dyDescent="0.25">
      <c r="A2048">
        <v>8012</v>
      </c>
      <c r="B2048" t="s">
        <v>4090</v>
      </c>
      <c r="C2048">
        <v>0</v>
      </c>
    </row>
    <row r="2049" spans="1:3" x14ac:dyDescent="0.25">
      <c r="A2049">
        <v>8014</v>
      </c>
      <c r="B2049" t="s">
        <v>4092</v>
      </c>
      <c r="C2049">
        <v>0</v>
      </c>
    </row>
    <row r="2050" spans="1:3" x14ac:dyDescent="0.25">
      <c r="A2050">
        <v>8015</v>
      </c>
      <c r="B2050" t="s">
        <v>4094</v>
      </c>
      <c r="C2050">
        <v>0</v>
      </c>
    </row>
    <row r="2051" spans="1:3" x14ac:dyDescent="0.25">
      <c r="A2051">
        <v>8020</v>
      </c>
      <c r="B2051" t="s">
        <v>4096</v>
      </c>
      <c r="C2051">
        <v>0</v>
      </c>
    </row>
    <row r="2052" spans="1:3" x14ac:dyDescent="0.25">
      <c r="A2052">
        <v>8021</v>
      </c>
      <c r="B2052" t="s">
        <v>4098</v>
      </c>
      <c r="C2052">
        <v>0</v>
      </c>
    </row>
    <row r="2053" spans="1:3" x14ac:dyDescent="0.25">
      <c r="A2053">
        <v>8022</v>
      </c>
      <c r="B2053" t="s">
        <v>4100</v>
      </c>
      <c r="C2053">
        <v>0</v>
      </c>
    </row>
    <row r="2054" spans="1:3" x14ac:dyDescent="0.25">
      <c r="A2054">
        <v>8023</v>
      </c>
      <c r="B2054" t="s">
        <v>4102</v>
      </c>
      <c r="C2054">
        <v>0</v>
      </c>
    </row>
    <row r="2055" spans="1:3" x14ac:dyDescent="0.25">
      <c r="A2055">
        <v>8024</v>
      </c>
      <c r="B2055" t="s">
        <v>4104</v>
      </c>
      <c r="C2055">
        <v>0</v>
      </c>
    </row>
    <row r="2056" spans="1:3" x14ac:dyDescent="0.25">
      <c r="A2056">
        <v>8025</v>
      </c>
      <c r="B2056" t="s">
        <v>4106</v>
      </c>
      <c r="C2056">
        <v>0</v>
      </c>
    </row>
    <row r="2057" spans="1:3" x14ac:dyDescent="0.25">
      <c r="A2057">
        <v>8026</v>
      </c>
      <c r="B2057" t="s">
        <v>4108</v>
      </c>
      <c r="C2057">
        <v>0</v>
      </c>
    </row>
    <row r="2058" spans="1:3" x14ac:dyDescent="0.25">
      <c r="A2058">
        <v>8028</v>
      </c>
      <c r="B2058" t="s">
        <v>4110</v>
      </c>
      <c r="C2058">
        <v>0</v>
      </c>
    </row>
    <row r="2059" spans="1:3" x14ac:dyDescent="0.25">
      <c r="A2059">
        <v>8029</v>
      </c>
      <c r="B2059" t="s">
        <v>4112</v>
      </c>
      <c r="C2059">
        <v>0</v>
      </c>
    </row>
    <row r="2060" spans="1:3" x14ac:dyDescent="0.25">
      <c r="A2060">
        <v>8030</v>
      </c>
      <c r="B2060" t="s">
        <v>4114</v>
      </c>
      <c r="C2060">
        <v>0</v>
      </c>
    </row>
    <row r="2061" spans="1:3" x14ac:dyDescent="0.25">
      <c r="A2061">
        <v>8031</v>
      </c>
      <c r="B2061" t="s">
        <v>4116</v>
      </c>
      <c r="C2061">
        <v>0</v>
      </c>
    </row>
    <row r="2062" spans="1:3" x14ac:dyDescent="0.25">
      <c r="A2062">
        <v>8039</v>
      </c>
      <c r="B2062" t="s">
        <v>4118</v>
      </c>
      <c r="C2062">
        <v>0</v>
      </c>
    </row>
    <row r="2063" spans="1:3" x14ac:dyDescent="0.25">
      <c r="A2063">
        <v>8040</v>
      </c>
      <c r="B2063" t="s">
        <v>4120</v>
      </c>
      <c r="C2063">
        <v>0</v>
      </c>
    </row>
    <row r="2064" spans="1:3" x14ac:dyDescent="0.25">
      <c r="A2064">
        <v>8041</v>
      </c>
      <c r="B2064" t="s">
        <v>4122</v>
      </c>
      <c r="C2064">
        <v>0</v>
      </c>
    </row>
    <row r="2065" spans="1:3" x14ac:dyDescent="0.25">
      <c r="A2065">
        <v>8042</v>
      </c>
      <c r="B2065" t="s">
        <v>4124</v>
      </c>
      <c r="C2065">
        <v>0</v>
      </c>
    </row>
    <row r="2066" spans="1:3" x14ac:dyDescent="0.25">
      <c r="A2066">
        <v>8043</v>
      </c>
      <c r="B2066" t="s">
        <v>4126</v>
      </c>
      <c r="C2066">
        <v>0</v>
      </c>
    </row>
    <row r="2067" spans="1:3" x14ac:dyDescent="0.25">
      <c r="A2067">
        <v>8044</v>
      </c>
      <c r="B2067" t="s">
        <v>4128</v>
      </c>
      <c r="C2067">
        <v>0</v>
      </c>
    </row>
    <row r="2068" spans="1:3" x14ac:dyDescent="0.25">
      <c r="A2068">
        <v>8049</v>
      </c>
      <c r="B2068" t="s">
        <v>4130</v>
      </c>
      <c r="C2068">
        <v>0</v>
      </c>
    </row>
    <row r="2069" spans="1:3" x14ac:dyDescent="0.25">
      <c r="A2069">
        <v>8050</v>
      </c>
      <c r="B2069" t="s">
        <v>4132</v>
      </c>
      <c r="C2069">
        <v>0</v>
      </c>
    </row>
    <row r="2070" spans="1:3" x14ac:dyDescent="0.25">
      <c r="A2070">
        <v>8051</v>
      </c>
      <c r="B2070" t="s">
        <v>4134</v>
      </c>
      <c r="C2070">
        <v>0</v>
      </c>
    </row>
    <row r="2071" spans="1:3" x14ac:dyDescent="0.25">
      <c r="A2071">
        <v>8077</v>
      </c>
      <c r="B2071" t="s">
        <v>4136</v>
      </c>
      <c r="C2071">
        <v>0</v>
      </c>
    </row>
    <row r="2072" spans="1:3" x14ac:dyDescent="0.25">
      <c r="A2072">
        <v>8078</v>
      </c>
      <c r="B2072" t="s">
        <v>4138</v>
      </c>
      <c r="C2072">
        <v>0</v>
      </c>
    </row>
    <row r="2073" spans="1:3" x14ac:dyDescent="0.25">
      <c r="A2073">
        <v>8079</v>
      </c>
      <c r="B2073" t="s">
        <v>4140</v>
      </c>
      <c r="C2073">
        <v>0</v>
      </c>
    </row>
    <row r="2074" spans="1:3" x14ac:dyDescent="0.25">
      <c r="A2074">
        <v>8080</v>
      </c>
      <c r="B2074" t="s">
        <v>4142</v>
      </c>
      <c r="C2074">
        <v>0</v>
      </c>
    </row>
    <row r="2075" spans="1:3" x14ac:dyDescent="0.25">
      <c r="A2075">
        <v>8081</v>
      </c>
      <c r="B2075" t="s">
        <v>4144</v>
      </c>
      <c r="C2075">
        <v>0</v>
      </c>
    </row>
    <row r="2076" spans="1:3" x14ac:dyDescent="0.25">
      <c r="A2076">
        <v>8082</v>
      </c>
      <c r="B2076" t="s">
        <v>4146</v>
      </c>
      <c r="C2076">
        <v>0</v>
      </c>
    </row>
    <row r="2077" spans="1:3" x14ac:dyDescent="0.25">
      <c r="A2077">
        <v>8083</v>
      </c>
      <c r="B2077" t="s">
        <v>4148</v>
      </c>
      <c r="C2077">
        <v>0</v>
      </c>
    </row>
    <row r="2078" spans="1:3" x14ac:dyDescent="0.25">
      <c r="A2078">
        <v>8084</v>
      </c>
      <c r="B2078" t="s">
        <v>4150</v>
      </c>
      <c r="C2078">
        <v>0</v>
      </c>
    </row>
    <row r="2079" spans="1:3" x14ac:dyDescent="0.25">
      <c r="A2079">
        <v>8085</v>
      </c>
      <c r="B2079" t="s">
        <v>4152</v>
      </c>
      <c r="C2079">
        <v>0</v>
      </c>
    </row>
    <row r="2080" spans="1:3" x14ac:dyDescent="0.25">
      <c r="A2080">
        <v>8086</v>
      </c>
      <c r="B2080" t="s">
        <v>4154</v>
      </c>
      <c r="C2080">
        <v>0</v>
      </c>
    </row>
    <row r="2081" spans="1:3" x14ac:dyDescent="0.25">
      <c r="A2081">
        <v>80861</v>
      </c>
      <c r="B2081" t="s">
        <v>4156</v>
      </c>
      <c r="C2081">
        <v>0</v>
      </c>
    </row>
    <row r="2082" spans="1:3" x14ac:dyDescent="0.25">
      <c r="A2082">
        <v>80862</v>
      </c>
      <c r="B2082" t="s">
        <v>4158</v>
      </c>
      <c r="C2082">
        <v>0</v>
      </c>
    </row>
    <row r="2083" spans="1:3" x14ac:dyDescent="0.25">
      <c r="A2083">
        <v>80863</v>
      </c>
      <c r="B2083" t="s">
        <v>4160</v>
      </c>
      <c r="C2083">
        <v>0</v>
      </c>
    </row>
    <row r="2084" spans="1:3" x14ac:dyDescent="0.25">
      <c r="A2084">
        <v>8087</v>
      </c>
      <c r="B2084" t="s">
        <v>4162</v>
      </c>
      <c r="C2084">
        <v>0</v>
      </c>
    </row>
    <row r="2085" spans="1:3" x14ac:dyDescent="0.25">
      <c r="A2085">
        <v>80871</v>
      </c>
      <c r="B2085" t="s">
        <v>4164</v>
      </c>
      <c r="C2085">
        <v>0</v>
      </c>
    </row>
    <row r="2086" spans="1:3" x14ac:dyDescent="0.25">
      <c r="A2086">
        <v>8088</v>
      </c>
      <c r="B2086" t="s">
        <v>4166</v>
      </c>
      <c r="C2086">
        <v>0</v>
      </c>
    </row>
    <row r="2087" spans="1:3" x14ac:dyDescent="0.25">
      <c r="A2087">
        <v>8089</v>
      </c>
      <c r="B2087" t="s">
        <v>4168</v>
      </c>
      <c r="C2087">
        <v>0</v>
      </c>
    </row>
    <row r="2088" spans="1:3" x14ac:dyDescent="0.25">
      <c r="A2088">
        <v>80896</v>
      </c>
      <c r="B2088" t="s">
        <v>4170</v>
      </c>
      <c r="C2088">
        <v>0</v>
      </c>
    </row>
    <row r="2089" spans="1:3" x14ac:dyDescent="0.25">
      <c r="A2089">
        <v>80897</v>
      </c>
      <c r="B2089" t="s">
        <v>4172</v>
      </c>
      <c r="C2089">
        <v>0</v>
      </c>
    </row>
    <row r="2090" spans="1:3" x14ac:dyDescent="0.25">
      <c r="A2090">
        <v>8100</v>
      </c>
      <c r="B2090" t="s">
        <v>4174</v>
      </c>
      <c r="C2090">
        <v>0</v>
      </c>
    </row>
    <row r="2091" spans="1:3" x14ac:dyDescent="0.25">
      <c r="A2091">
        <v>8101</v>
      </c>
      <c r="B2091" t="s">
        <v>4176</v>
      </c>
      <c r="C2091">
        <v>0</v>
      </c>
    </row>
    <row r="2092" spans="1:3" x14ac:dyDescent="0.25">
      <c r="A2092">
        <v>8102</v>
      </c>
      <c r="B2092" t="s">
        <v>4178</v>
      </c>
      <c r="C2092">
        <v>0</v>
      </c>
    </row>
    <row r="2093" spans="1:3" x14ac:dyDescent="0.25">
      <c r="A2093">
        <v>8103</v>
      </c>
      <c r="B2093" t="s">
        <v>4180</v>
      </c>
      <c r="C2093">
        <v>0</v>
      </c>
    </row>
    <row r="2094" spans="1:3" x14ac:dyDescent="0.25">
      <c r="A2094">
        <v>8104</v>
      </c>
      <c r="B2094" t="s">
        <v>4182</v>
      </c>
      <c r="C2094">
        <v>0</v>
      </c>
    </row>
    <row r="2095" spans="1:3" x14ac:dyDescent="0.25">
      <c r="A2095">
        <v>8105</v>
      </c>
      <c r="B2095" t="s">
        <v>4184</v>
      </c>
      <c r="C2095">
        <v>0</v>
      </c>
    </row>
    <row r="2096" spans="1:3" x14ac:dyDescent="0.25">
      <c r="A2096">
        <v>8107</v>
      </c>
      <c r="B2096" t="s">
        <v>4186</v>
      </c>
      <c r="C2096">
        <v>0</v>
      </c>
    </row>
    <row r="2097" spans="1:3" x14ac:dyDescent="0.25">
      <c r="A2097">
        <v>8108</v>
      </c>
      <c r="B2097" t="s">
        <v>4188</v>
      </c>
      <c r="C2097">
        <v>0</v>
      </c>
    </row>
    <row r="2098" spans="1:3" x14ac:dyDescent="0.25">
      <c r="A2098">
        <v>8109</v>
      </c>
      <c r="B2098" t="s">
        <v>4190</v>
      </c>
      <c r="C2098">
        <v>0</v>
      </c>
    </row>
    <row r="2099" spans="1:3" x14ac:dyDescent="0.25">
      <c r="A2099">
        <v>8110</v>
      </c>
      <c r="B2099" t="s">
        <v>4192</v>
      </c>
      <c r="C2099">
        <v>0</v>
      </c>
    </row>
    <row r="2100" spans="1:3" x14ac:dyDescent="0.25">
      <c r="A2100">
        <v>8152</v>
      </c>
      <c r="B2100" t="s">
        <v>4194</v>
      </c>
      <c r="C2100">
        <v>0</v>
      </c>
    </row>
    <row r="2101" spans="1:3" x14ac:dyDescent="0.25">
      <c r="A2101">
        <v>90002</v>
      </c>
      <c r="B2101" t="s">
        <v>4196</v>
      </c>
      <c r="C2101">
        <v>0</v>
      </c>
    </row>
    <row r="2102" spans="1:3" x14ac:dyDescent="0.25">
      <c r="A2102">
        <v>90100</v>
      </c>
      <c r="B2102" t="s">
        <v>4198</v>
      </c>
      <c r="C2102">
        <v>0</v>
      </c>
    </row>
    <row r="2103" spans="1:3" x14ac:dyDescent="0.25">
      <c r="A2103">
        <v>90101</v>
      </c>
      <c r="B2103" t="s">
        <v>4200</v>
      </c>
      <c r="C2103">
        <v>0</v>
      </c>
    </row>
    <row r="2104" spans="1:3" x14ac:dyDescent="0.25">
      <c r="A2104">
        <v>90102</v>
      </c>
      <c r="B2104" t="s">
        <v>4202</v>
      </c>
      <c r="C2104">
        <v>0</v>
      </c>
    </row>
    <row r="2105" spans="1:3" x14ac:dyDescent="0.25">
      <c r="A2105">
        <v>90103</v>
      </c>
      <c r="B2105" t="s">
        <v>4204</v>
      </c>
      <c r="C2105">
        <v>0</v>
      </c>
    </row>
    <row r="2106" spans="1:3" x14ac:dyDescent="0.25">
      <c r="A2106">
        <v>90104</v>
      </c>
      <c r="B2106" t="s">
        <v>4206</v>
      </c>
      <c r="C2106">
        <v>0</v>
      </c>
    </row>
    <row r="2107" spans="1:3" x14ac:dyDescent="0.25">
      <c r="A2107">
        <v>90105</v>
      </c>
      <c r="B2107" t="s">
        <v>4208</v>
      </c>
      <c r="C2107">
        <v>0</v>
      </c>
    </row>
    <row r="2108" spans="1:3" x14ac:dyDescent="0.25">
      <c r="A2108">
        <v>90106</v>
      </c>
      <c r="B2108" t="s">
        <v>4210</v>
      </c>
      <c r="C2108">
        <v>0</v>
      </c>
    </row>
    <row r="2109" spans="1:3" x14ac:dyDescent="0.25">
      <c r="A2109">
        <v>90107</v>
      </c>
      <c r="B2109" t="s">
        <v>4212</v>
      </c>
      <c r="C2109">
        <v>0</v>
      </c>
    </row>
    <row r="2110" spans="1:3" x14ac:dyDescent="0.25">
      <c r="A2110">
        <v>90108</v>
      </c>
      <c r="B2110" t="s">
        <v>4214</v>
      </c>
      <c r="C2110">
        <v>0</v>
      </c>
    </row>
    <row r="2111" spans="1:3" x14ac:dyDescent="0.25">
      <c r="A2111">
        <v>90109</v>
      </c>
      <c r="B2111" t="s">
        <v>4216</v>
      </c>
      <c r="C2111">
        <v>0</v>
      </c>
    </row>
    <row r="2112" spans="1:3" x14ac:dyDescent="0.25">
      <c r="A2112">
        <v>90110</v>
      </c>
      <c r="B2112" t="s">
        <v>4218</v>
      </c>
      <c r="C2112">
        <v>0</v>
      </c>
    </row>
    <row r="2113" spans="1:3" x14ac:dyDescent="0.25">
      <c r="A2113">
        <v>90120</v>
      </c>
      <c r="B2113" t="s">
        <v>4220</v>
      </c>
      <c r="C2113">
        <v>0</v>
      </c>
    </row>
    <row r="2114" spans="1:3" x14ac:dyDescent="0.25">
      <c r="A2114">
        <v>90121</v>
      </c>
      <c r="B2114" t="s">
        <v>4222</v>
      </c>
      <c r="C2114">
        <v>0</v>
      </c>
    </row>
    <row r="2115" spans="1:3" x14ac:dyDescent="0.25">
      <c r="A2115">
        <v>90122</v>
      </c>
      <c r="B2115" t="s">
        <v>4224</v>
      </c>
      <c r="C2115">
        <v>0</v>
      </c>
    </row>
    <row r="2116" spans="1:3" x14ac:dyDescent="0.25">
      <c r="A2116">
        <v>90124</v>
      </c>
      <c r="B2116" t="s">
        <v>4226</v>
      </c>
      <c r="C2116">
        <v>0</v>
      </c>
    </row>
    <row r="2117" spans="1:3" x14ac:dyDescent="0.25">
      <c r="A2117">
        <v>90125</v>
      </c>
      <c r="B2117" t="s">
        <v>4228</v>
      </c>
      <c r="C2117">
        <v>0</v>
      </c>
    </row>
    <row r="2118" spans="1:3" x14ac:dyDescent="0.25">
      <c r="A2118">
        <v>90126</v>
      </c>
      <c r="B2118" t="s">
        <v>4230</v>
      </c>
      <c r="C2118">
        <v>0</v>
      </c>
    </row>
    <row r="2119" spans="1:3" x14ac:dyDescent="0.25">
      <c r="A2119">
        <v>90127</v>
      </c>
      <c r="B2119" t="s">
        <v>4232</v>
      </c>
      <c r="C2119">
        <v>0</v>
      </c>
    </row>
    <row r="2120" spans="1:3" x14ac:dyDescent="0.25">
      <c r="A2120">
        <v>90128</v>
      </c>
      <c r="B2120" t="s">
        <v>4234</v>
      </c>
      <c r="C2120">
        <v>0</v>
      </c>
    </row>
    <row r="2121" spans="1:3" x14ac:dyDescent="0.25">
      <c r="A2121">
        <v>90129</v>
      </c>
      <c r="B2121" t="s">
        <v>4236</v>
      </c>
      <c r="C2121">
        <v>0</v>
      </c>
    </row>
    <row r="2122" spans="1:3" x14ac:dyDescent="0.25">
      <c r="A2122">
        <v>90130</v>
      </c>
      <c r="B2122" t="s">
        <v>4238</v>
      </c>
      <c r="C2122">
        <v>0</v>
      </c>
    </row>
    <row r="2123" spans="1:3" x14ac:dyDescent="0.25">
      <c r="A2123">
        <v>90131</v>
      </c>
      <c r="B2123" t="s">
        <v>4240</v>
      </c>
      <c r="C2123">
        <v>0</v>
      </c>
    </row>
    <row r="2124" spans="1:3" x14ac:dyDescent="0.25">
      <c r="A2124">
        <v>9070</v>
      </c>
      <c r="B2124" t="s">
        <v>4242</v>
      </c>
      <c r="C2124">
        <v>0</v>
      </c>
    </row>
    <row r="2125" spans="1:3" x14ac:dyDescent="0.25">
      <c r="A2125">
        <v>9071</v>
      </c>
      <c r="B2125" t="s">
        <v>4244</v>
      </c>
      <c r="C2125">
        <v>0</v>
      </c>
    </row>
    <row r="2126" spans="1:3" x14ac:dyDescent="0.25">
      <c r="A2126">
        <v>9072</v>
      </c>
      <c r="B2126" t="s">
        <v>4246</v>
      </c>
      <c r="C2126">
        <v>0</v>
      </c>
    </row>
    <row r="2127" spans="1:3" x14ac:dyDescent="0.25">
      <c r="A2127">
        <v>9073</v>
      </c>
      <c r="B2127" t="s">
        <v>4248</v>
      </c>
      <c r="C2127">
        <v>0</v>
      </c>
    </row>
    <row r="2128" spans="1:3" x14ac:dyDescent="0.25">
      <c r="A2128">
        <v>9074</v>
      </c>
      <c r="B2128" t="s">
        <v>4250</v>
      </c>
      <c r="C2128">
        <v>0</v>
      </c>
    </row>
    <row r="2129" spans="1:3" x14ac:dyDescent="0.25">
      <c r="A2129">
        <v>9075</v>
      </c>
      <c r="B2129" t="s">
        <v>4252</v>
      </c>
      <c r="C2129">
        <v>0</v>
      </c>
    </row>
    <row r="2130" spans="1:3" x14ac:dyDescent="0.25">
      <c r="A2130">
        <v>9077</v>
      </c>
      <c r="B2130" t="s">
        <v>4254</v>
      </c>
      <c r="C2130">
        <v>0</v>
      </c>
    </row>
    <row r="2131" spans="1:3" x14ac:dyDescent="0.25">
      <c r="A2131">
        <v>9078</v>
      </c>
      <c r="B2131" t="s">
        <v>4256</v>
      </c>
      <c r="C2131">
        <v>0</v>
      </c>
    </row>
    <row r="2132" spans="1:3" x14ac:dyDescent="0.25">
      <c r="A2132">
        <v>9079</v>
      </c>
      <c r="B2132" t="s">
        <v>4258</v>
      </c>
      <c r="C2132">
        <v>0</v>
      </c>
    </row>
    <row r="2133" spans="1:3" x14ac:dyDescent="0.25">
      <c r="A2133">
        <v>9080</v>
      </c>
      <c r="B2133" t="s">
        <v>4260</v>
      </c>
      <c r="C2133">
        <v>0</v>
      </c>
    </row>
    <row r="2134" spans="1:3" x14ac:dyDescent="0.25">
      <c r="A2134">
        <v>9081</v>
      </c>
      <c r="B2134" t="s">
        <v>4262</v>
      </c>
      <c r="C2134">
        <v>0</v>
      </c>
    </row>
    <row r="2135" spans="1:3" x14ac:dyDescent="0.25">
      <c r="A2135">
        <v>9082</v>
      </c>
      <c r="B2135" t="s">
        <v>4264</v>
      </c>
      <c r="C2135">
        <v>0</v>
      </c>
    </row>
    <row r="2136" spans="1:3" x14ac:dyDescent="0.25">
      <c r="A2136">
        <v>9084</v>
      </c>
      <c r="B2136" t="s">
        <v>4266</v>
      </c>
      <c r="C2136">
        <v>0</v>
      </c>
    </row>
    <row r="2137" spans="1:3" x14ac:dyDescent="0.25">
      <c r="A2137">
        <v>9085</v>
      </c>
      <c r="B2137" t="s">
        <v>4268</v>
      </c>
      <c r="C2137">
        <v>0</v>
      </c>
    </row>
    <row r="2138" spans="1:3" x14ac:dyDescent="0.25">
      <c r="A2138">
        <v>9087</v>
      </c>
      <c r="B2138" t="s">
        <v>4270</v>
      </c>
      <c r="C2138">
        <v>0</v>
      </c>
    </row>
    <row r="2139" spans="1:3" x14ac:dyDescent="0.25">
      <c r="A2139">
        <v>9088</v>
      </c>
      <c r="B2139" t="s">
        <v>4272</v>
      </c>
      <c r="C2139">
        <v>0</v>
      </c>
    </row>
    <row r="2140" spans="1:3" x14ac:dyDescent="0.25">
      <c r="A2140">
        <v>9089</v>
      </c>
      <c r="B2140" t="s">
        <v>4274</v>
      </c>
      <c r="C2140">
        <v>0</v>
      </c>
    </row>
    <row r="2141" spans="1:3" x14ac:dyDescent="0.25">
      <c r="A2141">
        <v>9090</v>
      </c>
      <c r="B2141" t="s">
        <v>4276</v>
      </c>
      <c r="C2141">
        <v>0</v>
      </c>
    </row>
    <row r="2142" spans="1:3" x14ac:dyDescent="0.25">
      <c r="A2142">
        <v>9100</v>
      </c>
      <c r="B2142" t="s">
        <v>4278</v>
      </c>
      <c r="C2142">
        <v>0</v>
      </c>
    </row>
    <row r="2143" spans="1:3" x14ac:dyDescent="0.25">
      <c r="A2143">
        <v>9101</v>
      </c>
      <c r="B2143" t="s">
        <v>4280</v>
      </c>
      <c r="C2143">
        <v>0</v>
      </c>
    </row>
    <row r="2144" spans="1:3" x14ac:dyDescent="0.25">
      <c r="A2144">
        <v>9102</v>
      </c>
      <c r="B2144" t="s">
        <v>4282</v>
      </c>
      <c r="C2144">
        <v>0</v>
      </c>
    </row>
    <row r="2145" spans="1:3" x14ac:dyDescent="0.25">
      <c r="A2145">
        <v>9103</v>
      </c>
      <c r="B2145" t="s">
        <v>4284</v>
      </c>
      <c r="C2145">
        <v>0</v>
      </c>
    </row>
    <row r="2146" spans="1:3" x14ac:dyDescent="0.25">
      <c r="A2146">
        <v>9104</v>
      </c>
      <c r="B2146" t="s">
        <v>4286</v>
      </c>
      <c r="C2146">
        <v>0</v>
      </c>
    </row>
    <row r="2147" spans="1:3" x14ac:dyDescent="0.25">
      <c r="A2147">
        <v>9105</v>
      </c>
      <c r="B2147" t="s">
        <v>4288</v>
      </c>
      <c r="C2147">
        <v>0</v>
      </c>
    </row>
    <row r="2148" spans="1:3" x14ac:dyDescent="0.25">
      <c r="A2148">
        <v>9200</v>
      </c>
      <c r="B2148" t="s">
        <v>4290</v>
      </c>
      <c r="C2148">
        <v>0</v>
      </c>
    </row>
    <row r="2149" spans="1:3" x14ac:dyDescent="0.25">
      <c r="A2149">
        <v>9201</v>
      </c>
      <c r="B2149" t="s">
        <v>4292</v>
      </c>
      <c r="C2149">
        <v>0</v>
      </c>
    </row>
    <row r="2150" spans="1:3" x14ac:dyDescent="0.25">
      <c r="A2150">
        <v>9202</v>
      </c>
      <c r="B2150" t="s">
        <v>4294</v>
      </c>
      <c r="C2150">
        <v>0</v>
      </c>
    </row>
    <row r="2151" spans="1:3" x14ac:dyDescent="0.25">
      <c r="A2151">
        <v>9203</v>
      </c>
      <c r="B2151" t="s">
        <v>4296</v>
      </c>
      <c r="C2151">
        <v>0</v>
      </c>
    </row>
    <row r="2152" spans="1:3" x14ac:dyDescent="0.25">
      <c r="A2152">
        <v>9204</v>
      </c>
      <c r="B2152" t="s">
        <v>4298</v>
      </c>
      <c r="C2152">
        <v>0</v>
      </c>
    </row>
    <row r="2153" spans="1:3" x14ac:dyDescent="0.25">
      <c r="A2153">
        <v>9205</v>
      </c>
      <c r="B2153" t="s">
        <v>4300</v>
      </c>
      <c r="C2153">
        <v>0</v>
      </c>
    </row>
    <row r="2154" spans="1:3" x14ac:dyDescent="0.25">
      <c r="A2154">
        <v>9206</v>
      </c>
      <c r="B2154" t="s">
        <v>4302</v>
      </c>
      <c r="C2154">
        <v>0</v>
      </c>
    </row>
    <row r="2155" spans="1:3" x14ac:dyDescent="0.25">
      <c r="A2155">
        <v>9207</v>
      </c>
      <c r="B2155" t="s">
        <v>4304</v>
      </c>
      <c r="C2155">
        <v>0</v>
      </c>
    </row>
    <row r="2156" spans="1:3" x14ac:dyDescent="0.25">
      <c r="A2156">
        <v>9208</v>
      </c>
      <c r="B2156" t="s">
        <v>4306</v>
      </c>
      <c r="C2156">
        <v>0</v>
      </c>
    </row>
    <row r="2157" spans="1:3" x14ac:dyDescent="0.25">
      <c r="A2157">
        <v>9209</v>
      </c>
      <c r="B2157" t="s">
        <v>4308</v>
      </c>
      <c r="C2157">
        <v>0</v>
      </c>
    </row>
    <row r="2158" spans="1:3" x14ac:dyDescent="0.25">
      <c r="A2158">
        <v>9210</v>
      </c>
      <c r="B2158" t="s">
        <v>4310</v>
      </c>
      <c r="C2158">
        <v>0</v>
      </c>
    </row>
    <row r="2159" spans="1:3" x14ac:dyDescent="0.25">
      <c r="A2159">
        <v>9211</v>
      </c>
      <c r="B2159" t="s">
        <v>4312</v>
      </c>
      <c r="C2159">
        <v>0</v>
      </c>
    </row>
    <row r="2160" spans="1:3" x14ac:dyDescent="0.25">
      <c r="A2160">
        <v>9212</v>
      </c>
      <c r="B2160" t="s">
        <v>4314</v>
      </c>
      <c r="C2160">
        <v>0</v>
      </c>
    </row>
    <row r="2161" spans="1:3" x14ac:dyDescent="0.25">
      <c r="A2161">
        <v>9213</v>
      </c>
      <c r="B2161" t="s">
        <v>4316</v>
      </c>
      <c r="C2161">
        <v>0</v>
      </c>
    </row>
    <row r="2162" spans="1:3" x14ac:dyDescent="0.25">
      <c r="A2162">
        <v>9302</v>
      </c>
      <c r="B2162" t="s">
        <v>4318</v>
      </c>
      <c r="C2162">
        <v>0</v>
      </c>
    </row>
    <row r="2163" spans="1:3" x14ac:dyDescent="0.25">
      <c r="A2163">
        <v>9304</v>
      </c>
      <c r="B2163" t="s">
        <v>4320</v>
      </c>
      <c r="C2163">
        <v>0</v>
      </c>
    </row>
    <row r="2164" spans="1:3" x14ac:dyDescent="0.25">
      <c r="A2164">
        <v>9311</v>
      </c>
      <c r="B2164" t="s">
        <v>4322</v>
      </c>
      <c r="C2164">
        <v>0</v>
      </c>
    </row>
    <row r="2165" spans="1:3" x14ac:dyDescent="0.25">
      <c r="A2165">
        <v>9315</v>
      </c>
      <c r="B2165" t="s">
        <v>4324</v>
      </c>
      <c r="C2165">
        <v>0</v>
      </c>
    </row>
    <row r="2166" spans="1:3" x14ac:dyDescent="0.25">
      <c r="A2166">
        <v>9401</v>
      </c>
      <c r="B2166" t="s">
        <v>4326</v>
      </c>
      <c r="C2166">
        <v>0</v>
      </c>
    </row>
    <row r="2167" spans="1:3" x14ac:dyDescent="0.25">
      <c r="A2167">
        <v>9402</v>
      </c>
      <c r="B2167" t="s">
        <v>4328</v>
      </c>
      <c r="C2167">
        <v>0</v>
      </c>
    </row>
    <row r="2168" spans="1:3" x14ac:dyDescent="0.25">
      <c r="A2168">
        <v>9410</v>
      </c>
      <c r="B2168" t="s">
        <v>4330</v>
      </c>
      <c r="C2168">
        <v>0</v>
      </c>
    </row>
    <row r="2169" spans="1:3" x14ac:dyDescent="0.25">
      <c r="A2169">
        <v>9411</v>
      </c>
      <c r="B2169" t="s">
        <v>4332</v>
      </c>
      <c r="C2169">
        <v>0</v>
      </c>
    </row>
    <row r="2170" spans="1:3" x14ac:dyDescent="0.25">
      <c r="A2170">
        <v>9412</v>
      </c>
      <c r="B2170" t="s">
        <v>4334</v>
      </c>
      <c r="C2170">
        <v>0</v>
      </c>
    </row>
    <row r="2171" spans="1:3" x14ac:dyDescent="0.25">
      <c r="A2171">
        <v>9413</v>
      </c>
      <c r="B2171" t="s">
        <v>4336</v>
      </c>
      <c r="C2171">
        <v>0</v>
      </c>
    </row>
    <row r="2172" spans="1:3" x14ac:dyDescent="0.25">
      <c r="A2172">
        <v>9414</v>
      </c>
      <c r="B2172" t="s">
        <v>4338</v>
      </c>
      <c r="C2172">
        <v>0</v>
      </c>
    </row>
    <row r="2173" spans="1:3" x14ac:dyDescent="0.25">
      <c r="A2173">
        <v>9416</v>
      </c>
      <c r="B2173" t="s">
        <v>4340</v>
      </c>
      <c r="C2173">
        <v>0</v>
      </c>
    </row>
    <row r="2174" spans="1:3" x14ac:dyDescent="0.25">
      <c r="A2174">
        <v>9500</v>
      </c>
      <c r="B2174" t="s">
        <v>4342</v>
      </c>
      <c r="C2174">
        <v>0</v>
      </c>
    </row>
    <row r="2175" spans="1:3" x14ac:dyDescent="0.25">
      <c r="A2175">
        <v>9501</v>
      </c>
      <c r="B2175" t="s">
        <v>4344</v>
      </c>
      <c r="C2175">
        <v>0</v>
      </c>
    </row>
    <row r="2176" spans="1:3" x14ac:dyDescent="0.25">
      <c r="A2176">
        <v>9502</v>
      </c>
      <c r="B2176" t="s">
        <v>4346</v>
      </c>
      <c r="C2176">
        <v>0</v>
      </c>
    </row>
    <row r="2177" spans="1:3" x14ac:dyDescent="0.25">
      <c r="A2177">
        <v>9503</v>
      </c>
      <c r="B2177" t="s">
        <v>4348</v>
      </c>
      <c r="C2177">
        <v>0</v>
      </c>
    </row>
    <row r="2178" spans="1:3" x14ac:dyDescent="0.25">
      <c r="A2178">
        <v>9504</v>
      </c>
      <c r="B2178" t="s">
        <v>4350</v>
      </c>
      <c r="C2178">
        <v>0</v>
      </c>
    </row>
    <row r="2179" spans="1:3" x14ac:dyDescent="0.25">
      <c r="A2179">
        <v>9505</v>
      </c>
      <c r="B2179" t="s">
        <v>4352</v>
      </c>
      <c r="C2179">
        <v>0</v>
      </c>
    </row>
    <row r="2180" spans="1:3" x14ac:dyDescent="0.25">
      <c r="A2180">
        <v>9506</v>
      </c>
      <c r="B2180" t="s">
        <v>4354</v>
      </c>
      <c r="C2180">
        <v>0</v>
      </c>
    </row>
    <row r="2181" spans="1:3" x14ac:dyDescent="0.25">
      <c r="A2181">
        <v>9515</v>
      </c>
      <c r="B2181" t="s">
        <v>4356</v>
      </c>
      <c r="C2181">
        <v>0</v>
      </c>
    </row>
    <row r="2182" spans="1:3" x14ac:dyDescent="0.25">
      <c r="A2182">
        <v>9516</v>
      </c>
      <c r="B2182" t="s">
        <v>4358</v>
      </c>
      <c r="C2182">
        <v>0</v>
      </c>
    </row>
    <row r="2183" spans="1:3" x14ac:dyDescent="0.25">
      <c r="A2183">
        <v>9600</v>
      </c>
      <c r="B2183" t="s">
        <v>4360</v>
      </c>
      <c r="C2183">
        <v>0</v>
      </c>
    </row>
    <row r="2184" spans="1:3" x14ac:dyDescent="0.25">
      <c r="A2184">
        <v>9601</v>
      </c>
      <c r="B2184" t="s">
        <v>4362</v>
      </c>
      <c r="C2184">
        <v>0</v>
      </c>
    </row>
    <row r="2185" spans="1:3" x14ac:dyDescent="0.25">
      <c r="A2185">
        <v>9602</v>
      </c>
      <c r="B2185" t="s">
        <v>4364</v>
      </c>
      <c r="C2185">
        <v>0</v>
      </c>
    </row>
    <row r="2186" spans="1:3" x14ac:dyDescent="0.25">
      <c r="A2186">
        <v>9603</v>
      </c>
      <c r="B2186" t="s">
        <v>4366</v>
      </c>
      <c r="C2186">
        <v>0</v>
      </c>
    </row>
    <row r="2187" spans="1:3" x14ac:dyDescent="0.25">
      <c r="A2187">
        <v>9604</v>
      </c>
      <c r="B2187" t="s">
        <v>4368</v>
      </c>
      <c r="C2187">
        <v>0</v>
      </c>
    </row>
    <row r="2188" spans="1:3" x14ac:dyDescent="0.25">
      <c r="A2188">
        <v>9605</v>
      </c>
      <c r="B2188" t="s">
        <v>4370</v>
      </c>
      <c r="C2188">
        <v>0</v>
      </c>
    </row>
    <row r="2189" spans="1:3" x14ac:dyDescent="0.25">
      <c r="A2189">
        <v>9606</v>
      </c>
      <c r="B2189" t="s">
        <v>4372</v>
      </c>
      <c r="C2189">
        <v>0</v>
      </c>
    </row>
    <row r="2190" spans="1:3" x14ac:dyDescent="0.25">
      <c r="A2190">
        <v>9607</v>
      </c>
      <c r="B2190" t="s">
        <v>4374</v>
      </c>
      <c r="C2190">
        <v>0</v>
      </c>
    </row>
    <row r="2191" spans="1:3" x14ac:dyDescent="0.25">
      <c r="A2191">
        <v>9608</v>
      </c>
      <c r="B2191" t="s">
        <v>4376</v>
      </c>
      <c r="C2191">
        <v>0</v>
      </c>
    </row>
    <row r="2192" spans="1:3" x14ac:dyDescent="0.25">
      <c r="A2192">
        <v>9700</v>
      </c>
      <c r="B2192" t="s">
        <v>4378</v>
      </c>
      <c r="C2192">
        <v>0</v>
      </c>
    </row>
    <row r="2193" spans="1:3" x14ac:dyDescent="0.25">
      <c r="A2193">
        <v>9701</v>
      </c>
      <c r="B2193" t="s">
        <v>4380</v>
      </c>
      <c r="C2193">
        <v>0</v>
      </c>
    </row>
    <row r="2194" spans="1:3" x14ac:dyDescent="0.25">
      <c r="A2194">
        <v>9702</v>
      </c>
      <c r="B2194" t="s">
        <v>4382</v>
      </c>
      <c r="C2194">
        <v>0</v>
      </c>
    </row>
    <row r="2195" spans="1:3" x14ac:dyDescent="0.25">
      <c r="A2195">
        <v>9703</v>
      </c>
      <c r="B2195" t="s">
        <v>4384</v>
      </c>
      <c r="C2195">
        <v>0</v>
      </c>
    </row>
    <row r="2196" spans="1:3" x14ac:dyDescent="0.25">
      <c r="A2196">
        <v>9704</v>
      </c>
      <c r="B2196" t="s">
        <v>4386</v>
      </c>
      <c r="C2196">
        <v>0</v>
      </c>
    </row>
    <row r="2197" spans="1:3" x14ac:dyDescent="0.25">
      <c r="A2197">
        <v>9705</v>
      </c>
      <c r="B2197" t="s">
        <v>4388</v>
      </c>
      <c r="C2197">
        <v>0</v>
      </c>
    </row>
    <row r="2198" spans="1:3" x14ac:dyDescent="0.25">
      <c r="A2198">
        <v>9706</v>
      </c>
      <c r="B2198" t="s">
        <v>4390</v>
      </c>
      <c r="C2198">
        <v>0</v>
      </c>
    </row>
    <row r="2199" spans="1:3" x14ac:dyDescent="0.25">
      <c r="A2199">
        <v>9707</v>
      </c>
      <c r="B2199" t="s">
        <v>4392</v>
      </c>
      <c r="C2199">
        <v>0</v>
      </c>
    </row>
    <row r="2200" spans="1:3" x14ac:dyDescent="0.25">
      <c r="A2200">
        <v>9708</v>
      </c>
      <c r="B2200" t="s">
        <v>4394</v>
      </c>
      <c r="C2200">
        <v>0</v>
      </c>
    </row>
    <row r="2201" spans="1:3" x14ac:dyDescent="0.25">
      <c r="A2201">
        <v>9709</v>
      </c>
      <c r="B2201" t="s">
        <v>4396</v>
      </c>
      <c r="C2201">
        <v>0</v>
      </c>
    </row>
    <row r="2202" spans="1:3" x14ac:dyDescent="0.25">
      <c r="A2202">
        <v>9710</v>
      </c>
      <c r="B2202" t="s">
        <v>4398</v>
      </c>
      <c r="C2202">
        <v>0</v>
      </c>
    </row>
    <row r="2203" spans="1:3" x14ac:dyDescent="0.25">
      <c r="A2203">
        <v>9711</v>
      </c>
      <c r="B2203" t="s">
        <v>4400</v>
      </c>
      <c r="C2203">
        <v>0</v>
      </c>
    </row>
    <row r="2204" spans="1:3" x14ac:dyDescent="0.25">
      <c r="A2204">
        <v>9712</v>
      </c>
      <c r="B2204" t="s">
        <v>4402</v>
      </c>
      <c r="C2204">
        <v>0</v>
      </c>
    </row>
    <row r="2205" spans="1:3" x14ac:dyDescent="0.25">
      <c r="A2205">
        <v>9713</v>
      </c>
      <c r="B2205" t="s">
        <v>4404</v>
      </c>
      <c r="C2205">
        <v>0</v>
      </c>
    </row>
    <row r="2206" spans="1:3" x14ac:dyDescent="0.25">
      <c r="A2206">
        <v>9714</v>
      </c>
      <c r="B2206" t="s">
        <v>4406</v>
      </c>
      <c r="C2206">
        <v>0</v>
      </c>
    </row>
    <row r="2207" spans="1:3" x14ac:dyDescent="0.25">
      <c r="A2207">
        <v>9715</v>
      </c>
      <c r="B2207" t="s">
        <v>4408</v>
      </c>
      <c r="C2207">
        <v>0</v>
      </c>
    </row>
    <row r="2208" spans="1:3" x14ac:dyDescent="0.25">
      <c r="A2208">
        <v>9716</v>
      </c>
      <c r="B2208" t="s">
        <v>4410</v>
      </c>
      <c r="C2208">
        <v>0</v>
      </c>
    </row>
    <row r="2209" spans="1:3" x14ac:dyDescent="0.25">
      <c r="A2209">
        <v>9717</v>
      </c>
      <c r="B2209" t="s">
        <v>4412</v>
      </c>
      <c r="C2209">
        <v>0</v>
      </c>
    </row>
    <row r="2210" spans="1:3" x14ac:dyDescent="0.25">
      <c r="A2210">
        <v>9718</v>
      </c>
      <c r="B2210" t="s">
        <v>4414</v>
      </c>
      <c r="C2210">
        <v>0</v>
      </c>
    </row>
    <row r="2211" spans="1:3" x14ac:dyDescent="0.25">
      <c r="A2211">
        <v>9719</v>
      </c>
      <c r="B2211" t="s">
        <v>4416</v>
      </c>
      <c r="C2211">
        <v>0</v>
      </c>
    </row>
    <row r="2212" spans="1:3" x14ac:dyDescent="0.25">
      <c r="A2212">
        <v>9720</v>
      </c>
      <c r="B2212" t="s">
        <v>4418</v>
      </c>
      <c r="C2212">
        <v>0</v>
      </c>
    </row>
    <row r="2213" spans="1:3" x14ac:dyDescent="0.25">
      <c r="A2213">
        <v>9721</v>
      </c>
      <c r="B2213" t="s">
        <v>4420</v>
      </c>
      <c r="C2213">
        <v>0</v>
      </c>
    </row>
    <row r="2214" spans="1:3" x14ac:dyDescent="0.25">
      <c r="A2214">
        <v>9722</v>
      </c>
      <c r="B2214" t="s">
        <v>4422</v>
      </c>
      <c r="C2214">
        <v>0</v>
      </c>
    </row>
    <row r="2215" spans="1:3" x14ac:dyDescent="0.25">
      <c r="A2215">
        <v>9723</v>
      </c>
      <c r="B2215" t="s">
        <v>4424</v>
      </c>
      <c r="C2215">
        <v>0</v>
      </c>
    </row>
    <row r="2216" spans="1:3" x14ac:dyDescent="0.25">
      <c r="A2216">
        <v>9724</v>
      </c>
      <c r="B2216" t="s">
        <v>4426</v>
      </c>
      <c r="C2216">
        <v>0</v>
      </c>
    </row>
    <row r="2217" spans="1:3" x14ac:dyDescent="0.25">
      <c r="A2217">
        <v>9725</v>
      </c>
      <c r="B2217" t="s">
        <v>4428</v>
      </c>
      <c r="C2217">
        <v>0</v>
      </c>
    </row>
  </sheetData>
  <autoFilter ref="A1:C2217" xr:uid="{F9F4CB88-B64E-4651-80D7-6D6448704AA6}"/>
  <pageMargins left="0.7" right="0.7" top="0.75" bottom="0.75" header="0.3" footer="0.3"/>
  <ignoredErrors>
    <ignoredError sqref="A2:A221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7164A-351E-4BC1-AC69-BC3AC62A32C6}">
  <dimension ref="B1:K108"/>
  <sheetViews>
    <sheetView workbookViewId="0"/>
  </sheetViews>
  <sheetFormatPr defaultColWidth="11.42578125" defaultRowHeight="15" x14ac:dyDescent="0.25"/>
  <cols>
    <col min="2" max="2" width="12.5703125" customWidth="1"/>
    <col min="3" max="3" width="10.85546875" customWidth="1"/>
    <col min="4" max="4" width="43.140625" customWidth="1"/>
    <col min="11" max="11" width="30.5703125" customWidth="1"/>
  </cols>
  <sheetData>
    <row r="1" spans="2:11" ht="30" customHeight="1" x14ac:dyDescent="0.4">
      <c r="B1" s="45" t="s">
        <v>4483</v>
      </c>
      <c r="C1" s="45"/>
      <c r="D1" s="45"/>
      <c r="E1" s="45"/>
      <c r="F1" s="45"/>
      <c r="G1" s="45"/>
      <c r="H1" s="45"/>
      <c r="I1" s="45"/>
    </row>
    <row r="2" spans="2:11" ht="24" x14ac:dyDescent="0.4">
      <c r="B2" s="42" t="s">
        <v>4856</v>
      </c>
      <c r="C2" s="42"/>
      <c r="D2" s="42"/>
      <c r="E2" s="42"/>
      <c r="F2" s="42"/>
      <c r="G2" s="42"/>
      <c r="H2" s="42"/>
      <c r="I2" s="43" t="s">
        <v>4459</v>
      </c>
      <c r="J2" s="13" t="s">
        <v>4432</v>
      </c>
      <c r="K2" s="44" t="s">
        <v>4460</v>
      </c>
    </row>
    <row r="3" spans="2:11" ht="18.75" x14ac:dyDescent="0.3">
      <c r="B3" s="11" t="s">
        <v>4445</v>
      </c>
      <c r="C3" s="11" t="s">
        <v>4433</v>
      </c>
      <c r="D3" s="11" t="s">
        <v>4434</v>
      </c>
      <c r="E3" s="11" t="s">
        <v>4435</v>
      </c>
      <c r="F3" s="11" t="s">
        <v>4436</v>
      </c>
      <c r="G3" s="11" t="s">
        <v>4444</v>
      </c>
      <c r="H3" s="11" t="s">
        <v>4436</v>
      </c>
      <c r="I3" s="43"/>
      <c r="J3" s="11" t="s">
        <v>4447</v>
      </c>
      <c r="K3" s="44"/>
    </row>
    <row r="4" spans="2:11" x14ac:dyDescent="0.25">
      <c r="B4" t="s">
        <v>4857</v>
      </c>
      <c r="C4">
        <v>4040</v>
      </c>
      <c r="D4" s="3" t="str" cm="1">
        <f t="array" ref="D4">IFERROR(_xlfn.XLOOKUP(TEXT(C4,"0000"),TEXT(Catalog!A:A,"0000"),Catalog!B:B),"")</f>
        <v xml:space="preserve">SINGLE POLE SWITCH 37011 OPB  </v>
      </c>
      <c r="E4" t="s">
        <v>4511</v>
      </c>
      <c r="F4">
        <v>1</v>
      </c>
    </row>
    <row r="5" spans="2:11" x14ac:dyDescent="0.25">
      <c r="B5" t="s">
        <v>4857</v>
      </c>
      <c r="C5">
        <v>4042</v>
      </c>
      <c r="D5" s="3" t="str" cm="1">
        <f t="array" ref="D5">IFERROR(_xlfn.XLOOKUP(TEXT(C5,"0000"),TEXT(Catalog!A:A,"0000"),Catalog!B:B),"")</f>
        <v xml:space="preserve">TWO-WAY SWITCH 37071 OPB      </v>
      </c>
      <c r="E5">
        <v>24</v>
      </c>
    </row>
    <row r="6" spans="2:11" x14ac:dyDescent="0.25">
      <c r="B6" t="s">
        <v>4857</v>
      </c>
      <c r="C6">
        <v>4041</v>
      </c>
      <c r="D6" s="3" t="str" cm="1">
        <f t="array" ref="D6">IFERROR(_xlfn.XLOOKUP(TEXT(C6,"0000"),TEXT(Catalog!A:A,"0000"),Catalog!B:B),"")</f>
        <v xml:space="preserve">TWO CIRCUITS SWITCH 37061 OPB </v>
      </c>
      <c r="E6">
        <v>31</v>
      </c>
    </row>
    <row r="7" spans="2:11" x14ac:dyDescent="0.25">
      <c r="B7" t="s">
        <v>4857</v>
      </c>
      <c r="C7">
        <v>4043</v>
      </c>
      <c r="D7" s="3" t="str" cm="1">
        <f t="array" ref="D7">IFERROR(_xlfn.XLOOKUP(TEXT(C7,"0000"),TEXT(Catalog!A:A,"0000"),Catalog!B:B),"")</f>
        <v>DOUBLE 2-WAY SWITCH  37101 OPB</v>
      </c>
      <c r="E7">
        <v>15</v>
      </c>
    </row>
    <row r="8" spans="2:11" x14ac:dyDescent="0.25">
      <c r="B8" t="s">
        <v>4857</v>
      </c>
      <c r="C8">
        <v>4050</v>
      </c>
      <c r="D8" s="3" t="str" cm="1">
        <f t="array" ref="D8">IFERROR(_xlfn.XLOOKUP(TEXT(C8,"0000"),TEXT(Catalog!A:A,"0000"),Catalog!B:B),"")</f>
        <v xml:space="preserve">EARTH SOCKET  48131 OPB  WD   </v>
      </c>
      <c r="E8">
        <v>3</v>
      </c>
    </row>
    <row r="9" spans="2:11" x14ac:dyDescent="0.25">
      <c r="B9" t="s">
        <v>4857</v>
      </c>
      <c r="C9">
        <v>4046</v>
      </c>
      <c r="D9" s="3" t="str" cm="1">
        <f t="array" ref="D9">IFERROR(_xlfn.XLOOKUP(TEXT(C9,"0000"),TEXT(Catalog!A:A,"0000"),Catalog!B:B),"")</f>
        <v>SINGLE POLE SWITCH 48011 OP WD</v>
      </c>
      <c r="E9">
        <v>11</v>
      </c>
    </row>
    <row r="10" spans="2:11" x14ac:dyDescent="0.25">
      <c r="B10" t="s">
        <v>4857</v>
      </c>
      <c r="C10">
        <v>4049</v>
      </c>
      <c r="D10" s="3" t="str" cm="1">
        <f t="array" ref="D10">IFERROR(_xlfn.XLOOKUP(TEXT(C10,"0000"),TEXT(Catalog!A:A,"0000"),Catalog!B:B),"")</f>
        <v xml:space="preserve">TWO WAY SWITCH 48071 OPB WD   </v>
      </c>
      <c r="E10">
        <v>7</v>
      </c>
    </row>
    <row r="11" spans="2:11" x14ac:dyDescent="0.25">
      <c r="B11" t="s">
        <v>4857</v>
      </c>
      <c r="C11">
        <v>4047</v>
      </c>
      <c r="D11" s="3" t="str" cm="1">
        <f t="array" ref="D11">IFERROR(_xlfn.XLOOKUP(TEXT(C11,"0000"),TEXT(Catalog!A:A,"0000"),Catalog!B:B),"")</f>
        <v xml:space="preserve">TWO POLE SWITCH 48021 WD OPB  </v>
      </c>
      <c r="E11">
        <v>7</v>
      </c>
    </row>
    <row r="12" spans="2:11" x14ac:dyDescent="0.25">
      <c r="B12" t="s">
        <v>4857</v>
      </c>
      <c r="C12">
        <v>4048</v>
      </c>
      <c r="D12" s="3" t="str" cm="1">
        <f t="array" ref="D12">IFERROR(_xlfn.XLOOKUP(TEXT(C12,"0000"),TEXT(Catalog!A:A,"0000"),Catalog!B:B),"")</f>
        <v>2 CIRCUITS SWITCH 48061 OPB WD</v>
      </c>
      <c r="E12">
        <v>9</v>
      </c>
    </row>
    <row r="13" spans="2:11" x14ac:dyDescent="0.25">
      <c r="B13" t="s">
        <v>4857</v>
      </c>
      <c r="C13">
        <v>4024</v>
      </c>
      <c r="D13" s="3" t="str" cm="1">
        <f t="array" ref="D13">IFERROR(_xlfn.XLOOKUP(TEXT(C13,"0000"),TEXT(Catalog!A:A,"0000"),Catalog!B:B),"")</f>
        <v>COV PL SCHUK SOCKET IP44 70634</v>
      </c>
      <c r="E13">
        <v>12</v>
      </c>
    </row>
    <row r="14" spans="2:11" x14ac:dyDescent="0.25">
      <c r="B14" t="s">
        <v>4857</v>
      </c>
      <c r="C14">
        <v>4035</v>
      </c>
      <c r="D14" s="3" t="str" cm="1">
        <f t="array" ref="D14">IFERROR(_xlfn.XLOOKUP(TEXT(C14,"0000"),TEXT(Catalog!A:A,"0000"),Catalog!B:B),"")</f>
        <v xml:space="preserve">WATERPROOF FRAME IP 44  70961 </v>
      </c>
      <c r="E14">
        <v>4</v>
      </c>
    </row>
    <row r="16" spans="2:11" ht="24" x14ac:dyDescent="0.4">
      <c r="B16" s="42" t="s">
        <v>4439</v>
      </c>
      <c r="C16" s="42"/>
      <c r="D16" s="42"/>
      <c r="E16" s="42"/>
      <c r="F16" s="42"/>
      <c r="G16" s="42"/>
      <c r="H16" s="42"/>
      <c r="I16" s="43" t="s">
        <v>4459</v>
      </c>
      <c r="J16" s="13" t="s">
        <v>4432</v>
      </c>
      <c r="K16" s="44" t="s">
        <v>4460</v>
      </c>
    </row>
    <row r="17" spans="2:11" ht="18.75" x14ac:dyDescent="0.3">
      <c r="B17" s="11" t="s">
        <v>4445</v>
      </c>
      <c r="C17" s="11" t="s">
        <v>4433</v>
      </c>
      <c r="D17" s="11" t="s">
        <v>4434</v>
      </c>
      <c r="E17" s="11" t="s">
        <v>4435</v>
      </c>
      <c r="F17" s="11" t="s">
        <v>4436</v>
      </c>
      <c r="G17" s="11" t="s">
        <v>4444</v>
      </c>
      <c r="H17" s="11" t="s">
        <v>4436</v>
      </c>
      <c r="I17" s="43"/>
      <c r="J17" s="11" t="s">
        <v>4447</v>
      </c>
      <c r="K17" s="44"/>
    </row>
    <row r="18" spans="2:11" x14ac:dyDescent="0.25">
      <c r="B18" t="s">
        <v>4857</v>
      </c>
      <c r="C18" s="16">
        <v>4106</v>
      </c>
      <c r="D18" s="3" t="str" cm="1">
        <f t="array" ref="D18">IFERROR(_xlfn.XLOOKUP(TEXT(C18,"0000"),TEXT(Catalog!A:A,"0000"),Catalog!B:B),"")</f>
        <v xml:space="preserve">COVER PLATE - TELEPHONE 90712 </v>
      </c>
    </row>
    <row r="19" spans="2:11" x14ac:dyDescent="0.25">
      <c r="B19" t="s">
        <v>4857</v>
      </c>
      <c r="C19" s="18">
        <v>4145</v>
      </c>
      <c r="D19" s="3" t="str" cm="1">
        <f t="array" ref="D19">IFERROR(_xlfn.XLOOKUP(TEXT(C19,"0000"),TEXT(Catalog!A:A,"0000"),Catalog!B:B),"")</f>
        <v>COV PLATE  TELEPHONE 90712 TPM</v>
      </c>
      <c r="E19">
        <v>10</v>
      </c>
    </row>
    <row r="20" spans="2:11" x14ac:dyDescent="0.25">
      <c r="B20" t="s">
        <v>4857</v>
      </c>
      <c r="C20" s="16">
        <v>4105</v>
      </c>
      <c r="D20" s="3" t="str" cm="1">
        <f t="array" ref="D20">IFERROR(_xlfn.XLOOKUP(TEXT(C20,"0000"),TEXT(Catalog!A:A,"0000"),Catalog!B:B),"")</f>
        <v xml:space="preserve">COVER PLATE SINGLE RJ45 90751 </v>
      </c>
    </row>
    <row r="21" spans="2:11" x14ac:dyDescent="0.25">
      <c r="B21" t="s">
        <v>4857</v>
      </c>
      <c r="C21" s="17">
        <v>4144</v>
      </c>
      <c r="D21" s="3" t="str" cm="1">
        <f t="array" ref="D21">IFERROR(_xlfn.XLOOKUP(TEXT(C21,"0000"),TEXT(Catalog!A:A,"0000"),Catalog!B:B),"")</f>
        <v>COV PLATE SINGLE RJ45 90751TPM</v>
      </c>
    </row>
    <row r="22" spans="2:11" x14ac:dyDescent="0.25">
      <c r="B22" t="s">
        <v>4857</v>
      </c>
      <c r="C22" s="18">
        <v>90106</v>
      </c>
      <c r="D22" s="3" t="str" cm="1">
        <f t="array" ref="D22">IFERROR(_xlfn.XLOOKUP(TEXT(C22,"0000"),TEXT(Catalog!A:A,"0000"),Catalog!B:B),"")</f>
        <v xml:space="preserve">COV PLATE SINGL RJ45 90751TAL </v>
      </c>
      <c r="E22">
        <v>4</v>
      </c>
    </row>
    <row r="23" spans="2:11" x14ac:dyDescent="0.25">
      <c r="B23" t="s">
        <v>4857</v>
      </c>
      <c r="C23">
        <v>4103</v>
      </c>
      <c r="D23" s="3" t="str" cm="1">
        <f t="array" ref="D23">IFERROR(_xlfn.XLOOKUP(TEXT(C23,"0000"),TEXT(Catalog!A:A,"0000"),Catalog!B:B),"")</f>
        <v xml:space="preserve">COVER PLATE  PULL CORD 90741  </v>
      </c>
      <c r="E23">
        <v>18</v>
      </c>
    </row>
    <row r="24" spans="2:11" x14ac:dyDescent="0.25">
      <c r="B24" t="s">
        <v>4857</v>
      </c>
      <c r="C24" s="16">
        <v>4112</v>
      </c>
      <c r="D24" s="3" t="str" cm="1">
        <f t="array" ref="D24">IFERROR(_xlfn.XLOOKUP(TEXT(C24,"0000"),TEXT(Catalog!A:A,"0000"),Catalog!B:B),"")</f>
        <v xml:space="preserve">DOUBLE HORIZONTAL FRAME 90920 </v>
      </c>
    </row>
    <row r="25" spans="2:11" x14ac:dyDescent="0.25">
      <c r="B25" t="s">
        <v>4857</v>
      </c>
      <c r="C25" s="17">
        <v>4151</v>
      </c>
      <c r="D25" s="3" t="str" cm="1">
        <f t="array" ref="D25">IFERROR(_xlfn.XLOOKUP(TEXT(C25,"0000"),TEXT(Catalog!A:A,"0000"),Catalog!B:B),"")</f>
        <v>2 X HORIZONTAL FRAME 90920 TPM</v>
      </c>
    </row>
    <row r="26" spans="2:11" x14ac:dyDescent="0.25">
      <c r="B26" t="s">
        <v>4857</v>
      </c>
      <c r="C26" s="18">
        <v>90101</v>
      </c>
      <c r="D26" s="3" t="str" cm="1">
        <f t="array" ref="D26">IFERROR(_xlfn.XLOOKUP(TEXT(C26,"0000"),TEXT(Catalog!A:A,"0000"),Catalog!B:B),"")</f>
        <v xml:space="preserve">DOUBLE FRAME ALU 90920TAA     </v>
      </c>
      <c r="E26">
        <v>41</v>
      </c>
    </row>
    <row r="27" spans="2:11" x14ac:dyDescent="0.25">
      <c r="B27" t="s">
        <v>4857</v>
      </c>
      <c r="C27" s="16">
        <v>4109</v>
      </c>
      <c r="D27" s="3" t="str" cm="1">
        <f t="array" ref="D27">IFERROR(_xlfn.XLOOKUP(TEXT(C27,"0000"),TEXT(Catalog!A:A,"0000"),Catalog!B:B),"")</f>
        <v>COVER PLATE SCHUKO SOCKET90634</v>
      </c>
    </row>
    <row r="28" spans="2:11" x14ac:dyDescent="0.25">
      <c r="B28" t="s">
        <v>4857</v>
      </c>
      <c r="C28" s="18">
        <v>4148</v>
      </c>
      <c r="D28" s="3" t="str" cm="1">
        <f t="array" ref="D28">IFERROR(_xlfn.XLOOKUP(TEXT(C28,"0000"),TEXT(Catalog!A:A,"0000"),Catalog!B:B),"")</f>
        <v>COV PLATE SOCKET IP44 90634TPM</v>
      </c>
      <c r="E28">
        <v>2</v>
      </c>
    </row>
    <row r="29" spans="2:11" x14ac:dyDescent="0.25">
      <c r="B29" t="s">
        <v>4857</v>
      </c>
      <c r="C29">
        <v>4116</v>
      </c>
      <c r="D29" s="3" t="str" cm="1">
        <f t="array" ref="D29">IFERROR(_xlfn.XLOOKUP(TEXT(C29,"0000"),TEXT(Catalog!A:A,"0000"),Catalog!B:B),"")</f>
        <v xml:space="preserve">WATERPROOF FRAME IP 44  90961 </v>
      </c>
      <c r="E29">
        <v>5</v>
      </c>
    </row>
    <row r="30" spans="2:11" x14ac:dyDescent="0.25">
      <c r="B30" t="s">
        <v>4857</v>
      </c>
      <c r="C30">
        <v>4119</v>
      </c>
      <c r="D30" s="3" t="str" cm="1">
        <f t="array" ref="D30">IFERROR(_xlfn.XLOOKUP(TEXT(C30,"0000"),TEXT(Catalog!A:A,"0000"),Catalog!B:B),"")</f>
        <v xml:space="preserve">SURFACE MOUNTINGBOX 10976 ABR </v>
      </c>
      <c r="E30">
        <v>4</v>
      </c>
    </row>
    <row r="31" spans="2:11" x14ac:dyDescent="0.25">
      <c r="B31" t="s">
        <v>4857</v>
      </c>
      <c r="C31" s="16">
        <v>4118</v>
      </c>
      <c r="D31" s="3" t="str" cm="1">
        <f t="array" ref="D31">IFERROR(_xlfn.XLOOKUP(TEXT(C31,"0000"),TEXT(Catalog!A:A,"0000"),Catalog!B:B),"")</f>
        <v xml:space="preserve">COVER PLATE  DBL USB CHA90673 </v>
      </c>
    </row>
    <row r="32" spans="2:11" x14ac:dyDescent="0.25">
      <c r="B32" t="s">
        <v>4857</v>
      </c>
      <c r="C32" s="18">
        <v>4156</v>
      </c>
      <c r="D32" s="3" t="str" cm="1">
        <f t="array" ref="D32">IFERROR(_xlfn.XLOOKUP(TEXT(C32,"0000"),TEXT(Catalog!A:A,"0000"),Catalog!B:B),"")</f>
        <v xml:space="preserve">COV PLATE FOR USB 90673 TPM   </v>
      </c>
      <c r="E32">
        <v>24</v>
      </c>
    </row>
    <row r="33" spans="2:11" x14ac:dyDescent="0.25">
      <c r="B33" t="s">
        <v>4857</v>
      </c>
      <c r="C33">
        <v>8021</v>
      </c>
      <c r="D33" s="3" t="str" cm="1">
        <f t="array" ref="D33">IFERROR(_xlfn.XLOOKUP(TEXT(C33,"0000"),TEXT(Catalog!A:A,"0000"),Catalog!B:B),"")</f>
        <v>CMH100/TT/UVC/730/E40 SKU 7739</v>
      </c>
      <c r="E33">
        <v>3</v>
      </c>
    </row>
    <row r="34" spans="2:11" x14ac:dyDescent="0.25">
      <c r="B34" t="s">
        <v>4857</v>
      </c>
      <c r="C34">
        <v>15142</v>
      </c>
      <c r="D34" s="3" t="str" cm="1">
        <f t="array" ref="D34">IFERROR(_xlfn.XLOOKUP(TEXT(C34,"0000"),TEXT(Catalog!A:A,"0000"),Catalog!B:B),"")</f>
        <v xml:space="preserve">OPBOUW KAST WD CSG13PT/RR     </v>
      </c>
      <c r="E34">
        <v>6</v>
      </c>
    </row>
    <row r="35" spans="2:11" x14ac:dyDescent="0.25">
      <c r="B35" t="s">
        <v>4857</v>
      </c>
      <c r="C35">
        <v>3997</v>
      </c>
      <c r="D35" s="3" t="str" cm="1">
        <f t="array" ref="D35">IFERROR(_xlfn.XLOOKUP(TEXT(C35,"0000"),TEXT(Catalog!A:A,"0000"),Catalog!B:B),"")</f>
        <v xml:space="preserve">SPEED CONTROLLER 21219        </v>
      </c>
      <c r="E35">
        <v>13</v>
      </c>
    </row>
    <row r="37" spans="2:11" ht="24" x14ac:dyDescent="0.4">
      <c r="B37" s="42" t="s">
        <v>4557</v>
      </c>
      <c r="C37" s="42"/>
      <c r="D37" s="42"/>
      <c r="E37" s="42"/>
      <c r="F37" s="42"/>
      <c r="G37" s="42"/>
      <c r="H37" s="42"/>
      <c r="I37" s="43" t="s">
        <v>4459</v>
      </c>
      <c r="J37" s="13" t="s">
        <v>4432</v>
      </c>
      <c r="K37" s="44" t="s">
        <v>4460</v>
      </c>
    </row>
    <row r="38" spans="2:11" ht="18.75" x14ac:dyDescent="0.3">
      <c r="B38" s="11" t="s">
        <v>4445</v>
      </c>
      <c r="C38" s="11" t="s">
        <v>4433</v>
      </c>
      <c r="D38" s="11" t="s">
        <v>4434</v>
      </c>
      <c r="E38" s="11" t="s">
        <v>4435</v>
      </c>
      <c r="F38" s="11" t="s">
        <v>4436</v>
      </c>
      <c r="G38" s="11" t="s">
        <v>4444</v>
      </c>
      <c r="H38" s="11" t="s">
        <v>4436</v>
      </c>
      <c r="I38" s="43"/>
      <c r="J38" s="11" t="s">
        <v>4447</v>
      </c>
      <c r="K38" s="44"/>
    </row>
    <row r="39" spans="2:11" x14ac:dyDescent="0.25">
      <c r="B39" t="s">
        <v>4857</v>
      </c>
      <c r="C39" s="7">
        <v>4209</v>
      </c>
      <c r="D39" s="3" t="str" cm="1">
        <f t="array" ref="D39">IFERROR(_xlfn.XLOOKUP(TEXT(C39,"0000"),TEXT(Catalog!A:A,"0000"),Catalog!B:B),"")</f>
        <v xml:space="preserve">KABELGOOT 75X20MM 10140 CBR   </v>
      </c>
      <c r="E39">
        <v>6</v>
      </c>
      <c r="F39">
        <v>11</v>
      </c>
    </row>
    <row r="40" spans="2:11" x14ac:dyDescent="0.25">
      <c r="B40" t="s">
        <v>4857</v>
      </c>
      <c r="C40" s="7">
        <v>4212</v>
      </c>
      <c r="D40" s="3" t="str" cm="1">
        <f t="array" ref="D40">IFERROR(_xlfn.XLOOKUP(TEXT(C40,"0000"),TEXT(Catalog!A:A,"0000"),Catalog!B:B),"")</f>
        <v xml:space="preserve">KABELGOOT 90X50MM 10180 RBR   </v>
      </c>
      <c r="E40">
        <v>1</v>
      </c>
    </row>
    <row r="41" spans="2:11" x14ac:dyDescent="0.25">
      <c r="B41" t="s">
        <v>4857</v>
      </c>
      <c r="C41" s="7">
        <v>4213</v>
      </c>
      <c r="D41" s="3" t="str" cm="1">
        <f t="array" ref="D41">IFERROR(_xlfn.XLOOKUP(TEXT(C41,"0000"),TEXT(Catalog!A:A,"0000"),Catalog!B:B),"")</f>
        <v xml:space="preserve">KABELGOOT 180X50MM 10290 RBR  </v>
      </c>
      <c r="E41">
        <v>13</v>
      </c>
    </row>
    <row r="42" spans="2:11" x14ac:dyDescent="0.25">
      <c r="B42" t="s">
        <v>4857</v>
      </c>
      <c r="C42" s="7">
        <v>4260</v>
      </c>
      <c r="D42" s="3" t="str" cm="1">
        <f t="array" ref="D42">IFERROR(_xlfn.XLOOKUP(TEXT(C42,"0000"),TEXT(Catalog!A:A,"0000"),Catalog!B:B),"")</f>
        <v xml:space="preserve">VERLENG 110X50MM 10094 RBR    </v>
      </c>
      <c r="F42">
        <v>13</v>
      </c>
    </row>
    <row r="43" spans="2:11" x14ac:dyDescent="0.25">
      <c r="B43" t="s">
        <v>4857</v>
      </c>
      <c r="C43" s="24">
        <v>1496</v>
      </c>
      <c r="D43" s="3" t="str" cm="1">
        <f t="array" ref="D43">IFERROR(_xlfn.XLOOKUP(TEXT(C43,"0000"),TEXT(Catalog!A:A,"0000"),Catalog!B:B),"")</f>
        <v xml:space="preserve">OPBOUW KAST 2 MOD 610090      </v>
      </c>
    </row>
    <row r="44" spans="2:11" x14ac:dyDescent="0.25">
      <c r="B44" t="s">
        <v>4857</v>
      </c>
      <c r="C44" s="25">
        <v>4211</v>
      </c>
      <c r="D44" s="3" t="str" cm="1">
        <f t="array" ref="D44">IFERROR(_xlfn.XLOOKUP(TEXT(C44,"0000"),TEXT(Catalog!A:A,"0000"),Catalog!B:B),"")</f>
        <v xml:space="preserve">KABELGOOT 110X50MM 10090RBR   </v>
      </c>
      <c r="E44">
        <v>2</v>
      </c>
    </row>
    <row r="45" spans="2:11" x14ac:dyDescent="0.25">
      <c r="B45" t="s">
        <v>4857</v>
      </c>
      <c r="C45" s="7">
        <v>4210</v>
      </c>
      <c r="D45" s="3" t="str" cm="1">
        <f t="array" ref="D45">IFERROR(_xlfn.XLOOKUP(TEXT(C45,"0000"),TEXT(Catalog!A:A,"0000"),Catalog!B:B),"")</f>
        <v xml:space="preserve">KABELGOOT 110X34MM 10080 RBR  </v>
      </c>
      <c r="E45">
        <v>5</v>
      </c>
    </row>
    <row r="46" spans="2:11" x14ac:dyDescent="0.25">
      <c r="B46" t="s">
        <v>4857</v>
      </c>
      <c r="C46" s="7">
        <v>4201</v>
      </c>
      <c r="D46" s="3" t="str" cm="1">
        <f t="array" ref="D46">IFERROR(_xlfn.XLOOKUP(TEXT(C46,"0000"),TEXT(Catalog!A:A,"0000"),Catalog!B:B),"")</f>
        <v xml:space="preserve">KABELGOOT 16X10MM 10020 FBR   </v>
      </c>
      <c r="E46">
        <v>1</v>
      </c>
      <c r="F46">
        <v>56</v>
      </c>
    </row>
    <row r="47" spans="2:11" x14ac:dyDescent="0.25">
      <c r="B47" t="s">
        <v>4857</v>
      </c>
      <c r="C47" s="7">
        <v>4207</v>
      </c>
      <c r="D47" s="3" t="str" cm="1">
        <f t="array" ref="D47">IFERROR(_xlfn.XLOOKUP(TEXT(C47,"0000"),TEXT(Catalog!A:A,"0000"),Catalog!B:B),"")</f>
        <v xml:space="preserve">KABELGOOT 50X20MM 10500 CBR   </v>
      </c>
      <c r="E47">
        <v>2</v>
      </c>
      <c r="F47">
        <v>6</v>
      </c>
    </row>
    <row r="48" spans="2:11" x14ac:dyDescent="0.25">
      <c r="B48" t="s">
        <v>4857</v>
      </c>
      <c r="C48" s="6" t="s">
        <v>4858</v>
      </c>
      <c r="D48" s="3" t="str" cm="1">
        <f t="array" ref="D48">IFERROR(_xlfn.XLOOKUP(TEXT(C48,"0000"),TEXT(Catalog!A:A,"0000"),Catalog!B:B),"")</f>
        <v xml:space="preserve">KABELGOOT 70x40 mm            </v>
      </c>
      <c r="E48">
        <v>5</v>
      </c>
      <c r="F48">
        <v>4</v>
      </c>
    </row>
    <row r="49" spans="2:11" x14ac:dyDescent="0.25">
      <c r="B49" t="s">
        <v>4857</v>
      </c>
      <c r="C49" s="6" t="s">
        <v>4859</v>
      </c>
      <c r="D49" s="3" t="str" cm="1">
        <f t="array" ref="D49">IFERROR(_xlfn.XLOOKUP(TEXT(C49,"0000"),TEXT(Catalog!A:A,"0000"),Catalog!B:B),"")</f>
        <v xml:space="preserve">KABELGOOT  DEKSEL70x40 mm     </v>
      </c>
      <c r="E49">
        <v>5</v>
      </c>
      <c r="F49">
        <v>4</v>
      </c>
    </row>
    <row r="50" spans="2:11" x14ac:dyDescent="0.25">
      <c r="B50" t="s">
        <v>4857</v>
      </c>
      <c r="C50" s="6" t="s">
        <v>4860</v>
      </c>
      <c r="D50" s="3" t="str" cm="1">
        <f t="array" ref="D50">IFERROR(_xlfn.XLOOKUP(TEXT(C50,"0000"),TEXT(Catalog!A:A,"0000"),Catalog!B:B),"")</f>
        <v xml:space="preserve">KABELGOOT 70x60 mm            </v>
      </c>
      <c r="E50">
        <v>7</v>
      </c>
    </row>
    <row r="51" spans="2:11" x14ac:dyDescent="0.25">
      <c r="B51" t="s">
        <v>4857</v>
      </c>
      <c r="C51" s="6" t="s">
        <v>4861</v>
      </c>
      <c r="D51" s="3" t="str" cm="1">
        <f t="array" ref="D51">IFERROR(_xlfn.XLOOKUP(TEXT(C51,"0000"),TEXT(Catalog!A:A,"0000"),Catalog!B:B),"")</f>
        <v xml:space="preserve">KABELGOOT DEKSEL 70x60 mm     </v>
      </c>
      <c r="E51">
        <v>6</v>
      </c>
      <c r="F51">
        <v>10</v>
      </c>
    </row>
    <row r="52" spans="2:11" x14ac:dyDescent="0.25">
      <c r="B52" t="s">
        <v>4857</v>
      </c>
      <c r="C52" s="6" t="s">
        <v>4862</v>
      </c>
      <c r="D52" s="3" t="str" cm="1">
        <f t="array" ref="D52">IFERROR(_xlfn.XLOOKUP(TEXT(C52,"0000"),TEXT(Catalog!A:A,"0000"),Catalog!B:B),"")</f>
        <v xml:space="preserve">KABELGOOT 100x40 mm           </v>
      </c>
      <c r="F52">
        <v>4</v>
      </c>
    </row>
    <row r="53" spans="2:11" x14ac:dyDescent="0.25">
      <c r="B53" t="s">
        <v>4857</v>
      </c>
      <c r="C53" s="6" t="s">
        <v>4863</v>
      </c>
      <c r="D53" s="3" t="str" cm="1">
        <f t="array" ref="D53">IFERROR(_xlfn.XLOOKUP(TEXT(C53,"0000"),TEXT(Catalog!A:A,"0000"),Catalog!B:B),"")</f>
        <v xml:space="preserve">KABELGOOT 100x60 mm           </v>
      </c>
      <c r="E53">
        <v>2</v>
      </c>
      <c r="F53">
        <v>1</v>
      </c>
    </row>
    <row r="54" spans="2:11" x14ac:dyDescent="0.25">
      <c r="B54" t="s">
        <v>4857</v>
      </c>
      <c r="C54" s="6" t="s">
        <v>4864</v>
      </c>
      <c r="D54" s="3" t="str" cm="1">
        <f t="array" ref="D54">IFERROR(_xlfn.XLOOKUP(TEXT(C54,"0000"),TEXT(Catalog!A:A,"0000"),Catalog!B:B),"")</f>
        <v xml:space="preserve">KABELGOOT DEKSEL 100x60 mm    </v>
      </c>
      <c r="E54" t="s">
        <v>4868</v>
      </c>
      <c r="F54">
        <v>3</v>
      </c>
    </row>
    <row r="55" spans="2:11" x14ac:dyDescent="0.25">
      <c r="B55" t="s">
        <v>4857</v>
      </c>
      <c r="C55" s="6">
        <v>4200</v>
      </c>
      <c r="D55" s="3" t="str" cm="1">
        <f t="array" ref="D55">IFERROR(_xlfn.XLOOKUP(TEXT(C55,"0000"),TEXT(Catalog!A:A,"0000"),Catalog!B:B),"")</f>
        <v xml:space="preserve">KABELGOOT 12x7MM 10010 FBR    </v>
      </c>
      <c r="E55">
        <v>3</v>
      </c>
    </row>
    <row r="56" spans="2:11" x14ac:dyDescent="0.25">
      <c r="B56" t="s">
        <v>4857</v>
      </c>
      <c r="C56" s="6" t="s">
        <v>4865</v>
      </c>
      <c r="D56" s="3" t="str" cm="1">
        <f t="array" ref="D56">IFERROR(_xlfn.XLOOKUP(TEXT(C56,"0000"),TEXT(Catalog!A:A,"0000"),Catalog!B:B),"")</f>
        <v xml:space="preserve">KABELGOOT 10x8 mm             </v>
      </c>
      <c r="F56">
        <v>113</v>
      </c>
    </row>
    <row r="57" spans="2:11" x14ac:dyDescent="0.25">
      <c r="B57" t="s">
        <v>4857</v>
      </c>
      <c r="C57" s="6" t="s">
        <v>4866</v>
      </c>
      <c r="D57" s="3" t="str" cm="1">
        <f t="array" ref="D57">IFERROR(_xlfn.XLOOKUP(TEXT(C57,"0000"),TEXT(Catalog!A:A,"0000"),Catalog!B:B),"")</f>
        <v xml:space="preserve">KABELGOOT 60x40 mm            </v>
      </c>
      <c r="F57">
        <v>1</v>
      </c>
    </row>
    <row r="58" spans="2:11" x14ac:dyDescent="0.25">
      <c r="B58" t="s">
        <v>4857</v>
      </c>
      <c r="C58" s="7">
        <v>4201</v>
      </c>
      <c r="D58" s="3" t="str" cm="1">
        <f t="array" ref="D58">IFERROR(_xlfn.XLOOKUP(TEXT(C58,"0000"),TEXT(Catalog!A:A,"0000"),Catalog!B:B),"")</f>
        <v xml:space="preserve">KABELGOOT 16X10MM 10020 FBR   </v>
      </c>
      <c r="E58">
        <v>2</v>
      </c>
      <c r="F58">
        <v>38</v>
      </c>
    </row>
    <row r="59" spans="2:11" x14ac:dyDescent="0.25">
      <c r="B59" t="s">
        <v>4857</v>
      </c>
      <c r="C59" s="6" t="s">
        <v>4867</v>
      </c>
      <c r="D59" s="3" t="str" cm="1">
        <f t="array" ref="D59">IFERROR(_xlfn.XLOOKUP(TEXT(C59,"0000"),TEXT(Catalog!A:A,"0000"),Catalog!B:B),"")</f>
        <v xml:space="preserve">KABEL YMvK 3G2.5mm rol/100mtr </v>
      </c>
      <c r="E59">
        <v>11</v>
      </c>
    </row>
    <row r="61" spans="2:11" ht="24" x14ac:dyDescent="0.4">
      <c r="B61" s="42" t="s">
        <v>4513</v>
      </c>
      <c r="C61" s="42"/>
      <c r="D61" s="42"/>
      <c r="E61" s="42"/>
      <c r="F61" s="42"/>
      <c r="G61" s="42"/>
      <c r="H61" s="42"/>
      <c r="I61" s="43" t="s">
        <v>4459</v>
      </c>
      <c r="J61" s="13" t="s">
        <v>4432</v>
      </c>
      <c r="K61" s="44" t="s">
        <v>4460</v>
      </c>
    </row>
    <row r="62" spans="2:11" ht="18.75" x14ac:dyDescent="0.3">
      <c r="B62" s="11" t="s">
        <v>4445</v>
      </c>
      <c r="C62" s="11" t="s">
        <v>4433</v>
      </c>
      <c r="D62" s="11" t="s">
        <v>4434</v>
      </c>
      <c r="E62" s="11" t="s">
        <v>4435</v>
      </c>
      <c r="F62" s="11" t="s">
        <v>4436</v>
      </c>
      <c r="G62" s="11" t="s">
        <v>4444</v>
      </c>
      <c r="H62" s="11" t="s">
        <v>4436</v>
      </c>
      <c r="I62" s="43"/>
      <c r="J62" s="11" t="s">
        <v>4447</v>
      </c>
      <c r="K62" s="44"/>
    </row>
    <row r="63" spans="2:11" x14ac:dyDescent="0.25">
      <c r="B63" t="s">
        <v>4857</v>
      </c>
      <c r="C63">
        <v>3319</v>
      </c>
      <c r="D63" s="3" t="str" cm="1">
        <f t="array" ref="D63">IFERROR(_xlfn.XLOOKUP(TEXT(C63,"0000"),TEXT(Catalog!A:A,"0000"),Catalog!B:B),"")</f>
        <v xml:space="preserve">PICKENS RFTL 100W 6500K UFO   </v>
      </c>
      <c r="E63">
        <v>16</v>
      </c>
      <c r="F63">
        <v>3</v>
      </c>
    </row>
    <row r="64" spans="2:11" x14ac:dyDescent="0.25">
      <c r="B64" t="s">
        <v>4857</v>
      </c>
      <c r="C64" s="6" t="s">
        <v>4867</v>
      </c>
      <c r="D64" s="3" t="str" cm="1">
        <f t="array" ref="D64">IFERROR(_xlfn.XLOOKUP(TEXT(C64,"0000"),TEXT(Catalog!A:A,"0000"),Catalog!B:B),"")</f>
        <v xml:space="preserve">KABEL YMvK 3G2.5mm rol/100mtr </v>
      </c>
      <c r="E64" s="8"/>
    </row>
    <row r="65" spans="2:11" x14ac:dyDescent="0.25">
      <c r="D65" t="s">
        <v>4869</v>
      </c>
    </row>
    <row r="67" spans="2:11" ht="24" x14ac:dyDescent="0.4">
      <c r="B67" s="42" t="s">
        <v>4870</v>
      </c>
      <c r="C67" s="42"/>
      <c r="D67" s="42"/>
      <c r="E67" s="42"/>
      <c r="F67" s="42"/>
      <c r="G67" s="42"/>
      <c r="H67" s="42"/>
      <c r="I67" s="43" t="s">
        <v>4459</v>
      </c>
      <c r="J67" s="13" t="s">
        <v>4432</v>
      </c>
      <c r="K67" s="44" t="s">
        <v>4460</v>
      </c>
    </row>
    <row r="68" spans="2:11" ht="18.75" x14ac:dyDescent="0.3">
      <c r="B68" s="11" t="s">
        <v>4445</v>
      </c>
      <c r="C68" s="11" t="s">
        <v>4433</v>
      </c>
      <c r="D68" s="11" t="s">
        <v>4434</v>
      </c>
      <c r="E68" s="11" t="s">
        <v>4435</v>
      </c>
      <c r="F68" s="11" t="s">
        <v>4436</v>
      </c>
      <c r="G68" s="11" t="s">
        <v>4444</v>
      </c>
      <c r="H68" s="11" t="s">
        <v>4436</v>
      </c>
      <c r="I68" s="43"/>
      <c r="J68" s="11" t="s">
        <v>4447</v>
      </c>
      <c r="K68" s="44"/>
    </row>
    <row r="69" spans="2:11" x14ac:dyDescent="0.25">
      <c r="B69" t="s">
        <v>4871</v>
      </c>
      <c r="C69">
        <v>4001</v>
      </c>
      <c r="D69" s="3" t="str" cm="1">
        <f t="array" ref="D69">IFERROR(_xlfn.XLOOKUP(TEXT(C69,"0000"),TEXT(Catalog!A:A,"0000"),Catalog!B:B),"")</f>
        <v xml:space="preserve">TWO POLE SWITCH 21021         </v>
      </c>
      <c r="E69">
        <v>32</v>
      </c>
    </row>
    <row r="70" spans="2:11" x14ac:dyDescent="0.25">
      <c r="B70" t="s">
        <v>4871</v>
      </c>
      <c r="C70">
        <v>4000</v>
      </c>
      <c r="D70" s="3" t="str" cm="1">
        <f t="array" ref="D70">IFERROR(_xlfn.XLOOKUP(TEXT(C70,"0000"),TEXT(Catalog!A:A,"0000"),Catalog!B:B),"")</f>
        <v xml:space="preserve">SINGEL POLE SWITCH 21011      </v>
      </c>
      <c r="E70">
        <v>18</v>
      </c>
    </row>
    <row r="71" spans="2:11" x14ac:dyDescent="0.25">
      <c r="B71" t="s">
        <v>4871</v>
      </c>
      <c r="C71">
        <v>4002</v>
      </c>
      <c r="D71" s="3" t="str" cm="1">
        <f t="array" ref="D71">IFERROR(_xlfn.XLOOKUP(TEXT(C71,"0000"),TEXT(Catalog!A:A,"0000"),Catalog!B:B),"")</f>
        <v xml:space="preserve">TWO CIRCUITS SWITCH 21061     </v>
      </c>
      <c r="E71">
        <v>17</v>
      </c>
    </row>
    <row r="72" spans="2:11" x14ac:dyDescent="0.25">
      <c r="B72" t="s">
        <v>4871</v>
      </c>
      <c r="C72">
        <v>4250</v>
      </c>
      <c r="D72" s="3" t="str" cm="1">
        <f t="array" ref="D72">IFERROR(_xlfn.XLOOKUP(TEXT(C72,"0000"),TEXT(Catalog!A:A,"0000"),Catalog!B:B),"")</f>
        <v xml:space="preserve">VLAKHOEK 180X50MM  10293  RBR </v>
      </c>
      <c r="E72">
        <v>2</v>
      </c>
    </row>
    <row r="73" spans="2:11" x14ac:dyDescent="0.25">
      <c r="B73" t="s">
        <v>4871</v>
      </c>
      <c r="C73">
        <v>4017</v>
      </c>
      <c r="D73" s="3" t="str" cm="1">
        <f t="array" ref="D73">IFERROR(_xlfn.XLOOKUP(TEXT(C73,"0000"),TEXT(Catalog!A:A,"0000"),Catalog!B:B),"")</f>
        <v xml:space="preserve">ROCKER FOR SWITCHES 70601     </v>
      </c>
      <c r="E73" t="s">
        <v>4510</v>
      </c>
    </row>
    <row r="74" spans="2:11" x14ac:dyDescent="0.25">
      <c r="B74" t="s">
        <v>4871</v>
      </c>
      <c r="C74">
        <v>4018</v>
      </c>
      <c r="D74" s="3" t="str" cm="1">
        <f t="array" ref="D74">IFERROR(_xlfn.XLOOKUP(TEXT(C74,"0000"),TEXT(Catalog!A:A,"0000"),Catalog!B:B),"")</f>
        <v xml:space="preserve">DOUBLE ROCKERS 70611          </v>
      </c>
      <c r="E74" t="s">
        <v>4511</v>
      </c>
    </row>
    <row r="75" spans="2:11" x14ac:dyDescent="0.25">
      <c r="B75" t="s">
        <v>4871</v>
      </c>
      <c r="C75">
        <v>4003</v>
      </c>
      <c r="D75" s="3" t="str" cm="1">
        <f t="array" ref="D75">IFERROR(_xlfn.XLOOKUP(TEXT(C75,"0000"),TEXT(Catalog!A:A,"0000"),Catalog!B:B),"")</f>
        <v xml:space="preserve">THREE CIRCUITS SWITCH 21088   </v>
      </c>
      <c r="E75">
        <v>5</v>
      </c>
    </row>
    <row r="76" spans="2:11" x14ac:dyDescent="0.25">
      <c r="B76" t="s">
        <v>4871</v>
      </c>
      <c r="C76">
        <v>4019</v>
      </c>
      <c r="D76" s="3" t="str" cm="1">
        <f t="array" ref="D76">IFERROR(_xlfn.XLOOKUP(TEXT(C76,"0000"),TEXT(Catalog!A:A,"0000"),Catalog!B:B),"")</f>
        <v xml:space="preserve">TRIPLE ROCKERS 70661          </v>
      </c>
      <c r="E76">
        <v>16</v>
      </c>
    </row>
    <row r="77" spans="2:11" x14ac:dyDescent="0.25">
      <c r="B77" t="s">
        <v>4871</v>
      </c>
      <c r="C77">
        <v>4005</v>
      </c>
      <c r="D77" s="3" t="str" cm="1">
        <f t="array" ref="D77">IFERROR(_xlfn.XLOOKUP(TEXT(C77,"0000"),TEXT(Catalog!A:A,"0000"),Catalog!B:B),"")</f>
        <v xml:space="preserve">DOUBLE TWO WAY SWITCH 21101   </v>
      </c>
      <c r="E77">
        <v>11</v>
      </c>
    </row>
    <row r="78" spans="2:11" x14ac:dyDescent="0.25">
      <c r="B78" t="s">
        <v>4871</v>
      </c>
      <c r="D78">
        <v>21384</v>
      </c>
      <c r="E78">
        <v>2</v>
      </c>
      <c r="K78" t="s">
        <v>4875</v>
      </c>
    </row>
    <row r="79" spans="2:11" x14ac:dyDescent="0.25">
      <c r="B79" t="s">
        <v>4871</v>
      </c>
      <c r="C79">
        <v>4058</v>
      </c>
      <c r="D79" s="3" t="str" cm="1">
        <f t="array" ref="D79">IFERROR(_xlfn.XLOOKUP(TEXT(C79,"0000"),TEXT(Catalog!A:A,"0000"),Catalog!B:B),"")</f>
        <v>COVER PLATE DBL USB CHAR 70673</v>
      </c>
      <c r="E79">
        <v>20</v>
      </c>
    </row>
    <row r="80" spans="2:11" x14ac:dyDescent="0.25">
      <c r="B80" t="s">
        <v>4871</v>
      </c>
      <c r="C80">
        <v>3998</v>
      </c>
      <c r="D80" s="3" t="str" cm="1">
        <f t="array" ref="D80">IFERROR(_xlfn.XLOOKUP(TEXT(C80,"0000"),TEXT(Catalog!A:A,"0000"),Catalog!B:B),"")</f>
        <v>ELECTRONIC DIMMER 150W 21215-1</v>
      </c>
      <c r="E80">
        <v>5</v>
      </c>
    </row>
    <row r="81" spans="2:11" x14ac:dyDescent="0.25">
      <c r="B81" t="s">
        <v>4871</v>
      </c>
      <c r="C81">
        <v>4013</v>
      </c>
      <c r="D81" s="3" t="str" cm="1">
        <f t="array" ref="D81">IFERROR(_xlfn.XLOOKUP(TEXT(C81,"0000"),TEXT(Catalog!A:A,"0000"),Catalog!B:B),"")</f>
        <v>RJ 45 CAT6 UTP CONNECTOR 21978</v>
      </c>
      <c r="E81">
        <v>1</v>
      </c>
      <c r="F81">
        <v>2</v>
      </c>
    </row>
    <row r="82" spans="2:11" x14ac:dyDescent="0.25">
      <c r="B82" t="s">
        <v>4871</v>
      </c>
      <c r="C82">
        <v>4037</v>
      </c>
      <c r="D82" s="3" t="str" cm="1">
        <f t="array" ref="D82">IFERROR(_xlfn.XLOOKUP(TEXT(C82,"0000"),TEXT(Catalog!A:A,"0000"),Catalog!B:B),"")</f>
        <v xml:space="preserve">COVER PLATE MOTION  70401 TBR </v>
      </c>
      <c r="E82">
        <v>22</v>
      </c>
    </row>
    <row r="83" spans="2:11" x14ac:dyDescent="0.25">
      <c r="B83" t="s">
        <v>4871</v>
      </c>
      <c r="C83">
        <v>4030</v>
      </c>
      <c r="D83" s="3" t="str" cm="1">
        <f t="array" ref="D83">IFERROR(_xlfn.XLOOKUP(TEXT(C83,"0000"),TEXT(Catalog!A:A,"0000"),Catalog!B:B),"")</f>
        <v xml:space="preserve"> SURFACE MOUNTING BOX 10975   </v>
      </c>
      <c r="E83">
        <v>8</v>
      </c>
    </row>
    <row r="84" spans="2:11" x14ac:dyDescent="0.25">
      <c r="D84" t="s">
        <v>4873</v>
      </c>
    </row>
    <row r="85" spans="2:11" x14ac:dyDescent="0.25">
      <c r="D85" t="s">
        <v>4874</v>
      </c>
    </row>
    <row r="89" spans="2:11" ht="24" x14ac:dyDescent="0.4">
      <c r="B89" s="42" t="s">
        <v>4872</v>
      </c>
      <c r="C89" s="42"/>
      <c r="D89" s="42"/>
      <c r="E89" s="42"/>
      <c r="F89" s="42"/>
      <c r="G89" s="42"/>
      <c r="H89" s="42"/>
      <c r="I89" s="43" t="s">
        <v>4459</v>
      </c>
      <c r="J89" s="13" t="s">
        <v>4432</v>
      </c>
      <c r="K89" s="44" t="s">
        <v>4460</v>
      </c>
    </row>
    <row r="90" spans="2:11" ht="18.75" x14ac:dyDescent="0.3">
      <c r="B90" s="11" t="s">
        <v>4445</v>
      </c>
      <c r="C90" s="11" t="s">
        <v>4433</v>
      </c>
      <c r="D90" s="11" t="s">
        <v>4434</v>
      </c>
      <c r="E90" s="11" t="s">
        <v>4435</v>
      </c>
      <c r="F90" s="11" t="s">
        <v>4436</v>
      </c>
      <c r="G90" s="11" t="s">
        <v>4444</v>
      </c>
      <c r="H90" s="11" t="s">
        <v>4436</v>
      </c>
      <c r="I90" s="43"/>
      <c r="J90" s="11" t="s">
        <v>4447</v>
      </c>
      <c r="K90" s="44"/>
    </row>
    <row r="91" spans="2:11" x14ac:dyDescent="0.25">
      <c r="B91" t="s">
        <v>4871</v>
      </c>
      <c r="C91">
        <v>4023</v>
      </c>
      <c r="D91" s="3" t="str" cm="1">
        <f t="array" ref="D91">IFERROR(_xlfn.XLOOKUP(TEXT(C91,"0000"),TEXT(Catalog!A:A,"0000"),Catalog!B:B),"")</f>
        <v xml:space="preserve"> COV PL  EARTH SOCK USA 70843 </v>
      </c>
      <c r="E91">
        <v>25</v>
      </c>
    </row>
    <row r="92" spans="2:11" x14ac:dyDescent="0.25">
      <c r="B92" t="s">
        <v>4871</v>
      </c>
      <c r="C92">
        <v>4028</v>
      </c>
      <c r="D92" s="3" t="str" cm="1">
        <f t="array" ref="D92">IFERROR(_xlfn.XLOOKUP(TEXT(C92,"0000"),TEXT(Catalog!A:A,"0000"),Catalog!B:B),"")</f>
        <v xml:space="preserve">BLIND COVER PLATE 70677       </v>
      </c>
      <c r="E92">
        <v>40</v>
      </c>
    </row>
    <row r="93" spans="2:11" x14ac:dyDescent="0.25">
      <c r="B93" t="s">
        <v>4871</v>
      </c>
      <c r="C93">
        <v>4009</v>
      </c>
      <c r="D93" s="3" t="str" cm="1">
        <f t="array" ref="D93">IFERROR(_xlfn.XLOOKUP(TEXT(C93,"0000"),TEXT(Catalog!A:A,"0000"),Catalog!B:B),"")</f>
        <v>EARTH SOCKET ( USA TYPE) 21143</v>
      </c>
      <c r="E93">
        <v>12</v>
      </c>
    </row>
    <row r="94" spans="2:11" x14ac:dyDescent="0.25">
      <c r="B94" t="s">
        <v>4871</v>
      </c>
      <c r="C94" s="16"/>
      <c r="E94">
        <v>1</v>
      </c>
      <c r="J94" s="16"/>
      <c r="K94" t="s">
        <v>4876</v>
      </c>
    </row>
    <row r="95" spans="2:11" x14ac:dyDescent="0.25">
      <c r="B95" t="s">
        <v>4871</v>
      </c>
      <c r="C95" s="18">
        <v>4007</v>
      </c>
      <c r="D95" s="3" t="str" cm="1">
        <f t="array" ref="D95">IFERROR(_xlfn.XLOOKUP(TEXT(C95,"0000"),TEXT(Catalog!A:A,"0000"),Catalog!B:B),"")</f>
        <v xml:space="preserve"> DIMMER/ 2 WAY 320 WRC 21217  </v>
      </c>
      <c r="E95">
        <v>13</v>
      </c>
      <c r="J95" s="18">
        <v>17</v>
      </c>
      <c r="K95">
        <v>21217</v>
      </c>
    </row>
    <row r="96" spans="2:11" x14ac:dyDescent="0.25">
      <c r="B96" t="s">
        <v>4871</v>
      </c>
      <c r="C96">
        <v>4021</v>
      </c>
      <c r="D96" s="3" t="str" cm="1">
        <f t="array" ref="D96">IFERROR(_xlfn.XLOOKUP(TEXT(C96,"0000"),TEXT(Catalog!A:A,"0000"),Catalog!B:B),"")</f>
        <v xml:space="preserve">COVER PLATE  DIMMER 70721     </v>
      </c>
      <c r="E96">
        <v>19</v>
      </c>
    </row>
    <row r="97" spans="2:5" x14ac:dyDescent="0.25">
      <c r="B97" t="s">
        <v>4871</v>
      </c>
      <c r="C97">
        <v>4020</v>
      </c>
      <c r="D97" s="3" t="str" cm="1">
        <f t="array" ref="D97">IFERROR(_xlfn.XLOOKUP(TEXT(C97,"0000"),TEXT(Catalog!A:A,"0000"),Catalog!B:B),"")</f>
        <v xml:space="preserve">COV PLATE  PULL CORD 70741    </v>
      </c>
      <c r="E97">
        <v>11</v>
      </c>
    </row>
    <row r="98" spans="2:5" x14ac:dyDescent="0.25">
      <c r="B98" t="s">
        <v>4871</v>
      </c>
      <c r="C98">
        <v>4012</v>
      </c>
      <c r="D98" s="3" t="str" cm="1">
        <f t="array" ref="D98">IFERROR(_xlfn.XLOOKUP(TEXT(C98,"0000"),TEXT(Catalog!A:A,"0000"),Catalog!B:B),"")</f>
        <v>RJ 45 CAT 5 E UTP SOCKET 21453</v>
      </c>
      <c r="E98">
        <v>10</v>
      </c>
    </row>
    <row r="99" spans="2:5" x14ac:dyDescent="0.25">
      <c r="B99" t="s">
        <v>4871</v>
      </c>
      <c r="C99">
        <v>4011</v>
      </c>
      <c r="D99" s="3" t="str" cm="1">
        <f t="array" ref="D99">IFERROR(_xlfn.XLOOKUP(TEXT(C99,"0000"),TEXT(Catalog!A:A,"0000"),Catalog!B:B),"")</f>
        <v xml:space="preserve">RJ 45 CAT 6 UTP  SOCKET 21455 </v>
      </c>
      <c r="E99">
        <v>5</v>
      </c>
    </row>
    <row r="100" spans="2:5" x14ac:dyDescent="0.25">
      <c r="B100" t="s">
        <v>4871</v>
      </c>
      <c r="C100">
        <v>4025</v>
      </c>
      <c r="D100" s="3" t="str" cm="1">
        <f t="array" ref="D100">IFERROR(_xlfn.XLOOKUP(TEXT(C100,"0000"),TEXT(Catalog!A:A,"0000"),Catalog!B:B),"")</f>
        <v>COVER PLATE  SINGLE RJ45 70751</v>
      </c>
      <c r="E100">
        <v>6</v>
      </c>
    </row>
    <row r="101" spans="2:5" x14ac:dyDescent="0.25">
      <c r="B101" t="s">
        <v>4871</v>
      </c>
      <c r="C101">
        <v>4015</v>
      </c>
      <c r="D101" s="3" t="str" cm="1">
        <f t="array" ref="D101">IFERROR(_xlfn.XLOOKUP(TEXT(C101,"0000"),TEXT(Catalog!A:A,"0000"),Catalog!B:B),"")</f>
        <v xml:space="preserve">TELEPHONE SOCKET 21252        </v>
      </c>
      <c r="E101">
        <v>10</v>
      </c>
    </row>
    <row r="102" spans="2:5" x14ac:dyDescent="0.25">
      <c r="B102" t="s">
        <v>4871</v>
      </c>
      <c r="C102">
        <v>4027</v>
      </c>
      <c r="D102" s="3" t="str" cm="1">
        <f t="array" ref="D102">IFERROR(_xlfn.XLOOKUP(TEXT(C102,"0000"),TEXT(Catalog!A:A,"0000"),Catalog!B:B),"")</f>
        <v xml:space="preserve">COVER PLATE  TELEPHONE 70712  </v>
      </c>
      <c r="E102">
        <v>4</v>
      </c>
    </row>
    <row r="103" spans="2:5" x14ac:dyDescent="0.25">
      <c r="B103" t="s">
        <v>4871</v>
      </c>
      <c r="C103">
        <v>4026</v>
      </c>
      <c r="D103" s="3" t="str" cm="1">
        <f t="array" ref="D103">IFERROR(_xlfn.XLOOKUP(TEXT(C103,"0000"),TEXT(Catalog!A:A,"0000"),Catalog!B:B),"")</f>
        <v xml:space="preserve">COVER RING WITH DOUBLE 70442  </v>
      </c>
      <c r="E103">
        <v>65</v>
      </c>
    </row>
    <row r="104" spans="2:5" x14ac:dyDescent="0.25">
      <c r="B104" t="s">
        <v>4871</v>
      </c>
      <c r="C104">
        <v>4031</v>
      </c>
      <c r="D104" s="3" t="str" cm="1">
        <f t="array" ref="D104">IFERROR(_xlfn.XLOOKUP(TEXT(C104,"0000"),TEXT(Catalog!A:A,"0000"),Catalog!B:B),"")</f>
        <v xml:space="preserve">SINGLE FRAME 70910            </v>
      </c>
      <c r="E104" t="s">
        <v>4511</v>
      </c>
    </row>
    <row r="105" spans="2:5" x14ac:dyDescent="0.25">
      <c r="B105" t="s">
        <v>4871</v>
      </c>
      <c r="C105">
        <v>4032</v>
      </c>
      <c r="D105" s="3" t="str" cm="1">
        <f t="array" ref="D105">IFERROR(_xlfn.XLOOKUP(TEXT(C105,"0000"),TEXT(Catalog!A:A,"0000"),Catalog!B:B),"")</f>
        <v xml:space="preserve">DOUBLE HORIZONTAL FRAME 70921 </v>
      </c>
      <c r="E105">
        <v>13</v>
      </c>
    </row>
    <row r="106" spans="2:5" x14ac:dyDescent="0.25">
      <c r="B106" t="s">
        <v>4871</v>
      </c>
      <c r="C106">
        <v>4033</v>
      </c>
      <c r="D106" s="3" t="str" cm="1">
        <f t="array" ref="D106">IFERROR(_xlfn.XLOOKUP(TEXT(C106,"0000"),TEXT(Catalog!A:A,"0000"),Catalog!B:B),"")</f>
        <v xml:space="preserve">TRIPLE HORIZONTAL FRAME 70931 </v>
      </c>
      <c r="E106">
        <v>36</v>
      </c>
    </row>
    <row r="107" spans="2:5" x14ac:dyDescent="0.25">
      <c r="B107" t="s">
        <v>4871</v>
      </c>
      <c r="C107">
        <v>4034</v>
      </c>
      <c r="D107" s="3" t="str" cm="1">
        <f t="array" ref="D107">IFERROR(_xlfn.XLOOKUP(TEXT(C107,"0000"),TEXT(Catalog!A:A,"0000"),Catalog!B:B),"")</f>
        <v>4- GANG HORIZONTAL FRAME 70941</v>
      </c>
      <c r="E107">
        <f>38+38+3</f>
        <v>79</v>
      </c>
    </row>
    <row r="108" spans="2:5" x14ac:dyDescent="0.25">
      <c r="B108" t="s">
        <v>4871</v>
      </c>
      <c r="C108">
        <v>4011</v>
      </c>
      <c r="D108" s="3" t="str" cm="1">
        <f t="array" ref="D108">IFERROR(_xlfn.XLOOKUP(TEXT(C108,"0000"),TEXT(Catalog!A:A,"0000"),Catalog!B:B),"")</f>
        <v xml:space="preserve">RJ 45 CAT 6 UTP  SOCKET 21455 </v>
      </c>
      <c r="E108" t="s">
        <v>4511</v>
      </c>
    </row>
  </sheetData>
  <mergeCells count="19">
    <mergeCell ref="B1:I1"/>
    <mergeCell ref="B2:H2"/>
    <mergeCell ref="I2:I3"/>
    <mergeCell ref="K2:K3"/>
    <mergeCell ref="B16:H16"/>
    <mergeCell ref="I16:I17"/>
    <mergeCell ref="K16:K17"/>
    <mergeCell ref="B37:H37"/>
    <mergeCell ref="I37:I38"/>
    <mergeCell ref="K37:K38"/>
    <mergeCell ref="B61:H61"/>
    <mergeCell ref="I61:I62"/>
    <mergeCell ref="K61:K62"/>
    <mergeCell ref="B67:H67"/>
    <mergeCell ref="I67:I68"/>
    <mergeCell ref="K67:K68"/>
    <mergeCell ref="B89:H89"/>
    <mergeCell ref="I89:I90"/>
    <mergeCell ref="K89:K9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0FE67-D95C-4C66-BC7E-BB98AEB8006E}">
  <dimension ref="A1:K207"/>
  <sheetViews>
    <sheetView workbookViewId="0"/>
  </sheetViews>
  <sheetFormatPr defaultColWidth="11.42578125" defaultRowHeight="15" x14ac:dyDescent="0.25"/>
  <cols>
    <col min="2" max="2" width="12.5703125" customWidth="1"/>
    <col min="3" max="3" width="10.85546875" customWidth="1"/>
    <col min="4" max="4" width="43.140625" customWidth="1"/>
    <col min="11" max="11" width="31.140625" customWidth="1"/>
  </cols>
  <sheetData>
    <row r="1" spans="2:11" ht="30" customHeight="1" x14ac:dyDescent="0.4">
      <c r="B1" s="45" t="s">
        <v>4446</v>
      </c>
      <c r="C1" s="45"/>
      <c r="D1" s="45"/>
      <c r="E1" s="45"/>
      <c r="F1" s="45"/>
      <c r="G1" s="45"/>
      <c r="H1" s="45"/>
      <c r="I1" s="45"/>
    </row>
    <row r="2" spans="2:11" ht="24" x14ac:dyDescent="0.4">
      <c r="B2" s="35" t="s">
        <v>4513</v>
      </c>
      <c r="C2" s="36"/>
      <c r="D2" s="36"/>
      <c r="E2" s="36"/>
      <c r="F2" s="36"/>
      <c r="G2" s="36"/>
      <c r="H2" s="37"/>
      <c r="I2" s="38" t="s">
        <v>4459</v>
      </c>
      <c r="J2" s="13" t="s">
        <v>4432</v>
      </c>
      <c r="K2" s="40" t="s">
        <v>4460</v>
      </c>
    </row>
    <row r="3" spans="2:11" ht="18.75" x14ac:dyDescent="0.3">
      <c r="B3" s="11" t="s">
        <v>4445</v>
      </c>
      <c r="C3" s="11" t="s">
        <v>4433</v>
      </c>
      <c r="D3" s="11" t="s">
        <v>4434</v>
      </c>
      <c r="E3" s="11" t="s">
        <v>4435</v>
      </c>
      <c r="F3" s="11" t="s">
        <v>4436</v>
      </c>
      <c r="G3" s="11" t="s">
        <v>4444</v>
      </c>
      <c r="H3" s="11" t="s">
        <v>4436</v>
      </c>
      <c r="I3" s="39"/>
      <c r="J3" s="11" t="s">
        <v>4447</v>
      </c>
      <c r="K3" s="41"/>
    </row>
    <row r="4" spans="2:11" x14ac:dyDescent="0.25">
      <c r="B4" t="s">
        <v>4457</v>
      </c>
      <c r="C4">
        <v>1611</v>
      </c>
      <c r="D4" s="3" t="str" cm="1">
        <f t="array" ref="D4">IFERROR(_xlfn.XLOOKUP(TEXT(C4,"0000"),TEXT(Catalog!A:A,"0000"),Catalog!B:B),"")</f>
        <v xml:space="preserve">OPB.KAST OLINTHOS 2RIJ 24 PE  </v>
      </c>
      <c r="E4">
        <v>22</v>
      </c>
    </row>
    <row r="5" spans="2:11" x14ac:dyDescent="0.25">
      <c r="B5" t="s">
        <v>4457</v>
      </c>
      <c r="C5">
        <v>1612</v>
      </c>
      <c r="D5" s="3" t="str" cm="1">
        <f t="array" ref="D5">IFERROR(_xlfn.XLOOKUP(TEXT(C5,"0000"),TEXT(Catalog!A:A,"0000"),Catalog!B:B),"")</f>
        <v xml:space="preserve">OPB.KAST OLINTHOS 3RIJ 36 PE  </v>
      </c>
      <c r="E5">
        <v>2</v>
      </c>
    </row>
    <row r="6" spans="2:11" x14ac:dyDescent="0.25">
      <c r="B6" t="s">
        <v>4457</v>
      </c>
      <c r="C6">
        <v>1506</v>
      </c>
      <c r="D6" s="3" t="str" cm="1">
        <f t="array" ref="D6">IFERROR(_xlfn.XLOOKUP(TEXT(C6,"0000"),TEXT(Catalog!A:A,"0000"),Catalog!B:B),"")</f>
        <v xml:space="preserve">OPBOUWKAST 2-RIJ 36PE 610285  </v>
      </c>
      <c r="E6">
        <v>1</v>
      </c>
      <c r="K6" t="s">
        <v>4529</v>
      </c>
    </row>
    <row r="7" spans="2:11" x14ac:dyDescent="0.25">
      <c r="B7" t="s">
        <v>4457</v>
      </c>
      <c r="C7">
        <v>1511</v>
      </c>
      <c r="D7" s="3" t="str" cm="1">
        <f t="array" ref="D7">IFERROR(_xlfn.XLOOKUP(TEXT(C7,"0000"),TEXT(Catalog!A:A,"0000"),Catalog!B:B),"")</f>
        <v>INBOUWKAST 2-RIJ  28MOD 610373</v>
      </c>
      <c r="E7">
        <v>8</v>
      </c>
    </row>
    <row r="8" spans="2:11" x14ac:dyDescent="0.25">
      <c r="B8" t="s">
        <v>4457</v>
      </c>
      <c r="C8">
        <v>7196</v>
      </c>
      <c r="D8" s="3" t="str" cm="1">
        <f t="array" ref="D8">IFERROR(_xlfn.XLOOKUP(TEXT(C8,"0000"),TEXT(Catalog!A:A,"0000"),Catalog!B:B),"")</f>
        <v xml:space="preserve">INB.KAST MP56 METALBOX NG     </v>
      </c>
      <c r="E8">
        <v>4</v>
      </c>
    </row>
    <row r="9" spans="2:11" x14ac:dyDescent="0.25">
      <c r="B9" t="s">
        <v>4457</v>
      </c>
      <c r="C9">
        <v>7195</v>
      </c>
      <c r="D9" s="3" t="str" cm="1">
        <f t="array" ref="D9">IFERROR(_xlfn.XLOOKUP(TEXT(C9,"0000"),TEXT(Catalog!A:A,"0000"),Catalog!B:B),"")</f>
        <v xml:space="preserve">INB.KAST MP42 METALBOX NG     </v>
      </c>
      <c r="E9">
        <v>7</v>
      </c>
    </row>
    <row r="10" spans="2:11" x14ac:dyDescent="0.25">
      <c r="B10" t="s">
        <v>4457</v>
      </c>
      <c r="C10">
        <v>7193</v>
      </c>
      <c r="D10" s="3" t="str" cm="1">
        <f t="array" ref="D10">IFERROR(_xlfn.XLOOKUP(TEXT(C10,"0000"),TEXT(Catalog!A:A,"0000"),Catalog!B:B),"")</f>
        <v xml:space="preserve">INB.KAST MP14 METALBOX NG     </v>
      </c>
      <c r="E10">
        <v>8</v>
      </c>
    </row>
    <row r="11" spans="2:11" x14ac:dyDescent="0.25">
      <c r="D11" s="3"/>
    </row>
    <row r="12" spans="2:11" x14ac:dyDescent="0.25">
      <c r="D12" s="3"/>
    </row>
    <row r="13" spans="2:11" ht="24" x14ac:dyDescent="0.4">
      <c r="B13" s="35" t="s">
        <v>4514</v>
      </c>
      <c r="C13" s="36"/>
      <c r="D13" s="36"/>
      <c r="E13" s="36"/>
      <c r="F13" s="36"/>
      <c r="G13" s="36"/>
      <c r="H13" s="37"/>
      <c r="I13" s="38" t="s">
        <v>4459</v>
      </c>
      <c r="J13" s="13" t="s">
        <v>4432</v>
      </c>
      <c r="K13" s="40" t="s">
        <v>4460</v>
      </c>
    </row>
    <row r="14" spans="2:11" ht="18.75" x14ac:dyDescent="0.3">
      <c r="B14" s="11" t="s">
        <v>4445</v>
      </c>
      <c r="C14" s="11" t="s">
        <v>4433</v>
      </c>
      <c r="D14" s="11" t="s">
        <v>4434</v>
      </c>
      <c r="E14" s="11" t="s">
        <v>4435</v>
      </c>
      <c r="F14" s="11" t="s">
        <v>4436</v>
      </c>
      <c r="G14" s="11" t="s">
        <v>4444</v>
      </c>
      <c r="H14" s="11" t="s">
        <v>4436</v>
      </c>
      <c r="I14" s="39"/>
      <c r="J14" s="11" t="s">
        <v>4447</v>
      </c>
      <c r="K14" s="41"/>
    </row>
    <row r="15" spans="2:11" x14ac:dyDescent="0.25">
      <c r="B15" t="s">
        <v>4457</v>
      </c>
      <c r="C15">
        <v>7144</v>
      </c>
      <c r="D15" s="3" t="str" cm="1">
        <f t="array" ref="D15">IFERROR(_xlfn.XLOOKUP(TEXT(C15,"0000"),TEXT(Catalog!A:A,"0000"),Catalog!B:B),"")</f>
        <v xml:space="preserve">OPB.KAST WD 6MD R1306BR1      </v>
      </c>
      <c r="E15">
        <v>8</v>
      </c>
    </row>
    <row r="16" spans="2:11" x14ac:dyDescent="0.25">
      <c r="B16" t="s">
        <v>4457</v>
      </c>
      <c r="C16">
        <v>7148</v>
      </c>
      <c r="D16" s="3" t="str" cm="1">
        <f t="array" ref="D16">IFERROR(_xlfn.XLOOKUP(TEXT(C16,"0000"),TEXT(Catalog!A:A,"0000"),Catalog!B:B),"")</f>
        <v xml:space="preserve">OPB.KAST WD 8MD 1308BR1       </v>
      </c>
      <c r="E16">
        <v>6</v>
      </c>
    </row>
    <row r="17" spans="2:11" x14ac:dyDescent="0.25">
      <c r="B17" t="s">
        <v>4457</v>
      </c>
      <c r="C17">
        <v>7168</v>
      </c>
      <c r="D17" s="3" t="str" cm="1">
        <f t="array" ref="D17">IFERROR(_xlfn.XLOOKUP(TEXT(C17,"0000"),TEXT(Catalog!A:A,"0000"),Catalog!B:B),"")</f>
        <v xml:space="preserve">OPB.KAST WD 36MD 1336PR1      </v>
      </c>
      <c r="E17">
        <v>2</v>
      </c>
    </row>
    <row r="18" spans="2:11" x14ac:dyDescent="0.25">
      <c r="B18" t="s">
        <v>4457</v>
      </c>
      <c r="C18">
        <v>7194</v>
      </c>
      <c r="D18" s="3" t="str" cm="1">
        <f t="array" ref="D18">IFERROR(_xlfn.XLOOKUP(TEXT(C18,"0000"),TEXT(Catalog!A:A,"0000"),Catalog!B:B),"")</f>
        <v xml:space="preserve">INB.KAST MP28 METALBOX NG     </v>
      </c>
      <c r="E18">
        <v>12</v>
      </c>
    </row>
    <row r="21" spans="2:11" ht="24" x14ac:dyDescent="0.4">
      <c r="B21" s="35" t="s">
        <v>4515</v>
      </c>
      <c r="C21" s="36"/>
      <c r="D21" s="36"/>
      <c r="E21" s="36"/>
      <c r="F21" s="36"/>
      <c r="G21" s="36"/>
      <c r="H21" s="37"/>
      <c r="I21" s="38" t="s">
        <v>4459</v>
      </c>
      <c r="J21" s="13" t="s">
        <v>4432</v>
      </c>
      <c r="K21" s="40" t="s">
        <v>4460</v>
      </c>
    </row>
    <row r="22" spans="2:11" ht="18.75" x14ac:dyDescent="0.3">
      <c r="B22" s="11" t="s">
        <v>4445</v>
      </c>
      <c r="C22" s="11" t="s">
        <v>4433</v>
      </c>
      <c r="D22" s="11" t="s">
        <v>4434</v>
      </c>
      <c r="E22" s="11" t="s">
        <v>4435</v>
      </c>
      <c r="F22" s="11" t="s">
        <v>4436</v>
      </c>
      <c r="G22" s="11" t="s">
        <v>4444</v>
      </c>
      <c r="H22" s="11" t="s">
        <v>4436</v>
      </c>
      <c r="I22" s="39"/>
      <c r="J22" s="11" t="s">
        <v>4447</v>
      </c>
      <c r="K22" s="41"/>
    </row>
    <row r="23" spans="2:11" x14ac:dyDescent="0.25">
      <c r="B23" t="s">
        <v>4457</v>
      </c>
      <c r="C23">
        <v>1507</v>
      </c>
      <c r="D23" s="3" t="str" cm="1">
        <f t="array" ref="D23">IFERROR(_xlfn.XLOOKUP(TEXT(C23,"0000"),TEXT(Catalog!A:A,"0000"),Catalog!B:B),"")</f>
        <v xml:space="preserve">OPBOUWKAST4-RIJ VA 424 T 48PE </v>
      </c>
      <c r="E23">
        <v>2</v>
      </c>
    </row>
    <row r="24" spans="2:11" x14ac:dyDescent="0.25">
      <c r="B24" t="s">
        <v>4457</v>
      </c>
      <c r="C24">
        <v>1665</v>
      </c>
      <c r="D24" s="3" t="str" cm="1">
        <f t="array" ref="D24">IFERROR(_xlfn.XLOOKUP(TEXT(C24,"0000"),TEXT(Catalog!A:A,"0000"),Catalog!B:B),"")</f>
        <v xml:space="preserve">MOELLER INB BF-U-5/120        </v>
      </c>
      <c r="E24">
        <v>2</v>
      </c>
    </row>
    <row r="25" spans="2:11" x14ac:dyDescent="0.25">
      <c r="B25" t="s">
        <v>4457</v>
      </c>
      <c r="C25">
        <v>7151</v>
      </c>
      <c r="D25" s="3" t="str" cm="1">
        <f t="array" ref="D25">IFERROR(_xlfn.XLOOKUP(TEXT(C25,"0000"),TEXT(Catalog!A:A,"0000"),Catalog!B:B),"")</f>
        <v xml:space="preserve">OPB.KAST 28MD 5281R1          </v>
      </c>
      <c r="E25">
        <v>31</v>
      </c>
    </row>
    <row r="26" spans="2:11" x14ac:dyDescent="0.25">
      <c r="B26" t="s">
        <v>4457</v>
      </c>
      <c r="C26">
        <v>1657</v>
      </c>
      <c r="D26" s="3" t="str" cm="1">
        <f t="array" ref="D26">IFERROR(_xlfn.XLOOKUP(TEXT(C26,"0000"),TEXT(Catalog!A:A,"0000"),Catalog!B:B),"")</f>
        <v xml:space="preserve">MOELLER OPB BF-0-5/120        </v>
      </c>
      <c r="E26">
        <v>1</v>
      </c>
    </row>
    <row r="27" spans="2:11" x14ac:dyDescent="0.25">
      <c r="B27" t="s">
        <v>4457</v>
      </c>
      <c r="D27" t="s">
        <v>4531</v>
      </c>
      <c r="K27" t="s">
        <v>4530</v>
      </c>
    </row>
    <row r="30" spans="2:11" ht="24" x14ac:dyDescent="0.4">
      <c r="B30" s="35" t="s">
        <v>4516</v>
      </c>
      <c r="C30" s="36"/>
      <c r="D30" s="36"/>
      <c r="E30" s="36"/>
      <c r="F30" s="36"/>
      <c r="G30" s="36"/>
      <c r="H30" s="37"/>
      <c r="I30" s="38" t="s">
        <v>4459</v>
      </c>
      <c r="J30" s="13" t="s">
        <v>4432</v>
      </c>
      <c r="K30" s="40" t="s">
        <v>4460</v>
      </c>
    </row>
    <row r="31" spans="2:11" ht="18.75" x14ac:dyDescent="0.3">
      <c r="B31" s="11" t="s">
        <v>4445</v>
      </c>
      <c r="C31" s="11" t="s">
        <v>4433</v>
      </c>
      <c r="D31" s="11" t="s">
        <v>4434</v>
      </c>
      <c r="E31" s="11" t="s">
        <v>4435</v>
      </c>
      <c r="F31" s="11" t="s">
        <v>4436</v>
      </c>
      <c r="G31" s="11" t="s">
        <v>4444</v>
      </c>
      <c r="H31" s="11" t="s">
        <v>4436</v>
      </c>
      <c r="I31" s="39"/>
      <c r="J31" s="11" t="s">
        <v>4447</v>
      </c>
      <c r="K31" s="41"/>
    </row>
    <row r="32" spans="2:11" x14ac:dyDescent="0.25">
      <c r="B32" t="s">
        <v>4457</v>
      </c>
      <c r="C32">
        <v>1664</v>
      </c>
      <c r="D32" s="3" t="str" cm="1">
        <f t="array" ref="D32">IFERROR(_xlfn.XLOOKUP(TEXT(C32,"0000"),TEXT(Catalog!A:A,"0000"),Catalog!B:B),"")</f>
        <v xml:space="preserve">MOELLER INB BF-U-4/96         </v>
      </c>
      <c r="E32">
        <v>7</v>
      </c>
    </row>
    <row r="33" spans="2:11" x14ac:dyDescent="0.25">
      <c r="B33" t="s">
        <v>4457</v>
      </c>
      <c r="C33">
        <v>7147</v>
      </c>
      <c r="D33" s="3" t="str" cm="1">
        <f t="array" ref="D33">IFERROR(_xlfn.XLOOKUP(TEXT(C33,"0000"),TEXT(Catalog!A:A,"0000"),Catalog!B:B),"")</f>
        <v xml:space="preserve">OPB.KAST WD 48MD 1348R1       </v>
      </c>
      <c r="E33">
        <v>6</v>
      </c>
    </row>
    <row r="34" spans="2:11" x14ac:dyDescent="0.25">
      <c r="B34" t="s">
        <v>4457</v>
      </c>
      <c r="C34">
        <v>7184</v>
      </c>
      <c r="D34" s="3" t="str" cm="1">
        <f t="array" ref="D34">IFERROR(_xlfn.XLOOKUP(TEXT(C34,"0000"),TEXT(Catalog!A:A,"0000"),Catalog!B:B),"")</f>
        <v xml:space="preserve">INB.KAST MP14 METALBOX        </v>
      </c>
      <c r="E34">
        <v>2</v>
      </c>
    </row>
    <row r="35" spans="2:11" x14ac:dyDescent="0.25">
      <c r="B35" t="s">
        <v>4457</v>
      </c>
      <c r="C35">
        <v>7193</v>
      </c>
      <c r="D35" s="3" t="str" cm="1">
        <f t="array" ref="D35">IFERROR(_xlfn.XLOOKUP(TEXT(C35,"0000"),TEXT(Catalog!A:A,"0000"),Catalog!B:B),"")</f>
        <v xml:space="preserve">INB.KAST MP14 METALBOX NG     </v>
      </c>
      <c r="E35">
        <v>22</v>
      </c>
    </row>
    <row r="38" spans="2:11" ht="24" x14ac:dyDescent="0.4">
      <c r="B38" s="35" t="s">
        <v>4517</v>
      </c>
      <c r="C38" s="36"/>
      <c r="D38" s="36"/>
      <c r="E38" s="36"/>
      <c r="F38" s="36"/>
      <c r="G38" s="36"/>
      <c r="H38" s="37"/>
      <c r="I38" s="38" t="s">
        <v>4459</v>
      </c>
      <c r="J38" s="13" t="s">
        <v>4432</v>
      </c>
      <c r="K38" s="40" t="s">
        <v>4460</v>
      </c>
    </row>
    <row r="39" spans="2:11" ht="18.75" x14ac:dyDescent="0.3">
      <c r="B39" s="11" t="s">
        <v>4445</v>
      </c>
      <c r="C39" s="11" t="s">
        <v>4433</v>
      </c>
      <c r="D39" s="11" t="s">
        <v>4434</v>
      </c>
      <c r="E39" s="11" t="s">
        <v>4435</v>
      </c>
      <c r="F39" s="11" t="s">
        <v>4436</v>
      </c>
      <c r="G39" s="11" t="s">
        <v>4444</v>
      </c>
      <c r="H39" s="11" t="s">
        <v>4436</v>
      </c>
      <c r="I39" s="39"/>
      <c r="J39" s="11" t="s">
        <v>4447</v>
      </c>
      <c r="K39" s="41"/>
    </row>
    <row r="40" spans="2:11" x14ac:dyDescent="0.25">
      <c r="B40" t="s">
        <v>4457</v>
      </c>
      <c r="C40">
        <v>1985</v>
      </c>
      <c r="D40" s="3" t="str" cm="1">
        <f t="array" ref="D40">IFERROR(_xlfn.XLOOKUP(TEXT(C40,"0000"),TEXT(Catalog!A:A,"0000"),Catalog!B:B),"")</f>
        <v xml:space="preserve">MESPATROON HOUDER 160 A-NH-00 </v>
      </c>
      <c r="E40">
        <v>36</v>
      </c>
    </row>
    <row r="41" spans="2:11" x14ac:dyDescent="0.25">
      <c r="B41" t="s">
        <v>4457</v>
      </c>
      <c r="C41">
        <v>1988</v>
      </c>
      <c r="D41" s="3" t="str" cm="1">
        <f t="array" ref="D41">IFERROR(_xlfn.XLOOKUP(TEXT(C41,"0000"),TEXT(Catalog!A:A,"0000"),Catalog!B:B),"")</f>
        <v xml:space="preserve">MESPATROON HOUDER 400 A-NH-2  </v>
      </c>
      <c r="E41">
        <v>22</v>
      </c>
    </row>
    <row r="42" spans="2:11" x14ac:dyDescent="0.25">
      <c r="B42" t="s">
        <v>4457</v>
      </c>
      <c r="C42">
        <v>1987</v>
      </c>
      <c r="D42" s="3" t="str" cm="1">
        <f t="array" ref="D42">IFERROR(_xlfn.XLOOKUP(TEXT(C42,"0000"),TEXT(Catalog!A:A,"0000"),Catalog!B:B),"")</f>
        <v xml:space="preserve">MESPATROON HOUDER 250 A-NH-1  </v>
      </c>
      <c r="E42">
        <v>1</v>
      </c>
    </row>
    <row r="43" spans="2:11" x14ac:dyDescent="0.25">
      <c r="B43" t="s">
        <v>4457</v>
      </c>
      <c r="C43">
        <v>1659</v>
      </c>
      <c r="D43" s="3" t="str" cm="1">
        <f t="array" ref="D43">IFERROR(_xlfn.XLOOKUP(TEXT(C43,"0000"),TEXT(Catalog!A:A,"0000"),Catalog!B:B),"")</f>
        <v xml:space="preserve">MOELLER OPB BF-0-3/72         </v>
      </c>
      <c r="E43">
        <v>7</v>
      </c>
    </row>
    <row r="46" spans="2:11" ht="24" x14ac:dyDescent="0.4">
      <c r="B46" s="35" t="s">
        <v>4518</v>
      </c>
      <c r="C46" s="36"/>
      <c r="D46" s="36"/>
      <c r="E46" s="36"/>
      <c r="F46" s="36"/>
      <c r="G46" s="36"/>
      <c r="H46" s="37"/>
      <c r="I46" s="38" t="s">
        <v>4459</v>
      </c>
      <c r="J46" s="13" t="s">
        <v>4432</v>
      </c>
      <c r="K46" s="40" t="s">
        <v>4460</v>
      </c>
    </row>
    <row r="47" spans="2:11" ht="18.75" x14ac:dyDescent="0.3">
      <c r="B47" s="11" t="s">
        <v>4445</v>
      </c>
      <c r="C47" s="11" t="s">
        <v>4433</v>
      </c>
      <c r="D47" s="11" t="s">
        <v>4434</v>
      </c>
      <c r="E47" s="11" t="s">
        <v>4435</v>
      </c>
      <c r="F47" s="11" t="s">
        <v>4436</v>
      </c>
      <c r="G47" s="11" t="s">
        <v>4444</v>
      </c>
      <c r="H47" s="11" t="s">
        <v>4436</v>
      </c>
      <c r="I47" s="39"/>
      <c r="J47" s="11" t="s">
        <v>4447</v>
      </c>
      <c r="K47" s="41"/>
    </row>
    <row r="48" spans="2:11" x14ac:dyDescent="0.25">
      <c r="B48" t="s">
        <v>4457</v>
      </c>
      <c r="C48">
        <v>7191</v>
      </c>
      <c r="D48" s="3" t="str" cm="1">
        <f t="array" ref="D48">IFERROR(_xlfn.XLOOKUP(TEXT(C48,"0000"),TEXT(Catalog!A:A,"0000"),Catalog!B:B),"")</f>
        <v xml:space="preserve">EARTH TERMINAL GREEN          </v>
      </c>
      <c r="F48">
        <v>53</v>
      </c>
    </row>
    <row r="49" spans="2:11" x14ac:dyDescent="0.25">
      <c r="B49" t="s">
        <v>4457</v>
      </c>
      <c r="C49">
        <v>1658</v>
      </c>
      <c r="D49" s="3" t="str" cm="1">
        <f t="array" ref="D49">IFERROR(_xlfn.XLOOKUP(TEXT(C49,"0000"),TEXT(Catalog!A:A,"0000"),Catalog!B:B),"")</f>
        <v xml:space="preserve">MOELLER OPB BF-0-6/144        </v>
      </c>
      <c r="E49">
        <v>3</v>
      </c>
    </row>
    <row r="50" spans="2:11" x14ac:dyDescent="0.25">
      <c r="B50" t="s">
        <v>4457</v>
      </c>
      <c r="C50">
        <v>1666</v>
      </c>
      <c r="D50" s="3" t="str" cm="1">
        <f t="array" ref="D50">IFERROR(_xlfn.XLOOKUP(TEXT(C50,"0000"),TEXT(Catalog!A:A,"0000"),Catalog!B:B),"")</f>
        <v xml:space="preserve">MOELLER INB BF-U-6/144        </v>
      </c>
      <c r="E50">
        <v>5</v>
      </c>
    </row>
    <row r="51" spans="2:11" x14ac:dyDescent="0.25">
      <c r="B51" t="s">
        <v>4457</v>
      </c>
      <c r="C51" s="16">
        <v>7186</v>
      </c>
      <c r="D51" s="3" t="str" cm="1">
        <f t="array" ref="D51">IFERROR(_xlfn.XLOOKUP(TEXT(C51,"0000"),TEXT(Catalog!A:A,"0000"),Catalog!B:B),"")</f>
        <v xml:space="preserve">INB.KAST MP42 METALBOX        </v>
      </c>
    </row>
    <row r="52" spans="2:11" x14ac:dyDescent="0.25">
      <c r="B52" t="s">
        <v>4457</v>
      </c>
      <c r="C52" s="18">
        <v>7195</v>
      </c>
      <c r="D52" s="3" t="str" cm="1">
        <f t="array" ref="D52">IFERROR(_xlfn.XLOOKUP(TEXT(C52,"0000"),TEXT(Catalog!A:A,"0000"),Catalog!B:B),"")</f>
        <v xml:space="preserve">INB.KAST MP42 METALBOX NG     </v>
      </c>
      <c r="E52">
        <v>11</v>
      </c>
    </row>
    <row r="53" spans="2:11" x14ac:dyDescent="0.25">
      <c r="B53" t="s">
        <v>4457</v>
      </c>
      <c r="C53">
        <v>1657</v>
      </c>
      <c r="D53" s="3" t="str" cm="1">
        <f t="array" ref="D53">IFERROR(_xlfn.XLOOKUP(TEXT(C53,"0000"),TEXT(Catalog!A:A,"0000"),Catalog!B:B),"")</f>
        <v xml:space="preserve">MOELLER OPB BF-0-5/120        </v>
      </c>
      <c r="E53">
        <v>1</v>
      </c>
    </row>
    <row r="55" spans="2:11" ht="24" x14ac:dyDescent="0.4">
      <c r="B55" s="35" t="s">
        <v>4532</v>
      </c>
      <c r="C55" s="36"/>
      <c r="D55" s="36"/>
      <c r="E55" s="36"/>
      <c r="F55" s="36"/>
      <c r="G55" s="36"/>
      <c r="H55" s="37"/>
      <c r="I55" s="38" t="s">
        <v>4459</v>
      </c>
      <c r="J55" s="13" t="s">
        <v>4432</v>
      </c>
      <c r="K55" s="40" t="s">
        <v>4460</v>
      </c>
    </row>
    <row r="56" spans="2:11" ht="18.75" x14ac:dyDescent="0.3">
      <c r="B56" s="11" t="s">
        <v>4445</v>
      </c>
      <c r="C56" s="11" t="s">
        <v>4433</v>
      </c>
      <c r="D56" s="11" t="s">
        <v>4434</v>
      </c>
      <c r="E56" s="11" t="s">
        <v>4435</v>
      </c>
      <c r="F56" s="11" t="s">
        <v>4436</v>
      </c>
      <c r="G56" s="11" t="s">
        <v>4444</v>
      </c>
      <c r="H56" s="11" t="s">
        <v>4436</v>
      </c>
      <c r="I56" s="39"/>
      <c r="J56" s="11" t="s">
        <v>4447</v>
      </c>
      <c r="K56" s="41"/>
    </row>
    <row r="57" spans="2:11" x14ac:dyDescent="0.25">
      <c r="B57" t="s">
        <v>4457</v>
      </c>
      <c r="C57">
        <v>7167</v>
      </c>
      <c r="D57" s="3" t="str" cm="1">
        <f t="array" ref="D57">IFERROR(_xlfn.XLOOKUP(TEXT(C57,"0000"),TEXT(Catalog!A:A,"0000"),Catalog!B:B),"")</f>
        <v xml:space="preserve">OPB.KAST 12MD 8703R1          </v>
      </c>
      <c r="E57">
        <v>44</v>
      </c>
    </row>
    <row r="58" spans="2:11" x14ac:dyDescent="0.25">
      <c r="B58" t="s">
        <v>4457</v>
      </c>
      <c r="C58">
        <v>7153</v>
      </c>
      <c r="D58" s="3" t="str" cm="1">
        <f t="array" ref="D58">IFERROR(_xlfn.XLOOKUP(TEXT(C58,"0000"),TEXT(Catalog!A:A,"0000"),Catalog!B:B),"")</f>
        <v xml:space="preserve">OPB.KAST 56MD 5271R1          </v>
      </c>
      <c r="E58">
        <v>13</v>
      </c>
    </row>
    <row r="59" spans="2:11" x14ac:dyDescent="0.25">
      <c r="B59" t="s">
        <v>4457</v>
      </c>
      <c r="C59">
        <v>7169</v>
      </c>
      <c r="D59" s="3" t="str" cm="1">
        <f t="array" ref="D59">IFERROR(_xlfn.XLOOKUP(TEXT(C59,"0000"),TEXT(Catalog!A:A,"0000"),Catalog!B:B),"")</f>
        <v xml:space="preserve">OPB.KAST WD 11MD BW 1311AR1   </v>
      </c>
      <c r="E59">
        <v>1</v>
      </c>
    </row>
    <row r="60" spans="2:11" x14ac:dyDescent="0.25">
      <c r="D60" s="3"/>
    </row>
    <row r="61" spans="2:11" x14ac:dyDescent="0.25">
      <c r="D61" s="3"/>
    </row>
    <row r="62" spans="2:11" ht="24" x14ac:dyDescent="0.4">
      <c r="B62" s="35" t="s">
        <v>4533</v>
      </c>
      <c r="C62" s="36"/>
      <c r="D62" s="36"/>
      <c r="E62" s="36"/>
      <c r="F62" s="36"/>
      <c r="G62" s="36"/>
      <c r="H62" s="37"/>
      <c r="I62" s="38" t="s">
        <v>4459</v>
      </c>
      <c r="J62" s="13" t="s">
        <v>4432</v>
      </c>
      <c r="K62" s="40" t="s">
        <v>4460</v>
      </c>
    </row>
    <row r="63" spans="2:11" ht="18.75" x14ac:dyDescent="0.3">
      <c r="B63" s="11" t="s">
        <v>4445</v>
      </c>
      <c r="C63" s="11" t="s">
        <v>4433</v>
      </c>
      <c r="D63" s="11" t="s">
        <v>4434</v>
      </c>
      <c r="E63" s="11" t="s">
        <v>4435</v>
      </c>
      <c r="F63" s="11" t="s">
        <v>4436</v>
      </c>
      <c r="G63" s="11" t="s">
        <v>4444</v>
      </c>
      <c r="H63" s="11" t="s">
        <v>4436</v>
      </c>
      <c r="I63" s="39"/>
      <c r="J63" s="11" t="s">
        <v>4447</v>
      </c>
      <c r="K63" s="41"/>
    </row>
    <row r="64" spans="2:11" x14ac:dyDescent="0.25">
      <c r="B64" t="s">
        <v>4457</v>
      </c>
      <c r="C64">
        <v>1664</v>
      </c>
      <c r="D64" s="3" t="str" cm="1">
        <f t="array" ref="D64">IFERROR(_xlfn.XLOOKUP(TEXT(C64,"0000"),TEXT(Catalog!A:A,"0000"),Catalog!B:B),"")</f>
        <v xml:space="preserve">MOELLER INB BF-U-4/96         </v>
      </c>
      <c r="E64">
        <v>2</v>
      </c>
    </row>
    <row r="65" spans="2:11" x14ac:dyDescent="0.25">
      <c r="B65" t="s">
        <v>4457</v>
      </c>
      <c r="C65">
        <v>7146</v>
      </c>
      <c r="D65" s="3" t="str" cm="1">
        <f t="array" ref="D65">IFERROR(_xlfn.XLOOKUP(TEXT(C65,"0000"),TEXT(Catalog!A:A,"0000"),Catalog!B:B),"")</f>
        <v xml:space="preserve">OPB.KAST WD 8MD 1308PR1 BW    </v>
      </c>
      <c r="E65">
        <v>10</v>
      </c>
    </row>
    <row r="66" spans="2:11" x14ac:dyDescent="0.25">
      <c r="B66" t="s">
        <v>4457</v>
      </c>
      <c r="C66">
        <v>7152</v>
      </c>
      <c r="D66" s="3" t="str" cm="1">
        <f t="array" ref="D66">IFERROR(_xlfn.XLOOKUP(TEXT(C66,"0000"),TEXT(Catalog!A:A,"0000"),Catalog!B:B),"")</f>
        <v xml:space="preserve">OPB.KAST 42MD 5261R1          </v>
      </c>
      <c r="E66">
        <v>15</v>
      </c>
    </row>
    <row r="69" spans="2:11" ht="24" x14ac:dyDescent="0.4">
      <c r="B69" s="35" t="s">
        <v>4534</v>
      </c>
      <c r="C69" s="36"/>
      <c r="D69" s="36"/>
      <c r="E69" s="36"/>
      <c r="F69" s="36"/>
      <c r="G69" s="36"/>
      <c r="H69" s="37"/>
      <c r="I69" s="38" t="s">
        <v>4459</v>
      </c>
      <c r="J69" s="13" t="s">
        <v>4432</v>
      </c>
      <c r="K69" s="40" t="s">
        <v>4460</v>
      </c>
    </row>
    <row r="70" spans="2:11" ht="18.75" x14ac:dyDescent="0.3">
      <c r="B70" s="11" t="s">
        <v>4445</v>
      </c>
      <c r="C70" s="11" t="s">
        <v>4433</v>
      </c>
      <c r="D70" s="11" t="s">
        <v>4434</v>
      </c>
      <c r="E70" s="11" t="s">
        <v>4435</v>
      </c>
      <c r="F70" s="11" t="s">
        <v>4436</v>
      </c>
      <c r="G70" s="11" t="s">
        <v>4444</v>
      </c>
      <c r="H70" s="11" t="s">
        <v>4436</v>
      </c>
      <c r="I70" s="39"/>
      <c r="J70" s="11" t="s">
        <v>4447</v>
      </c>
      <c r="K70" s="41"/>
    </row>
    <row r="71" spans="2:11" x14ac:dyDescent="0.25">
      <c r="B71" t="s">
        <v>4457</v>
      </c>
      <c r="C71">
        <v>1661</v>
      </c>
      <c r="D71" s="3" t="str" cm="1">
        <f t="array" ref="D71">IFERROR(_xlfn.XLOOKUP(TEXT(C71,"0000"),TEXT(Catalog!A:A,"0000"),Catalog!B:B),"")</f>
        <v xml:space="preserve">MOELLER INB BF-U-5/165        </v>
      </c>
      <c r="E71">
        <v>2</v>
      </c>
    </row>
    <row r="72" spans="2:11" x14ac:dyDescent="0.25">
      <c r="B72" t="s">
        <v>4457</v>
      </c>
      <c r="C72">
        <v>1657</v>
      </c>
      <c r="D72" s="3" t="str" cm="1">
        <f t="array" ref="D72">IFERROR(_xlfn.XLOOKUP(TEXT(C72,"0000"),TEXT(Catalog!A:A,"0000"),Catalog!B:B),"")</f>
        <v xml:space="preserve">MOELLER OPB BF-0-5/120        </v>
      </c>
      <c r="E72">
        <v>1</v>
      </c>
    </row>
    <row r="73" spans="2:11" x14ac:dyDescent="0.25">
      <c r="B73" t="s">
        <v>4457</v>
      </c>
      <c r="C73">
        <v>7145</v>
      </c>
      <c r="D73" s="3" t="str" cm="1">
        <f t="array" ref="D73">IFERROR(_xlfn.XLOOKUP(TEXT(C73,"0000"),TEXT(Catalog!A:A,"0000"),Catalog!B:B),"")</f>
        <v xml:space="preserve">BW.KAST WD 32MD 1332PR1       </v>
      </c>
      <c r="E73">
        <v>9</v>
      </c>
    </row>
    <row r="74" spans="2:11" x14ac:dyDescent="0.25">
      <c r="B74" t="s">
        <v>4457</v>
      </c>
      <c r="C74">
        <v>7141</v>
      </c>
      <c r="D74" s="3" t="str" cm="1">
        <f t="array" ref="D74">IFERROR(_xlfn.XLOOKUP(TEXT(C74,"0000"),TEXT(Catalog!A:A,"0000"),Catalog!B:B),"")</f>
        <v xml:space="preserve">BW.KAST WD 16MD  1316P-R1     </v>
      </c>
      <c r="E74">
        <v>6</v>
      </c>
    </row>
    <row r="75" spans="2:11" x14ac:dyDescent="0.25">
      <c r="D75" t="s">
        <v>4538</v>
      </c>
      <c r="K75" t="s">
        <v>4530</v>
      </c>
    </row>
    <row r="76" spans="2:11" x14ac:dyDescent="0.25">
      <c r="D76" t="s">
        <v>4539</v>
      </c>
      <c r="K76" t="s">
        <v>4530</v>
      </c>
    </row>
    <row r="79" spans="2:11" ht="24" x14ac:dyDescent="0.4">
      <c r="B79" s="35" t="s">
        <v>4535</v>
      </c>
      <c r="C79" s="36"/>
      <c r="D79" s="36"/>
      <c r="E79" s="36"/>
      <c r="F79" s="36"/>
      <c r="G79" s="36"/>
      <c r="H79" s="37"/>
      <c r="I79" s="38" t="s">
        <v>4459</v>
      </c>
      <c r="J79" s="13" t="s">
        <v>4432</v>
      </c>
      <c r="K79" s="40" t="s">
        <v>4460</v>
      </c>
    </row>
    <row r="80" spans="2:11" ht="18.75" x14ac:dyDescent="0.3">
      <c r="B80" s="11" t="s">
        <v>4445</v>
      </c>
      <c r="C80" s="11" t="s">
        <v>4433</v>
      </c>
      <c r="D80" s="11" t="s">
        <v>4434</v>
      </c>
      <c r="E80" s="11" t="s">
        <v>4435</v>
      </c>
      <c r="F80" s="11" t="s">
        <v>4436</v>
      </c>
      <c r="G80" s="11" t="s">
        <v>4444</v>
      </c>
      <c r="H80" s="11" t="s">
        <v>4436</v>
      </c>
      <c r="I80" s="39"/>
      <c r="J80" s="11" t="s">
        <v>4447</v>
      </c>
      <c r="K80" s="41"/>
    </row>
    <row r="81" spans="2:11" x14ac:dyDescent="0.25">
      <c r="B81" t="s">
        <v>4457</v>
      </c>
      <c r="C81">
        <v>7150</v>
      </c>
      <c r="D81" s="3" t="str" cm="1">
        <f t="array" ref="D81">IFERROR(_xlfn.XLOOKUP(TEXT(C81,"0000"),TEXT(Catalog!A:A,"0000"),Catalog!B:B),"")</f>
        <v xml:space="preserve">OPB.KAST 14MD 5021R1          </v>
      </c>
      <c r="E81">
        <v>45</v>
      </c>
    </row>
    <row r="82" spans="2:11" x14ac:dyDescent="0.25">
      <c r="B82" t="s">
        <v>4457</v>
      </c>
      <c r="C82">
        <v>7149</v>
      </c>
      <c r="D82" s="3" t="str" cm="1">
        <f t="array" ref="D82">IFERROR(_xlfn.XLOOKUP(TEXT(C82,"0000"),TEXT(Catalog!A:A,"0000"),Catalog!B:B),"")</f>
        <v xml:space="preserve">OPB.KAST 8MD 5109R1           </v>
      </c>
      <c r="E82">
        <v>17</v>
      </c>
    </row>
    <row r="83" spans="2:11" x14ac:dyDescent="0.25">
      <c r="B83" t="s">
        <v>4457</v>
      </c>
      <c r="C83">
        <v>1656</v>
      </c>
      <c r="D83" s="3" t="str" cm="1">
        <f t="array" ref="D83">IFERROR(_xlfn.XLOOKUP(TEXT(C83,"0000"),TEXT(Catalog!A:A,"0000"),Catalog!B:B),"")</f>
        <v xml:space="preserve">MOELLER OPB BF-0-4/96         </v>
      </c>
      <c r="E83">
        <v>8</v>
      </c>
    </row>
    <row r="86" spans="2:11" ht="24" x14ac:dyDescent="0.4">
      <c r="B86" s="35" t="s">
        <v>4536</v>
      </c>
      <c r="C86" s="36"/>
      <c r="D86" s="36"/>
      <c r="E86" s="36"/>
      <c r="F86" s="36"/>
      <c r="G86" s="36"/>
      <c r="H86" s="37"/>
      <c r="I86" s="38" t="s">
        <v>4459</v>
      </c>
      <c r="J86" s="13" t="s">
        <v>4432</v>
      </c>
      <c r="K86" s="40" t="s">
        <v>4460</v>
      </c>
    </row>
    <row r="87" spans="2:11" ht="18.75" x14ac:dyDescent="0.3">
      <c r="B87" s="11" t="s">
        <v>4445</v>
      </c>
      <c r="C87" s="11" t="s">
        <v>4433</v>
      </c>
      <c r="D87" s="11" t="s">
        <v>4434</v>
      </c>
      <c r="E87" s="11" t="s">
        <v>4435</v>
      </c>
      <c r="F87" s="11" t="s">
        <v>4436</v>
      </c>
      <c r="G87" s="11" t="s">
        <v>4444</v>
      </c>
      <c r="H87" s="11" t="s">
        <v>4436</v>
      </c>
      <c r="I87" s="39"/>
      <c r="J87" s="11" t="s">
        <v>4447</v>
      </c>
      <c r="K87" s="41"/>
    </row>
    <row r="88" spans="2:11" x14ac:dyDescent="0.25">
      <c r="B88" t="s">
        <v>4457</v>
      </c>
      <c r="C88">
        <v>3314</v>
      </c>
      <c r="D88" s="3" t="str" cm="1">
        <f t="array" ref="D88">IFERROR(_xlfn.XLOOKUP(TEXT(C88,"0000"),TEXT(Catalog!A:A,"0000"),Catalog!B:B),"")</f>
        <v xml:space="preserve">PICKENS RFTN 150W 7000K FLAT  </v>
      </c>
      <c r="E88">
        <v>3</v>
      </c>
    </row>
    <row r="89" spans="2:11" x14ac:dyDescent="0.25">
      <c r="B89" t="s">
        <v>4457</v>
      </c>
      <c r="C89">
        <v>1993</v>
      </c>
      <c r="D89" s="3" t="str" cm="1">
        <f t="array" ref="D89">IFERROR(_xlfn.XLOOKUP(TEXT(C89,"0000"),TEXT(Catalog!A:A,"0000"),Catalog!B:B),"")</f>
        <v xml:space="preserve">SCHAKELKAST MESPATROON 630A   </v>
      </c>
      <c r="E89">
        <v>6</v>
      </c>
    </row>
    <row r="90" spans="2:11" x14ac:dyDescent="0.25">
      <c r="B90" t="s">
        <v>4457</v>
      </c>
      <c r="C90">
        <v>1992</v>
      </c>
      <c r="D90" s="3" t="str" cm="1">
        <f t="array" ref="D90">IFERROR(_xlfn.XLOOKUP(TEXT(C90,"0000"),TEXT(Catalog!A:A,"0000"),Catalog!B:B),"")</f>
        <v xml:space="preserve">SCHAKELKAST MESPATROON 400A   </v>
      </c>
      <c r="E90">
        <v>5</v>
      </c>
    </row>
    <row r="91" spans="2:11" x14ac:dyDescent="0.25">
      <c r="B91" t="s">
        <v>4457</v>
      </c>
      <c r="D91" t="s">
        <v>4540</v>
      </c>
      <c r="F91">
        <v>49</v>
      </c>
    </row>
    <row r="92" spans="2:11" x14ac:dyDescent="0.25">
      <c r="B92" t="s">
        <v>4457</v>
      </c>
      <c r="D92" t="s">
        <v>4540</v>
      </c>
      <c r="F92">
        <v>30</v>
      </c>
    </row>
    <row r="95" spans="2:11" ht="24" x14ac:dyDescent="0.4">
      <c r="B95" s="35" t="s">
        <v>4537</v>
      </c>
      <c r="C95" s="36"/>
      <c r="D95" s="36"/>
      <c r="E95" s="36"/>
      <c r="F95" s="36"/>
      <c r="G95" s="36"/>
      <c r="H95" s="37"/>
      <c r="I95" s="38" t="s">
        <v>4459</v>
      </c>
      <c r="J95" s="13" t="s">
        <v>4432</v>
      </c>
      <c r="K95" s="40" t="s">
        <v>4460</v>
      </c>
    </row>
    <row r="96" spans="2:11" ht="18.75" x14ac:dyDescent="0.3">
      <c r="B96" s="11" t="s">
        <v>4445</v>
      </c>
      <c r="C96" s="11" t="s">
        <v>4433</v>
      </c>
      <c r="D96" s="11" t="s">
        <v>4434</v>
      </c>
      <c r="E96" s="11" t="s">
        <v>4435</v>
      </c>
      <c r="F96" s="11" t="s">
        <v>4436</v>
      </c>
      <c r="G96" s="11" t="s">
        <v>4444</v>
      </c>
      <c r="H96" s="11" t="s">
        <v>4436</v>
      </c>
      <c r="I96" s="39"/>
      <c r="J96" s="11" t="s">
        <v>4447</v>
      </c>
      <c r="K96" s="41"/>
    </row>
    <row r="97" spans="1:6" x14ac:dyDescent="0.25">
      <c r="B97" t="s">
        <v>4457</v>
      </c>
      <c r="C97">
        <v>7157</v>
      </c>
      <c r="D97" s="3" t="str" cm="1">
        <f t="array" ref="D97">IFERROR(_xlfn.XLOOKUP(TEXT(C97,"0000"),TEXT(Catalog!A:A,"0000"),Catalog!B:B),"")</f>
        <v xml:space="preserve">INB.KAST 48/56MD 5270R1       </v>
      </c>
      <c r="E97">
        <v>12</v>
      </c>
    </row>
    <row r="98" spans="1:6" x14ac:dyDescent="0.25">
      <c r="B98" t="s">
        <v>4457</v>
      </c>
      <c r="C98">
        <v>1991</v>
      </c>
      <c r="D98" s="3" t="str" cm="1">
        <f t="array" ref="D98">IFERROR(_xlfn.XLOOKUP(TEXT(C98,"0000"),TEXT(Catalog!A:A,"0000"),Catalog!B:B),"")</f>
        <v xml:space="preserve">SCHAKELKAST MESPATROON 250A   </v>
      </c>
      <c r="E98">
        <v>4</v>
      </c>
    </row>
    <row r="99" spans="1:6" x14ac:dyDescent="0.25">
      <c r="B99" t="s">
        <v>4451</v>
      </c>
      <c r="C99">
        <v>3494</v>
      </c>
      <c r="D99" s="3" t="str" cm="1">
        <f t="array" ref="D99">IFERROR(_xlfn.XLOOKUP(TEXT(C99,"0000"),TEXT(Catalog!A:A,"0000"),Catalog!B:B),"")</f>
        <v xml:space="preserve">ETI 3901518 GR VS 16 YELLO/GR </v>
      </c>
      <c r="F99">
        <v>32</v>
      </c>
    </row>
    <row r="100" spans="1:6" x14ac:dyDescent="0.25">
      <c r="B100" t="s">
        <v>4451</v>
      </c>
      <c r="C100">
        <v>3492</v>
      </c>
      <c r="D100" s="3" t="str" cm="1">
        <f t="array" ref="D100">IFERROR(_xlfn.XLOOKUP(TEXT(C100,"0000"),TEXT(Catalog!A:A,"0000"),Catalog!B:B),"")</f>
        <v xml:space="preserve">ETI3901360 LIN UP  VSV4 FUSE  </v>
      </c>
      <c r="E100" t="s">
        <v>4548</v>
      </c>
    </row>
    <row r="101" spans="1:6" x14ac:dyDescent="0.25">
      <c r="A101" t="s">
        <v>4552</v>
      </c>
      <c r="B101" t="s">
        <v>4451</v>
      </c>
      <c r="C101">
        <v>3500</v>
      </c>
      <c r="D101" s="3" t="str" cm="1">
        <f t="array" ref="D101">IFERROR(_xlfn.XLOOKUP(TEXT(C101,"0000"),TEXT(Catalog!A:A,"0000"),Catalog!B:B),"")</f>
        <v>ETI 3901068 TERMINAL VS 6 IVOR</v>
      </c>
      <c r="E101" s="8"/>
      <c r="F101" s="8"/>
    </row>
    <row r="102" spans="1:6" x14ac:dyDescent="0.25">
      <c r="B102" t="s">
        <v>4451</v>
      </c>
      <c r="C102">
        <v>3498</v>
      </c>
      <c r="D102" s="3" t="str" cm="1">
        <f t="array" ref="D102">IFERROR(_xlfn.XLOOKUP(TEXT(C102,"0000"),TEXT(Catalog!A:A,"0000"),Catalog!B:B),"")</f>
        <v xml:space="preserve">ETI 3901037 TERMINAL VS 4MM   </v>
      </c>
      <c r="E102" t="s">
        <v>4449</v>
      </c>
      <c r="F102">
        <v>80</v>
      </c>
    </row>
    <row r="103" spans="1:6" x14ac:dyDescent="0.25">
      <c r="B103" t="s">
        <v>4451</v>
      </c>
      <c r="C103">
        <v>3504</v>
      </c>
      <c r="D103" s="3" t="str" cm="1">
        <f t="array" ref="D103">IFERROR(_xlfn.XLOOKUP(TEXT(C103,"0000"),TEXT(Catalog!A:A,"0000"),Catalog!B:B),"")</f>
        <v>ETI 3901188 TERMINAL VS 70 IVO</v>
      </c>
      <c r="E103">
        <v>60</v>
      </c>
      <c r="F103">
        <v>7</v>
      </c>
    </row>
    <row r="104" spans="1:6" x14ac:dyDescent="0.25">
      <c r="B104" t="s">
        <v>4451</v>
      </c>
      <c r="C104">
        <v>3487</v>
      </c>
      <c r="D104" s="3" t="str" cm="1">
        <f t="array" ref="D104">IFERROR(_xlfn.XLOOKUP(TEXT(C104,"0000"),TEXT(Catalog!A:A,"0000"),Catalog!B:B),"")</f>
        <v xml:space="preserve">ETI 3901375  EINDPLAAT VSV4   </v>
      </c>
      <c r="E104" t="s">
        <v>4549</v>
      </c>
      <c r="F104">
        <v>47</v>
      </c>
    </row>
    <row r="105" spans="1:6" x14ac:dyDescent="0.25">
      <c r="B105" t="s">
        <v>4451</v>
      </c>
      <c r="C105">
        <v>3505</v>
      </c>
      <c r="D105" s="3" t="str" cm="1">
        <f t="array" ref="D105">IFERROR(_xlfn.XLOOKUP(TEXT(C105,"0000"),TEXT(Catalog!A:A,"0000"),Catalog!B:B),"")</f>
        <v>ETI 3901189 TERMINAL VS70 BLUE</v>
      </c>
      <c r="E105" t="s">
        <v>4550</v>
      </c>
    </row>
    <row r="106" spans="1:6" x14ac:dyDescent="0.25">
      <c r="B106" t="s">
        <v>4451</v>
      </c>
      <c r="C106">
        <v>3508</v>
      </c>
      <c r="D106" s="3" t="str" cm="1">
        <f t="array" ref="D106">IFERROR(_xlfn.XLOOKUP(TEXT(C106,"0000"),TEXT(Catalog!A:A,"0000"),Catalog!B:B),"")</f>
        <v>ETI 3901157 TERMINAL VS35 IVOR</v>
      </c>
      <c r="E106" t="s">
        <v>4550</v>
      </c>
    </row>
    <row r="107" spans="1:6" x14ac:dyDescent="0.25">
      <c r="B107" t="s">
        <v>4451</v>
      </c>
      <c r="C107">
        <v>3493</v>
      </c>
      <c r="D107" s="3" t="str" cm="1">
        <f t="array" ref="D107">IFERROR(_xlfn.XLOOKUP(TEXT(C107,"0000"),TEXT(Catalog!A:A,"0000"),Catalog!B:B),"")</f>
        <v xml:space="preserve">ETI 3901539 GR VS 35 YELLO/GR </v>
      </c>
      <c r="E107" t="s">
        <v>4551</v>
      </c>
      <c r="F107">
        <v>17</v>
      </c>
    </row>
    <row r="108" spans="1:6" x14ac:dyDescent="0.25">
      <c r="B108" t="s">
        <v>4451</v>
      </c>
      <c r="C108">
        <v>3504</v>
      </c>
      <c r="D108" s="3" t="str" cm="1">
        <f t="array" ref="D108">IFERROR(_xlfn.XLOOKUP(TEXT(C108,"0000"),TEXT(Catalog!A:A,"0000"),Catalog!B:B),"")</f>
        <v>ETI 3901188 TERMINAL VS 70 IVO</v>
      </c>
      <c r="E108" t="s">
        <v>4551</v>
      </c>
    </row>
    <row r="109" spans="1:6" x14ac:dyDescent="0.25">
      <c r="B109" t="s">
        <v>4451</v>
      </c>
      <c r="C109">
        <v>3502</v>
      </c>
      <c r="D109" s="3" t="str" cm="1">
        <f t="array" ref="D109">IFERROR(_xlfn.XLOOKUP(TEXT(C109,"0000"),TEXT(Catalog!A:A,"0000"),Catalog!B:B),"")</f>
        <v>ETI 3901129 TERMINAL VS 16 IVO</v>
      </c>
      <c r="E109" t="s">
        <v>4553</v>
      </c>
    </row>
    <row r="110" spans="1:6" x14ac:dyDescent="0.25">
      <c r="B110" t="s">
        <v>4451</v>
      </c>
      <c r="C110">
        <v>3503</v>
      </c>
      <c r="D110" s="3" t="str" cm="1">
        <f t="array" ref="D110">IFERROR(_xlfn.XLOOKUP(TEXT(C110,"0000"),TEXT(Catalog!A:A,"0000"),Catalog!B:B),"")</f>
        <v>ETI 3901130 TERMINAL VS16 BLUE</v>
      </c>
      <c r="F110">
        <v>43</v>
      </c>
    </row>
    <row r="111" spans="1:6" x14ac:dyDescent="0.25">
      <c r="B111" t="s">
        <v>4451</v>
      </c>
      <c r="C111">
        <v>3506</v>
      </c>
      <c r="D111" s="3" t="str" cm="1">
        <f t="array" ref="D111">IFERROR(_xlfn.XLOOKUP(TEXT(C111,"0000"),TEXT(Catalog!A:A,"0000"),Catalog!B:B),"")</f>
        <v>ETI 3901101 TERMINAL VS10 IVOR</v>
      </c>
      <c r="E111" t="s">
        <v>4549</v>
      </c>
    </row>
    <row r="112" spans="1:6" x14ac:dyDescent="0.25">
      <c r="B112" t="s">
        <v>4451</v>
      </c>
      <c r="C112">
        <v>3507</v>
      </c>
      <c r="D112" s="3" t="str" cm="1">
        <f t="array" ref="D112">IFERROR(_xlfn.XLOOKUP(TEXT(C112,"0000"),TEXT(Catalog!A:A,"0000"),Catalog!B:B),"")</f>
        <v>ETI 3901102 TERMINAL VS10 BLUE</v>
      </c>
      <c r="E112" t="s">
        <v>4553</v>
      </c>
    </row>
    <row r="113" spans="2:11" x14ac:dyDescent="0.25">
      <c r="B113" t="s">
        <v>4451</v>
      </c>
      <c r="C113">
        <v>3501</v>
      </c>
      <c r="D113" s="3" t="str" cm="1">
        <f t="array" ref="D113">IFERROR(_xlfn.XLOOKUP(TEXT(C113,"0000"),TEXT(Catalog!A:A,"0000"),Catalog!B:B),"")</f>
        <v>ETI 3901069 TERMINAL VS 6 BLUE</v>
      </c>
      <c r="E113" t="s">
        <v>4553</v>
      </c>
    </row>
    <row r="114" spans="2:11" x14ac:dyDescent="0.25">
      <c r="B114" t="s">
        <v>4451</v>
      </c>
      <c r="C114">
        <v>3495</v>
      </c>
      <c r="D114" s="3" t="str" cm="1">
        <f t="array" ref="D114">IFERROR(_xlfn.XLOOKUP(TEXT(C114,"0000"),TEXT(Catalog!A:A,"0000"),Catalog!B:B),"")</f>
        <v xml:space="preserve">ETI 3901497 GR VS6 YELLO/GR   </v>
      </c>
      <c r="F114">
        <v>47</v>
      </c>
    </row>
    <row r="115" spans="2:11" x14ac:dyDescent="0.25">
      <c r="B115" t="s">
        <v>4451</v>
      </c>
      <c r="C115">
        <v>3496</v>
      </c>
      <c r="D115" s="3" t="str" cm="1">
        <f t="array" ref="D115">IFERROR(_xlfn.XLOOKUP(TEXT(C115,"0000"),TEXT(Catalog!A:A,"0000"),Catalog!B:B),"")</f>
        <v xml:space="preserve">ETI 3901476 GR VS4 YELLO/GR   </v>
      </c>
      <c r="E115" t="s">
        <v>4554</v>
      </c>
    </row>
    <row r="116" spans="2:11" x14ac:dyDescent="0.25">
      <c r="B116" t="s">
        <v>4451</v>
      </c>
      <c r="C116">
        <v>1510</v>
      </c>
      <c r="D116" s="3" t="str" cm="1">
        <f t="array" ref="D116">IFERROR(_xlfn.XLOOKUP(TEXT(C116,"0000"),TEXT(Catalog!A:A,"0000"),Catalog!B:B),"")</f>
        <v xml:space="preserve">INBOUWKAST 1-RIJ BLD 610372   </v>
      </c>
      <c r="E116">
        <v>2</v>
      </c>
    </row>
    <row r="117" spans="2:11" x14ac:dyDescent="0.25">
      <c r="B117" t="s">
        <v>4451</v>
      </c>
      <c r="C117">
        <v>3487</v>
      </c>
      <c r="D117" s="3" t="str" cm="1">
        <f t="array" ref="D117">IFERROR(_xlfn.XLOOKUP(TEXT(C117,"0000"),TEXT(Catalog!A:A,"0000"),Catalog!B:B),"")</f>
        <v xml:space="preserve">ETI 3901375  EINDPLAAT VSV4   </v>
      </c>
      <c r="E117" t="s">
        <v>4555</v>
      </c>
    </row>
    <row r="118" spans="2:11" x14ac:dyDescent="0.25">
      <c r="B118" t="s">
        <v>4451</v>
      </c>
      <c r="C118">
        <v>3492</v>
      </c>
      <c r="D118" s="3" t="str" cm="1">
        <f t="array" ref="D118">IFERROR(_xlfn.XLOOKUP(TEXT(C118,"0000"),TEXT(Catalog!A:A,"0000"),Catalog!B:B),"")</f>
        <v xml:space="preserve">ETI3901360 LIN UP  VSV4 FUSE  </v>
      </c>
      <c r="E118">
        <v>12</v>
      </c>
    </row>
    <row r="119" spans="2:11" x14ac:dyDescent="0.25">
      <c r="B119" t="s">
        <v>4451</v>
      </c>
      <c r="C119" s="6" t="s">
        <v>4541</v>
      </c>
      <c r="D119" s="3" t="str" cm="1">
        <f t="array" ref="D119">IFERROR(_xlfn.XLOOKUP(TEXT(C119,"0000"),TEXT(Catalog!A:A,"0000"),Catalog!B:B),"")</f>
        <v>PLAFONDDOOS 97371201 GRO-2 120</v>
      </c>
      <c r="E119">
        <v>23</v>
      </c>
    </row>
    <row r="120" spans="2:11" x14ac:dyDescent="0.25">
      <c r="D120" t="s">
        <v>4542</v>
      </c>
    </row>
    <row r="121" spans="2:11" x14ac:dyDescent="0.25">
      <c r="D121" t="s">
        <v>4543</v>
      </c>
    </row>
    <row r="122" spans="2:11" x14ac:dyDescent="0.25">
      <c r="D122" t="s">
        <v>4544</v>
      </c>
      <c r="K122" t="s">
        <v>4546</v>
      </c>
    </row>
    <row r="123" spans="2:11" x14ac:dyDescent="0.25">
      <c r="D123" t="s">
        <v>4545</v>
      </c>
      <c r="K123" t="s">
        <v>4546</v>
      </c>
    </row>
    <row r="125" spans="2:11" ht="24" x14ac:dyDescent="0.4">
      <c r="B125" s="42" t="s">
        <v>4461</v>
      </c>
      <c r="C125" s="42"/>
      <c r="D125" s="42"/>
      <c r="E125" s="42"/>
      <c r="F125" s="42"/>
      <c r="G125" s="42"/>
      <c r="H125" s="42"/>
      <c r="I125" s="43" t="s">
        <v>4459</v>
      </c>
      <c r="J125" s="13" t="s">
        <v>4432</v>
      </c>
      <c r="K125" s="44" t="s">
        <v>4460</v>
      </c>
    </row>
    <row r="126" spans="2:11" ht="18.75" x14ac:dyDescent="0.3">
      <c r="B126" s="11" t="s">
        <v>4445</v>
      </c>
      <c r="C126" s="11" t="s">
        <v>4433</v>
      </c>
      <c r="D126" s="11" t="s">
        <v>4434</v>
      </c>
      <c r="E126" s="11" t="s">
        <v>4435</v>
      </c>
      <c r="F126" s="11" t="s">
        <v>4436</v>
      </c>
      <c r="G126" s="11" t="s">
        <v>4444</v>
      </c>
      <c r="H126" s="11" t="s">
        <v>4436</v>
      </c>
      <c r="I126" s="43"/>
      <c r="J126" s="11" t="s">
        <v>4447</v>
      </c>
      <c r="K126" s="44"/>
    </row>
    <row r="127" spans="2:11" x14ac:dyDescent="0.25">
      <c r="B127" t="s">
        <v>4835</v>
      </c>
      <c r="C127">
        <v>7043</v>
      </c>
      <c r="D127" s="3" t="str" cm="1">
        <f t="array" ref="D127">IFERROR(_xlfn.XLOOKUP(TEXT(C127,"0000"),TEXT(Catalog!A:A,"0000"),Catalog!B:B),"")</f>
        <v xml:space="preserve">JVL5-40 16A 1P+N - C 30mA     </v>
      </c>
      <c r="E127">
        <v>95</v>
      </c>
    </row>
    <row r="128" spans="2:11" x14ac:dyDescent="0.25">
      <c r="B128" t="s">
        <v>4835</v>
      </c>
      <c r="C128">
        <v>7018</v>
      </c>
      <c r="D128" s="3" t="str" cm="1">
        <f t="array" ref="D128">IFERROR(_xlfn.XLOOKUP(TEXT(C128,"0000"),TEXT(Catalog!A:A,"0000"),Catalog!B:B),"")</f>
        <v>JVM19-63   6A  2P B-TYPE AUTOM</v>
      </c>
      <c r="E128" t="s">
        <v>4836</v>
      </c>
      <c r="F128">
        <v>1</v>
      </c>
    </row>
    <row r="129" spans="2:11" x14ac:dyDescent="0.25">
      <c r="B129" t="s">
        <v>4835</v>
      </c>
      <c r="C129">
        <v>1959</v>
      </c>
      <c r="D129" s="3" t="str" cm="1">
        <f t="array" ref="D129">IFERROR(_xlfn.XLOOKUP(TEXT(C129,"0000"),TEXT(Catalog!A:A,"0000"),Catalog!B:B),"")</f>
        <v xml:space="preserve">OMSCHAKELAAR 400A 3P+N        </v>
      </c>
      <c r="E129">
        <v>8</v>
      </c>
    </row>
    <row r="130" spans="2:11" x14ac:dyDescent="0.25">
      <c r="B130" t="s">
        <v>4835</v>
      </c>
      <c r="C130">
        <v>1968</v>
      </c>
      <c r="D130" s="3" t="str" cm="1">
        <f t="array" ref="D130">IFERROR(_xlfn.XLOOKUP(TEXT(C130,"0000"),TEXT(Catalog!A:A,"0000"),Catalog!B:B),"")</f>
        <v xml:space="preserve">SCHAKELAAR MESPATR INB 125A   </v>
      </c>
      <c r="E130">
        <v>7</v>
      </c>
    </row>
    <row r="131" spans="2:11" x14ac:dyDescent="0.25">
      <c r="B131" t="s">
        <v>4835</v>
      </c>
      <c r="C131">
        <v>1969</v>
      </c>
      <c r="D131" s="3" t="str" cm="1">
        <f t="array" ref="D131">IFERROR(_xlfn.XLOOKUP(TEXT(C131,"0000"),TEXT(Catalog!A:A,"0000"),Catalog!B:B),"")</f>
        <v xml:space="preserve">SCHAKELAAR MESPATR INB 160A   </v>
      </c>
      <c r="E131">
        <v>2</v>
      </c>
    </row>
    <row r="132" spans="2:11" x14ac:dyDescent="0.25">
      <c r="B132" t="s">
        <v>4835</v>
      </c>
      <c r="C132">
        <v>1970</v>
      </c>
      <c r="D132" s="3" t="str" cm="1">
        <f t="array" ref="D132">IFERROR(_xlfn.XLOOKUP(TEXT(C132,"0000"),TEXT(Catalog!A:A,"0000"),Catalog!B:B),"")</f>
        <v xml:space="preserve">SCHAKELAAR MESPATR INB 250A   </v>
      </c>
      <c r="E132">
        <v>5</v>
      </c>
    </row>
    <row r="133" spans="2:11" x14ac:dyDescent="0.25">
      <c r="B133" t="s">
        <v>4835</v>
      </c>
      <c r="C133">
        <v>1971</v>
      </c>
      <c r="D133" s="3" t="str" cm="1">
        <f t="array" ref="D133">IFERROR(_xlfn.XLOOKUP(TEXT(C133,"0000"),TEXT(Catalog!A:A,"0000"),Catalog!B:B),"")</f>
        <v xml:space="preserve">SCHAKELAAR MESPATR INB 400A   </v>
      </c>
      <c r="E133">
        <v>3</v>
      </c>
    </row>
    <row r="134" spans="2:11" x14ac:dyDescent="0.25">
      <c r="B134" t="s">
        <v>4835</v>
      </c>
      <c r="C134">
        <v>1972</v>
      </c>
      <c r="D134" s="3" t="str" cm="1">
        <f t="array" ref="D134">IFERROR(_xlfn.XLOOKUP(TEXT(C134,"0000"),TEXT(Catalog!A:A,"0000"),Catalog!B:B),"")</f>
        <v xml:space="preserve">SCHAKELAAR MESPATR INB 630A   </v>
      </c>
      <c r="E134">
        <v>3</v>
      </c>
    </row>
    <row r="135" spans="2:11" x14ac:dyDescent="0.25">
      <c r="D135" s="3"/>
    </row>
    <row r="136" spans="2:11" ht="24" x14ac:dyDescent="0.4">
      <c r="B136" s="42" t="s">
        <v>4556</v>
      </c>
      <c r="C136" s="42"/>
      <c r="D136" s="42"/>
      <c r="E136" s="42"/>
      <c r="F136" s="42"/>
      <c r="G136" s="42"/>
      <c r="H136" s="42"/>
      <c r="I136" s="43" t="s">
        <v>4459</v>
      </c>
      <c r="J136" s="13" t="s">
        <v>4432</v>
      </c>
      <c r="K136" s="44" t="s">
        <v>4460</v>
      </c>
    </row>
    <row r="137" spans="2:11" ht="18.75" x14ac:dyDescent="0.3">
      <c r="B137" s="11" t="s">
        <v>4445</v>
      </c>
      <c r="C137" s="11" t="s">
        <v>4433</v>
      </c>
      <c r="D137" s="11" t="s">
        <v>4434</v>
      </c>
      <c r="E137" s="11" t="s">
        <v>4435</v>
      </c>
      <c r="F137" s="11" t="s">
        <v>4436</v>
      </c>
      <c r="G137" s="11" t="s">
        <v>4444</v>
      </c>
      <c r="H137" s="11" t="s">
        <v>4436</v>
      </c>
      <c r="I137" s="43"/>
      <c r="J137" s="11" t="s">
        <v>4447</v>
      </c>
      <c r="K137" s="44"/>
    </row>
    <row r="138" spans="2:11" x14ac:dyDescent="0.25">
      <c r="B138" t="s">
        <v>4835</v>
      </c>
      <c r="C138" s="6">
        <v>7000</v>
      </c>
      <c r="D138" s="3" t="str" cm="1">
        <f t="array" ref="D138">IFERROR(_xlfn.XLOOKUP(TEXT(C138,"0000"),TEXT(Catalog!A:A,"0000"),Catalog!B:B),"")</f>
        <v>JVD16 - 63   40A 4P SCHAKELAAR</v>
      </c>
      <c r="E138" t="s">
        <v>4837</v>
      </c>
    </row>
    <row r="139" spans="2:11" x14ac:dyDescent="0.25">
      <c r="B139" t="s">
        <v>4835</v>
      </c>
      <c r="C139" s="6">
        <v>7001</v>
      </c>
      <c r="D139" s="3" t="str" cm="1">
        <f t="array" ref="D139">IFERROR(_xlfn.XLOOKUP(TEXT(C139,"0000"),TEXT(Catalog!A:A,"0000"),Catalog!B:B),"")</f>
        <v>JVD16 - 63   63A 4P SCHAKELAAR</v>
      </c>
      <c r="E139" t="s">
        <v>4838</v>
      </c>
      <c r="F139">
        <v>2</v>
      </c>
    </row>
    <row r="140" spans="2:11" x14ac:dyDescent="0.25">
      <c r="B140" t="s">
        <v>4835</v>
      </c>
      <c r="C140" s="6">
        <v>7004</v>
      </c>
      <c r="D140" s="3" t="str" cm="1">
        <f t="array" ref="D140">IFERROR(_xlfn.XLOOKUP(TEXT(C140,"0000"),TEXT(Catalog!A:A,"0000"),Catalog!B:B),"")</f>
        <v xml:space="preserve">JVD16 -125 125A 4P SCHAKELAAR </v>
      </c>
      <c r="E140" t="s">
        <v>4839</v>
      </c>
      <c r="F140">
        <v>1</v>
      </c>
    </row>
    <row r="141" spans="2:11" x14ac:dyDescent="0.25">
      <c r="B141" t="s">
        <v>4835</v>
      </c>
      <c r="C141" s="6">
        <v>7063</v>
      </c>
      <c r="D141" s="3" t="str" cm="1">
        <f t="array" ref="D141">IFERROR(_xlfn.XLOOKUP(TEXT(C141,"0000"),TEXT(Catalog!A:A,"0000"),Catalog!B:B),"")</f>
        <v xml:space="preserve">JVRO16-32 1P+N C 25 30 mA     </v>
      </c>
      <c r="E141" t="s">
        <v>4840</v>
      </c>
      <c r="F141">
        <v>3</v>
      </c>
    </row>
    <row r="142" spans="2:11" x14ac:dyDescent="0.25">
      <c r="B142" t="s">
        <v>4835</v>
      </c>
      <c r="C142" s="6">
        <v>7062</v>
      </c>
      <c r="D142" s="3" t="str" cm="1">
        <f t="array" ref="D142">IFERROR(_xlfn.XLOOKUP(TEXT(C142,"0000"),TEXT(Catalog!A:A,"0000"),Catalog!B:B),"")</f>
        <v xml:space="preserve">JVRO16-32 1P+N C 20 30 mA     </v>
      </c>
      <c r="E142" t="s">
        <v>4841</v>
      </c>
      <c r="F142">
        <v>7</v>
      </c>
    </row>
    <row r="143" spans="2:11" x14ac:dyDescent="0.25">
      <c r="B143" t="s">
        <v>4835</v>
      </c>
      <c r="C143" s="7">
        <v>7022</v>
      </c>
      <c r="D143" s="3" t="str" cm="1">
        <f t="array" ref="D143">IFERROR(_xlfn.XLOOKUP(TEXT(C143,"0000"),TEXT(Catalog!A:A,"0000"),Catalog!B:B),"")</f>
        <v>JVM19 -63  16A 3P C-TYPE AUTOM</v>
      </c>
      <c r="E143" t="s">
        <v>4842</v>
      </c>
      <c r="F143">
        <v>1</v>
      </c>
    </row>
    <row r="144" spans="2:11" x14ac:dyDescent="0.25">
      <c r="B144" t="s">
        <v>4835</v>
      </c>
      <c r="C144" s="7">
        <v>7003</v>
      </c>
      <c r="D144" s="3" t="str" cm="1">
        <f t="array" ref="D144">IFERROR(_xlfn.XLOOKUP(TEXT(C144,"0000"),TEXT(Catalog!A:A,"0000"),Catalog!B:B),"")</f>
        <v xml:space="preserve">JVD16 -125 100A 4P SCHAKELAAR </v>
      </c>
      <c r="E144" t="s">
        <v>4843</v>
      </c>
      <c r="F144">
        <v>1</v>
      </c>
    </row>
    <row r="145" spans="2:11" x14ac:dyDescent="0.25">
      <c r="B145" t="s">
        <v>4561</v>
      </c>
      <c r="C145" s="7">
        <v>7023</v>
      </c>
      <c r="D145" s="3" t="str" cm="1">
        <f t="array" ref="D145">IFERROR(_xlfn.XLOOKUP(TEXT(C145,"0000"),TEXT(Catalog!A:A,"0000"),Catalog!B:B),"")</f>
        <v>JVM19 -63  20A 3P C-TYPE AUTOM</v>
      </c>
      <c r="E145" t="s">
        <v>4855</v>
      </c>
      <c r="F145">
        <v>3</v>
      </c>
    </row>
    <row r="146" spans="2:11" x14ac:dyDescent="0.25">
      <c r="B146" t="s">
        <v>4561</v>
      </c>
      <c r="C146" s="7">
        <v>7024</v>
      </c>
      <c r="D146" s="3" t="str" cm="1">
        <f t="array" ref="D146">IFERROR(_xlfn.XLOOKUP(TEXT(C146,"0000"),TEXT(Catalog!A:A,"0000"),Catalog!B:B),"")</f>
        <v>JVM16 -63  25A 3P C-TYPE AUTOM</v>
      </c>
      <c r="E146" t="s">
        <v>4854</v>
      </c>
      <c r="F146">
        <v>1</v>
      </c>
    </row>
    <row r="147" spans="2:11" x14ac:dyDescent="0.25">
      <c r="B147" t="s">
        <v>4561</v>
      </c>
      <c r="C147" s="7">
        <v>7025</v>
      </c>
      <c r="D147" s="3" t="str" cm="1">
        <f t="array" ref="D147">IFERROR(_xlfn.XLOOKUP(TEXT(C147,"0000"),TEXT(Catalog!A:A,"0000"),Catalog!B:B),"")</f>
        <v>JVM16 -63  32A 3P C-TYPE AUTOM</v>
      </c>
      <c r="E147" t="s">
        <v>4853</v>
      </c>
    </row>
    <row r="148" spans="2:11" x14ac:dyDescent="0.25">
      <c r="B148" t="s">
        <v>4561</v>
      </c>
      <c r="C148" s="7">
        <v>7026</v>
      </c>
      <c r="D148" s="3" t="str" cm="1">
        <f t="array" ref="D148">IFERROR(_xlfn.XLOOKUP(TEXT(C148,"0000"),TEXT(Catalog!A:A,"0000"),Catalog!B:B),"")</f>
        <v>JVM16 -63  40A 3P C-TYPE AUTOM</v>
      </c>
      <c r="E148" t="s">
        <v>4848</v>
      </c>
      <c r="F148">
        <v>3</v>
      </c>
    </row>
    <row r="149" spans="2:11" x14ac:dyDescent="0.25">
      <c r="B149" t="s">
        <v>4561</v>
      </c>
      <c r="C149" s="7">
        <v>7027</v>
      </c>
      <c r="D149" s="3" t="str" cm="1">
        <f t="array" ref="D149">IFERROR(_xlfn.XLOOKUP(TEXT(C149,"0000"),TEXT(Catalog!A:A,"0000"),Catalog!B:B),"")</f>
        <v>JVM19 -63  50A 3P C-TYPE AUTOM</v>
      </c>
      <c r="E149" t="s">
        <v>4852</v>
      </c>
    </row>
    <row r="150" spans="2:11" x14ac:dyDescent="0.25">
      <c r="B150" t="s">
        <v>4561</v>
      </c>
      <c r="C150" s="7"/>
      <c r="D150" s="3" cm="1">
        <f t="array" ref="D150">IFERROR(_xlfn.XLOOKUP(TEXT(C150,"0000"),TEXT(Catalog!A:A,"0000"),Catalog!B:B),"")</f>
        <v>0</v>
      </c>
      <c r="E150" t="s">
        <v>4849</v>
      </c>
    </row>
    <row r="151" spans="2:11" x14ac:dyDescent="0.25">
      <c r="B151" t="s">
        <v>4561</v>
      </c>
      <c r="C151" s="7">
        <v>7028</v>
      </c>
      <c r="D151" s="3" t="str" cm="1">
        <f t="array" ref="D151">IFERROR(_xlfn.XLOOKUP(TEXT(C151,"0000"),TEXT(Catalog!A:A,"0000"),Catalog!B:B),"")</f>
        <v>JVM19 -63  63A 3P C-TYPE AUTOM</v>
      </c>
      <c r="E151" t="s">
        <v>4850</v>
      </c>
      <c r="F151" t="s">
        <v>4848</v>
      </c>
      <c r="K151" t="s">
        <v>4851</v>
      </c>
    </row>
    <row r="152" spans="2:11" x14ac:dyDescent="0.25">
      <c r="B152" t="s">
        <v>4561</v>
      </c>
      <c r="C152" s="7">
        <v>7009</v>
      </c>
      <c r="D152" s="3" t="str" cm="1">
        <f t="array" ref="D152">IFERROR(_xlfn.XLOOKUP(TEXT(C152,"0000"),TEXT(Catalog!A:A,"0000"),Catalog!B:B),"")</f>
        <v xml:space="preserve"> JVM16 -32   6A1P+N B-TYPE AUT</v>
      </c>
      <c r="E152" t="s">
        <v>4847</v>
      </c>
      <c r="F152">
        <v>7</v>
      </c>
    </row>
    <row r="153" spans="2:11" x14ac:dyDescent="0.25">
      <c r="B153" t="s">
        <v>4561</v>
      </c>
      <c r="C153" s="7">
        <v>7007</v>
      </c>
      <c r="D153" s="3" t="str" cm="1">
        <f t="array" ref="D153">IFERROR(_xlfn.XLOOKUP(TEXT(C153,"0000"),TEXT(Catalog!A:A,"0000"),Catalog!B:B),"")</f>
        <v>JVL16 -63 40A 4P 300mA AARDLEK</v>
      </c>
      <c r="E153">
        <v>16</v>
      </c>
    </row>
    <row r="154" spans="2:11" x14ac:dyDescent="0.25">
      <c r="B154" t="s">
        <v>4561</v>
      </c>
      <c r="C154" s="7">
        <v>7008</v>
      </c>
      <c r="D154" s="3" t="str" cm="1">
        <f t="array" ref="D154">IFERROR(_xlfn.XLOOKUP(TEXT(C154,"0000"),TEXT(Catalog!A:A,"0000"),Catalog!B:B),"")</f>
        <v>JVL16 -63 63A 4P 300mA AARDLEK</v>
      </c>
      <c r="E154">
        <v>45</v>
      </c>
    </row>
    <row r="155" spans="2:11" x14ac:dyDescent="0.25">
      <c r="C155" s="7"/>
      <c r="D155" s="3"/>
    </row>
    <row r="158" spans="2:11" ht="24" x14ac:dyDescent="0.4">
      <c r="B158" s="35" t="s">
        <v>4557</v>
      </c>
      <c r="C158" s="36"/>
      <c r="D158" s="36"/>
      <c r="E158" s="36"/>
      <c r="F158" s="36"/>
      <c r="G158" s="36"/>
      <c r="H158" s="37"/>
      <c r="I158" s="43" t="s">
        <v>4459</v>
      </c>
      <c r="J158" s="13" t="s">
        <v>4432</v>
      </c>
      <c r="K158" s="44" t="s">
        <v>4460</v>
      </c>
    </row>
    <row r="159" spans="2:11" ht="18.75" x14ac:dyDescent="0.3">
      <c r="B159" s="11" t="s">
        <v>4445</v>
      </c>
      <c r="C159" s="11" t="s">
        <v>4433</v>
      </c>
      <c r="D159" s="11" t="s">
        <v>4434</v>
      </c>
      <c r="E159" s="11" t="s">
        <v>4435</v>
      </c>
      <c r="F159" s="11" t="s">
        <v>4436</v>
      </c>
      <c r="G159" s="11" t="s">
        <v>4444</v>
      </c>
      <c r="H159" s="11" t="s">
        <v>4436</v>
      </c>
      <c r="I159" s="43"/>
      <c r="J159" s="11" t="s">
        <v>4447</v>
      </c>
      <c r="K159" s="44"/>
    </row>
    <row r="160" spans="2:11" x14ac:dyDescent="0.25">
      <c r="B160" t="s">
        <v>4835</v>
      </c>
      <c r="C160">
        <v>7154</v>
      </c>
      <c r="D160" s="3" t="str" cm="1">
        <f t="array" ref="D160">IFERROR(_xlfn.XLOOKUP(TEXT(C160,"0000"),TEXT(Catalog!A:A,"0000"),Catalog!B:B),"")</f>
        <v xml:space="preserve">INB.KAST 12/14MD 5012R1       </v>
      </c>
      <c r="E160">
        <v>40</v>
      </c>
    </row>
    <row r="161" spans="2:11" x14ac:dyDescent="0.25">
      <c r="B161" t="s">
        <v>4835</v>
      </c>
      <c r="C161">
        <v>7155</v>
      </c>
      <c r="D161" s="3" t="str" cm="1">
        <f t="array" ref="D161">IFERROR(_xlfn.XLOOKUP(TEXT(C161,"0000"),TEXT(Catalog!A:A,"0000"),Catalog!B:B),"")</f>
        <v xml:space="preserve">INB.KAST 24/28MD 5250R1       </v>
      </c>
      <c r="E161">
        <v>15</v>
      </c>
    </row>
    <row r="162" spans="2:11" x14ac:dyDescent="0.25">
      <c r="B162" t="s">
        <v>4835</v>
      </c>
      <c r="C162">
        <v>7156</v>
      </c>
      <c r="D162" s="3" t="str" cm="1">
        <f t="array" ref="D162">IFERROR(_xlfn.XLOOKUP(TEXT(C162,"0000"),TEXT(Catalog!A:A,"0000"),Catalog!B:B),"")</f>
        <v xml:space="preserve">INB.KAST 36/42MD 5260R1       </v>
      </c>
      <c r="E162">
        <v>8</v>
      </c>
    </row>
    <row r="165" spans="2:11" ht="24" x14ac:dyDescent="0.4">
      <c r="B165" s="42" t="s">
        <v>4440</v>
      </c>
      <c r="C165" s="42"/>
      <c r="D165" s="42"/>
      <c r="E165" s="42"/>
      <c r="F165" s="42"/>
      <c r="G165" s="42"/>
      <c r="H165" s="42"/>
      <c r="I165" s="43" t="s">
        <v>4459</v>
      </c>
      <c r="J165" s="13" t="s">
        <v>4432</v>
      </c>
      <c r="K165" s="44" t="s">
        <v>4460</v>
      </c>
    </row>
    <row r="166" spans="2:11" ht="18.75" x14ac:dyDescent="0.3">
      <c r="B166" s="11" t="s">
        <v>4445</v>
      </c>
      <c r="C166" s="11" t="s">
        <v>4433</v>
      </c>
      <c r="D166" s="11" t="s">
        <v>4434</v>
      </c>
      <c r="E166" s="11" t="s">
        <v>4435</v>
      </c>
      <c r="F166" s="11" t="s">
        <v>4436</v>
      </c>
      <c r="G166" s="11" t="s">
        <v>4444</v>
      </c>
      <c r="H166" s="11" t="s">
        <v>4436</v>
      </c>
      <c r="I166" s="43"/>
      <c r="J166" s="11" t="s">
        <v>4447</v>
      </c>
      <c r="K166" s="44"/>
    </row>
    <row r="167" spans="2:11" x14ac:dyDescent="0.25">
      <c r="B167" t="s">
        <v>4451</v>
      </c>
      <c r="C167">
        <v>7010</v>
      </c>
      <c r="D167" s="3" t="s">
        <v>3780</v>
      </c>
      <c r="E167">
        <f>120+120+84</f>
        <v>324</v>
      </c>
    </row>
    <row r="168" spans="2:11" x14ac:dyDescent="0.25">
      <c r="B168" t="s">
        <v>4451</v>
      </c>
      <c r="C168">
        <v>7013</v>
      </c>
      <c r="D168" s="3" t="s">
        <v>3784</v>
      </c>
      <c r="E168">
        <f>120+60+5</f>
        <v>185</v>
      </c>
    </row>
    <row r="169" spans="2:11" x14ac:dyDescent="0.25">
      <c r="B169" t="s">
        <v>4451</v>
      </c>
      <c r="C169">
        <v>7011</v>
      </c>
      <c r="D169" s="3" t="s">
        <v>3782</v>
      </c>
      <c r="E169">
        <f>9*12</f>
        <v>108</v>
      </c>
    </row>
    <row r="170" spans="2:11" x14ac:dyDescent="0.25">
      <c r="B170" t="s">
        <v>4451</v>
      </c>
      <c r="C170">
        <v>7014</v>
      </c>
      <c r="D170" s="3" t="s">
        <v>3786</v>
      </c>
      <c r="E170">
        <f>4*12+1</f>
        <v>49</v>
      </c>
    </row>
    <row r="171" spans="2:11" x14ac:dyDescent="0.25">
      <c r="B171" t="s">
        <v>4451</v>
      </c>
      <c r="C171">
        <v>7015</v>
      </c>
      <c r="D171" s="3" t="s">
        <v>3788</v>
      </c>
      <c r="E171">
        <f>4*12+2</f>
        <v>50</v>
      </c>
    </row>
    <row r="172" spans="2:11" x14ac:dyDescent="0.25">
      <c r="B172" t="s">
        <v>4451</v>
      </c>
      <c r="C172">
        <v>7016</v>
      </c>
      <c r="D172" s="3" t="s">
        <v>3790</v>
      </c>
      <c r="E172">
        <f>(10*12)+7</f>
        <v>127</v>
      </c>
    </row>
    <row r="173" spans="2:11" x14ac:dyDescent="0.25">
      <c r="B173" t="s">
        <v>4451</v>
      </c>
      <c r="C173">
        <v>7017</v>
      </c>
      <c r="D173" s="3" t="s">
        <v>3792</v>
      </c>
      <c r="E173">
        <f>5*120</f>
        <v>600</v>
      </c>
    </row>
    <row r="174" spans="2:11" x14ac:dyDescent="0.25">
      <c r="B174" t="s">
        <v>4451</v>
      </c>
      <c r="C174">
        <v>7019</v>
      </c>
      <c r="D174" s="3" t="s">
        <v>3796</v>
      </c>
      <c r="E174">
        <f>(8*120)+(6*12)</f>
        <v>1032</v>
      </c>
    </row>
    <row r="175" spans="2:11" x14ac:dyDescent="0.25">
      <c r="B175" t="s">
        <v>4451</v>
      </c>
      <c r="C175">
        <v>7020</v>
      </c>
      <c r="D175" s="3" t="s">
        <v>3798</v>
      </c>
      <c r="E175">
        <f>6+5</f>
        <v>11</v>
      </c>
    </row>
    <row r="176" spans="2:11" x14ac:dyDescent="0.25">
      <c r="B176" t="s">
        <v>4451</v>
      </c>
      <c r="C176">
        <v>7021</v>
      </c>
      <c r="D176" s="3" t="s">
        <v>3800</v>
      </c>
      <c r="E176">
        <f>60+3</f>
        <v>63</v>
      </c>
    </row>
    <row r="177" spans="2:11" x14ac:dyDescent="0.25">
      <c r="D177" s="3"/>
    </row>
    <row r="178" spans="2:11" ht="24" x14ac:dyDescent="0.4">
      <c r="B178" s="42" t="s">
        <v>4558</v>
      </c>
      <c r="C178" s="42"/>
      <c r="D178" s="42"/>
      <c r="E178" s="42"/>
      <c r="F178" s="42"/>
      <c r="G178" s="42"/>
      <c r="H178" s="42"/>
      <c r="I178" s="43" t="s">
        <v>4459</v>
      </c>
      <c r="J178" s="13" t="s">
        <v>4432</v>
      </c>
      <c r="K178" s="44" t="s">
        <v>4460</v>
      </c>
    </row>
    <row r="179" spans="2:11" ht="18.75" x14ac:dyDescent="0.3">
      <c r="B179" s="11" t="s">
        <v>4445</v>
      </c>
      <c r="C179" s="11" t="s">
        <v>4433</v>
      </c>
      <c r="D179" s="11" t="s">
        <v>4434</v>
      </c>
      <c r="E179" s="11" t="s">
        <v>4435</v>
      </c>
      <c r="F179" s="11" t="s">
        <v>4436</v>
      </c>
      <c r="G179" s="11" t="s">
        <v>4444</v>
      </c>
      <c r="H179" s="11" t="s">
        <v>4436</v>
      </c>
      <c r="I179" s="43"/>
      <c r="J179" s="11" t="s">
        <v>4447</v>
      </c>
      <c r="K179" s="44"/>
    </row>
    <row r="180" spans="2:11" x14ac:dyDescent="0.25">
      <c r="B180" t="s">
        <v>4451</v>
      </c>
      <c r="C180" s="21">
        <v>7007</v>
      </c>
      <c r="D180" s="3" t="str" cm="1">
        <f t="array" ref="D180">IFERROR(_xlfn.XLOOKUP(TEXT(C180,"0000"),TEXT(Catalog!A:A,"0000"),Catalog!B:B),"")</f>
        <v>JVL16 -63 40A 4P 300mA AARDLEK</v>
      </c>
      <c r="E180">
        <v>5</v>
      </c>
    </row>
    <row r="181" spans="2:11" x14ac:dyDescent="0.25">
      <c r="B181" t="s">
        <v>4451</v>
      </c>
      <c r="C181">
        <v>7182</v>
      </c>
      <c r="D181" s="3" t="str" cm="1">
        <f t="array" ref="D181">IFERROR(_xlfn.XLOOKUP(TEXT(C181,"0000"),TEXT(Catalog!A:A,"0000"),Catalog!B:B),"")</f>
        <v xml:space="preserve">ROL VERLENGSNOER 15M 7423/1   </v>
      </c>
      <c r="E181">
        <v>15</v>
      </c>
    </row>
    <row r="182" spans="2:11" x14ac:dyDescent="0.25">
      <c r="B182" t="s">
        <v>4451</v>
      </c>
      <c r="C182">
        <v>7183</v>
      </c>
      <c r="D182" s="3" t="str" cm="1">
        <f t="array" ref="D182">IFERROR(_xlfn.XLOOKUP(TEXT(C182,"0000"),TEXT(Catalog!A:A,"0000"),Catalog!B:B),"")</f>
        <v xml:space="preserve">ROL VERLENGSNOER 25M 7425/1   </v>
      </c>
      <c r="E182">
        <v>16</v>
      </c>
    </row>
    <row r="183" spans="2:11" x14ac:dyDescent="0.25">
      <c r="B183" t="s">
        <v>4451</v>
      </c>
      <c r="C183">
        <v>7005</v>
      </c>
      <c r="D183" s="3" t="str" cm="1">
        <f t="array" ref="D183">IFERROR(_xlfn.XLOOKUP(TEXT(C183,"0000"),TEXT(Catalog!A:A,"0000"),Catalog!B:B),"")</f>
        <v>JVL16 -63  40A 4P 30mA AARDLEK</v>
      </c>
      <c r="E183" t="s">
        <v>4555</v>
      </c>
      <c r="F183">
        <v>38</v>
      </c>
    </row>
    <row r="184" spans="2:11" x14ac:dyDescent="0.25">
      <c r="B184" t="s">
        <v>4451</v>
      </c>
      <c r="C184">
        <v>7030</v>
      </c>
      <c r="D184" s="3" t="str" cm="1">
        <f t="array" ref="D184">IFERROR(_xlfn.XLOOKUP(TEXT(C184,"0000"),TEXT(Catalog!A:A,"0000"),Catalog!B:B),"")</f>
        <v>JVM16-63 16A 3P+N C-TYPE AUTOM</v>
      </c>
      <c r="E184" t="s">
        <v>4653</v>
      </c>
      <c r="F184">
        <v>5</v>
      </c>
      <c r="K184" t="s">
        <v>4845</v>
      </c>
    </row>
    <row r="185" spans="2:11" x14ac:dyDescent="0.25">
      <c r="B185" t="s">
        <v>4451</v>
      </c>
      <c r="C185">
        <v>7032</v>
      </c>
      <c r="D185" s="3" t="str" cm="1">
        <f t="array" ref="D185">IFERROR(_xlfn.XLOOKUP(TEXT(C185,"0000"),TEXT(Catalog!A:A,"0000"),Catalog!B:B),"")</f>
        <v>JVM16 -63 32A 3P+N C-TYPE AUTO</v>
      </c>
      <c r="E185" t="s">
        <v>4844</v>
      </c>
      <c r="F185">
        <v>7</v>
      </c>
      <c r="K185" t="s">
        <v>4845</v>
      </c>
    </row>
    <row r="186" spans="2:11" x14ac:dyDescent="0.25">
      <c r="B186" t="s">
        <v>4451</v>
      </c>
      <c r="C186">
        <v>7033</v>
      </c>
      <c r="D186" s="3" t="str" cm="1">
        <f t="array" ref="D186">IFERROR(_xlfn.XLOOKUP(TEXT(C186,"0000"),TEXT(Catalog!A:A,"0000"),Catalog!B:B),"")</f>
        <v>JVM16 -63 40A 3P+N C-TYPE AUTO</v>
      </c>
      <c r="E186" t="s">
        <v>4844</v>
      </c>
      <c r="F186">
        <v>2</v>
      </c>
      <c r="K186" t="s">
        <v>4845</v>
      </c>
    </row>
    <row r="187" spans="2:11" x14ac:dyDescent="0.25">
      <c r="B187" t="s">
        <v>4451</v>
      </c>
      <c r="C187">
        <v>7034</v>
      </c>
      <c r="D187" s="3" t="str" cm="1">
        <f t="array" ref="D187">IFERROR(_xlfn.XLOOKUP(TEXT(C187,"0000"),TEXT(Catalog!A:A,"0000"),Catalog!B:B),"")</f>
        <v>JVM16 -63 50A 3P+N C-TYPE AUTO</v>
      </c>
      <c r="F187">
        <v>4</v>
      </c>
    </row>
    <row r="188" spans="2:11" x14ac:dyDescent="0.25">
      <c r="B188" t="s">
        <v>4451</v>
      </c>
      <c r="D188" t="s">
        <v>4846</v>
      </c>
      <c r="E188" t="s">
        <v>4653</v>
      </c>
      <c r="K188" t="s">
        <v>4845</v>
      </c>
    </row>
    <row r="189" spans="2:11" x14ac:dyDescent="0.25">
      <c r="B189" t="s">
        <v>4451</v>
      </c>
      <c r="C189">
        <v>7035</v>
      </c>
      <c r="D189" s="3" t="str" cm="1">
        <f t="array" ref="D189">IFERROR(_xlfn.XLOOKUP(TEXT(C189,"0000"),TEXT(Catalog!A:A,"0000"),Catalog!B:B),"")</f>
        <v>JVM16 -63 63A 3P+N C-TYPE AUTO</v>
      </c>
      <c r="E189" t="s">
        <v>4653</v>
      </c>
      <c r="F189">
        <v>5</v>
      </c>
      <c r="K189" t="s">
        <v>4845</v>
      </c>
    </row>
    <row r="191" spans="2:11" ht="24" x14ac:dyDescent="0.4">
      <c r="B191" s="42" t="s">
        <v>4856</v>
      </c>
      <c r="C191" s="42"/>
      <c r="D191" s="42"/>
      <c r="E191" s="42"/>
      <c r="F191" s="42"/>
      <c r="G191" s="42"/>
      <c r="H191" s="42"/>
      <c r="I191" s="43" t="s">
        <v>4459</v>
      </c>
      <c r="J191" s="13" t="s">
        <v>4432</v>
      </c>
      <c r="K191" s="44" t="s">
        <v>4460</v>
      </c>
    </row>
    <row r="192" spans="2:11" ht="18.75" x14ac:dyDescent="0.3">
      <c r="B192" s="11" t="s">
        <v>4445</v>
      </c>
      <c r="C192" s="11" t="s">
        <v>4433</v>
      </c>
      <c r="D192" s="11" t="s">
        <v>4434</v>
      </c>
      <c r="E192" s="11" t="s">
        <v>4435</v>
      </c>
      <c r="F192" s="11" t="s">
        <v>4436</v>
      </c>
      <c r="G192" s="11" t="s">
        <v>4444</v>
      </c>
      <c r="H192" s="11" t="s">
        <v>4436</v>
      </c>
      <c r="I192" s="43"/>
      <c r="J192" s="11" t="s">
        <v>4447</v>
      </c>
      <c r="K192" s="44"/>
    </row>
    <row r="193" spans="2:5" x14ac:dyDescent="0.25">
      <c r="B193" t="s">
        <v>4561</v>
      </c>
      <c r="C193">
        <v>1940</v>
      </c>
      <c r="D193" s="3" t="str" cm="1">
        <f t="array" ref="D193">IFERROR(_xlfn.XLOOKUP(TEXT(C193,"0000"),TEXT(Catalog!A:A,"0000"),Catalog!B:B),"")</f>
        <v xml:space="preserve">HOOFDSCHAKELAAR 1000A         </v>
      </c>
      <c r="E193">
        <v>4</v>
      </c>
    </row>
    <row r="194" spans="2:5" x14ac:dyDescent="0.25">
      <c r="B194" t="s">
        <v>4561</v>
      </c>
      <c r="C194">
        <v>1939</v>
      </c>
      <c r="D194" s="3" t="str" cm="1">
        <f t="array" ref="D194">IFERROR(_xlfn.XLOOKUP(TEXT(C194,"0000"),TEXT(Catalog!A:A,"0000"),Catalog!B:B),"")</f>
        <v xml:space="preserve">HOOFDSCHAKELAAR 800A          </v>
      </c>
      <c r="E194">
        <v>4</v>
      </c>
    </row>
    <row r="195" spans="2:5" x14ac:dyDescent="0.25">
      <c r="B195" t="s">
        <v>4561</v>
      </c>
      <c r="C195">
        <v>1938</v>
      </c>
      <c r="D195" s="3" t="str" cm="1">
        <f t="array" ref="D195">IFERROR(_xlfn.XLOOKUP(TEXT(C195,"0000"),TEXT(Catalog!A:A,"0000"),Catalog!B:B),"")</f>
        <v xml:space="preserve">HOOFDSCHAKELAAR 630A          </v>
      </c>
      <c r="E195">
        <v>7</v>
      </c>
    </row>
    <row r="196" spans="2:5" x14ac:dyDescent="0.25">
      <c r="B196" t="s">
        <v>4561</v>
      </c>
      <c r="C196">
        <v>1937</v>
      </c>
      <c r="D196" s="3" t="str" cm="1">
        <f t="array" ref="D196">IFERROR(_xlfn.XLOOKUP(TEXT(C196,"0000"),TEXT(Catalog!A:A,"0000"),Catalog!B:B),"")</f>
        <v xml:space="preserve">HOOFDSCHAKELAAR 400A          </v>
      </c>
      <c r="E196">
        <v>3</v>
      </c>
    </row>
    <row r="197" spans="2:5" x14ac:dyDescent="0.25">
      <c r="B197" t="s">
        <v>4561</v>
      </c>
      <c r="C197">
        <v>1936</v>
      </c>
      <c r="D197" s="3" t="str" cm="1">
        <f t="array" ref="D197">IFERROR(_xlfn.XLOOKUP(TEXT(C197,"0000"),TEXT(Catalog!A:A,"0000"),Catalog!B:B),"")</f>
        <v xml:space="preserve">HOOFDSCHAKELAAR 250A          </v>
      </c>
      <c r="E197">
        <v>3</v>
      </c>
    </row>
    <row r="198" spans="2:5" x14ac:dyDescent="0.25">
      <c r="B198" t="s">
        <v>4561</v>
      </c>
      <c r="C198">
        <v>1935</v>
      </c>
      <c r="D198" s="3" t="str" cm="1">
        <f t="array" ref="D198">IFERROR(_xlfn.XLOOKUP(TEXT(C198,"0000"),TEXT(Catalog!A:A,"0000"),Catalog!B:B),"")</f>
        <v xml:space="preserve">HOOFDSCHAKELAAR 160A S5000    </v>
      </c>
      <c r="E198">
        <v>23</v>
      </c>
    </row>
    <row r="199" spans="2:5" x14ac:dyDescent="0.25">
      <c r="B199" t="s">
        <v>4561</v>
      </c>
      <c r="C199">
        <v>1934</v>
      </c>
      <c r="D199" s="3" t="str" cm="1">
        <f t="array" ref="D199">IFERROR(_xlfn.XLOOKUP(TEXT(C199,"0000"),TEXT(Catalog!A:A,"0000"),Catalog!B:B),"")</f>
        <v xml:space="preserve">HOOFDSCHAKELAAR 160A INBUS    </v>
      </c>
      <c r="E199">
        <v>20</v>
      </c>
    </row>
    <row r="200" spans="2:5" x14ac:dyDescent="0.25">
      <c r="B200" t="s">
        <v>4561</v>
      </c>
      <c r="C200">
        <v>1933</v>
      </c>
      <c r="D200" s="3" t="str" cm="1">
        <f t="array" ref="D200">IFERROR(_xlfn.XLOOKUP(TEXT(C200,"0000"),TEXT(Catalog!A:A,"0000"),Catalog!B:B),"")</f>
        <v xml:space="preserve">HOOFDSCHAKELAAR 125A S5000    </v>
      </c>
      <c r="E200">
        <v>5</v>
      </c>
    </row>
    <row r="201" spans="2:5" x14ac:dyDescent="0.25">
      <c r="B201" t="s">
        <v>4561</v>
      </c>
      <c r="C201">
        <v>1954</v>
      </c>
      <c r="D201" s="3" t="str" cm="1">
        <f t="array" ref="D201">IFERROR(_xlfn.XLOOKUP(TEXT(C201,"0000"),TEXT(Catalog!A:A,"0000"),Catalog!B:B),"")</f>
        <v xml:space="preserve">OMSCHAKELAAR 63A 3P+N         </v>
      </c>
      <c r="E201">
        <v>3</v>
      </c>
    </row>
    <row r="202" spans="2:5" x14ac:dyDescent="0.25">
      <c r="B202" t="s">
        <v>4561</v>
      </c>
      <c r="C202">
        <v>1955</v>
      </c>
      <c r="D202" s="3" t="str" cm="1">
        <f t="array" ref="D202">IFERROR(_xlfn.XLOOKUP(TEXT(C202,"0000"),TEXT(Catalog!A:A,"0000"),Catalog!B:B),"")</f>
        <v xml:space="preserve">OMSCHAKELAAR 80A 3P+N         </v>
      </c>
      <c r="E202">
        <v>16</v>
      </c>
    </row>
    <row r="203" spans="2:5" x14ac:dyDescent="0.25">
      <c r="B203" t="s">
        <v>4561</v>
      </c>
      <c r="C203">
        <v>1959</v>
      </c>
      <c r="D203" s="3" t="str" cm="1">
        <f t="array" ref="D203">IFERROR(_xlfn.XLOOKUP(TEXT(C203,"0000"),TEXT(Catalog!A:A,"0000"),Catalog!B:B),"")</f>
        <v xml:space="preserve">OMSCHAKELAAR 400A 3P+N        </v>
      </c>
      <c r="E203">
        <v>3</v>
      </c>
    </row>
    <row r="204" spans="2:5" x14ac:dyDescent="0.25">
      <c r="B204" t="s">
        <v>4561</v>
      </c>
      <c r="C204">
        <v>1995</v>
      </c>
      <c r="D204" s="3" t="str" cm="1">
        <f t="array" ref="D204">IFERROR(_xlfn.XLOOKUP(TEXT(C204,"0000"),TEXT(Catalog!A:A,"0000"),Catalog!B:B),"")</f>
        <v xml:space="preserve">OMSCHAKELAAR 160A 3P+N        </v>
      </c>
      <c r="E204">
        <v>2</v>
      </c>
    </row>
    <row r="205" spans="2:5" x14ac:dyDescent="0.25">
      <c r="B205" t="s">
        <v>4561</v>
      </c>
      <c r="C205">
        <v>1957</v>
      </c>
      <c r="D205" s="3" t="str" cm="1">
        <f t="array" ref="D205">IFERROR(_xlfn.XLOOKUP(TEXT(C205,"0000"),TEXT(Catalog!A:A,"0000"),Catalog!B:B),"")</f>
        <v xml:space="preserve">OMSCHAKELAAR 160A 3P          </v>
      </c>
      <c r="E205">
        <v>4</v>
      </c>
    </row>
    <row r="206" spans="2:5" x14ac:dyDescent="0.25">
      <c r="B206" t="s">
        <v>4561</v>
      </c>
      <c r="C206">
        <v>1959</v>
      </c>
      <c r="D206" s="3" t="str" cm="1">
        <f t="array" ref="D206">IFERROR(_xlfn.XLOOKUP(TEXT(C206,"0000"),TEXT(Catalog!A:A,"0000"),Catalog!B:B),"")</f>
        <v xml:space="preserve">OMSCHAKELAAR 400A 3P+N        </v>
      </c>
      <c r="E206">
        <v>1</v>
      </c>
    </row>
    <row r="207" spans="2:5" x14ac:dyDescent="0.25">
      <c r="B207" t="s">
        <v>4561</v>
      </c>
      <c r="C207">
        <v>1960</v>
      </c>
      <c r="D207" s="3" t="str" cm="1">
        <f t="array" ref="D207">IFERROR(_xlfn.XLOOKUP(TEXT(C207,"0000"),TEXT(Catalog!A:A,"0000"),Catalog!B:B),"")</f>
        <v xml:space="preserve">OMSCHAKELAAR 630A 3P+N        </v>
      </c>
      <c r="E207">
        <v>2</v>
      </c>
    </row>
  </sheetData>
  <mergeCells count="55">
    <mergeCell ref="B1:I1"/>
    <mergeCell ref="B2:H2"/>
    <mergeCell ref="I2:I3"/>
    <mergeCell ref="K2:K3"/>
    <mergeCell ref="B13:H13"/>
    <mergeCell ref="I13:I14"/>
    <mergeCell ref="K13:K14"/>
    <mergeCell ref="B21:H21"/>
    <mergeCell ref="I21:I22"/>
    <mergeCell ref="K21:K22"/>
    <mergeCell ref="B30:H30"/>
    <mergeCell ref="I30:I31"/>
    <mergeCell ref="K30:K31"/>
    <mergeCell ref="B38:H38"/>
    <mergeCell ref="I38:I39"/>
    <mergeCell ref="K38:K39"/>
    <mergeCell ref="B46:H46"/>
    <mergeCell ref="I46:I47"/>
    <mergeCell ref="K46:K47"/>
    <mergeCell ref="B86:H86"/>
    <mergeCell ref="I86:I87"/>
    <mergeCell ref="K86:K87"/>
    <mergeCell ref="B95:H95"/>
    <mergeCell ref="I95:I96"/>
    <mergeCell ref="K95:K96"/>
    <mergeCell ref="B69:H69"/>
    <mergeCell ref="I69:I70"/>
    <mergeCell ref="K69:K70"/>
    <mergeCell ref="B79:H79"/>
    <mergeCell ref="I79:I80"/>
    <mergeCell ref="K79:K80"/>
    <mergeCell ref="B55:H55"/>
    <mergeCell ref="I55:I56"/>
    <mergeCell ref="K55:K56"/>
    <mergeCell ref="B62:H62"/>
    <mergeCell ref="I62:I63"/>
    <mergeCell ref="K62:K63"/>
    <mergeCell ref="B125:H125"/>
    <mergeCell ref="I125:I126"/>
    <mergeCell ref="K125:K126"/>
    <mergeCell ref="B136:H136"/>
    <mergeCell ref="I136:I137"/>
    <mergeCell ref="K136:K137"/>
    <mergeCell ref="B191:H191"/>
    <mergeCell ref="I191:I192"/>
    <mergeCell ref="K191:K192"/>
    <mergeCell ref="B158:H158"/>
    <mergeCell ref="I158:I159"/>
    <mergeCell ref="K158:K159"/>
    <mergeCell ref="B165:H165"/>
    <mergeCell ref="I165:I166"/>
    <mergeCell ref="K165:K166"/>
    <mergeCell ref="B178:H178"/>
    <mergeCell ref="I178:I179"/>
    <mergeCell ref="K178:K179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E03C6-539E-4C6A-A474-E639BE87B3DA}">
  <dimension ref="B1:N194"/>
  <sheetViews>
    <sheetView workbookViewId="0"/>
  </sheetViews>
  <sheetFormatPr defaultColWidth="11.42578125" defaultRowHeight="15" x14ac:dyDescent="0.25"/>
  <cols>
    <col min="2" max="2" width="12.5703125" customWidth="1"/>
    <col min="3" max="3" width="10.85546875" customWidth="1"/>
    <col min="4" max="4" width="43.140625" customWidth="1"/>
    <col min="5" max="5" width="12.28515625" customWidth="1"/>
    <col min="11" max="11" width="30.42578125" customWidth="1"/>
    <col min="13" max="13" width="7.28515625" customWidth="1"/>
  </cols>
  <sheetData>
    <row r="1" spans="2:11" ht="30" customHeight="1" x14ac:dyDescent="0.4">
      <c r="B1" s="34" t="s">
        <v>4559</v>
      </c>
      <c r="C1" s="34"/>
      <c r="D1" s="34"/>
      <c r="E1" s="34"/>
      <c r="F1" s="34"/>
      <c r="G1" s="34"/>
      <c r="H1" s="34"/>
      <c r="I1" s="34"/>
    </row>
    <row r="2" spans="2:11" ht="24" x14ac:dyDescent="0.4">
      <c r="B2" s="35" t="s">
        <v>4509</v>
      </c>
      <c r="C2" s="36"/>
      <c r="D2" s="36"/>
      <c r="E2" s="36"/>
      <c r="F2" s="36"/>
      <c r="G2" s="36"/>
      <c r="H2" s="37"/>
      <c r="I2" s="38" t="s">
        <v>4459</v>
      </c>
      <c r="J2" s="13" t="s">
        <v>4432</v>
      </c>
      <c r="K2" s="40" t="s">
        <v>4460</v>
      </c>
    </row>
    <row r="3" spans="2:11" ht="18.75" x14ac:dyDescent="0.3">
      <c r="B3" s="11" t="s">
        <v>4445</v>
      </c>
      <c r="C3" s="11" t="s">
        <v>4433</v>
      </c>
      <c r="D3" s="11" t="s">
        <v>4434</v>
      </c>
      <c r="E3" s="11" t="s">
        <v>4435</v>
      </c>
      <c r="F3" s="11" t="s">
        <v>4436</v>
      </c>
      <c r="G3" s="11" t="s">
        <v>4444</v>
      </c>
      <c r="H3" s="11" t="s">
        <v>4436</v>
      </c>
      <c r="I3" s="39"/>
      <c r="J3" s="11" t="s">
        <v>4447</v>
      </c>
      <c r="K3" s="41"/>
    </row>
    <row r="4" spans="2:11" x14ac:dyDescent="0.25">
      <c r="B4" t="s">
        <v>4567</v>
      </c>
      <c r="C4">
        <v>15144</v>
      </c>
      <c r="D4" s="3" t="str" cm="1">
        <f t="array" ref="D4">IFERROR(_xlfn.XLOOKUP(TEXT(C4,"0000"),TEXT(Catalog!A:A,"0000"),Catalog!B:B),"")</f>
        <v xml:space="preserve">OPB.KAST WD 36MD CDN36PT/RR   </v>
      </c>
      <c r="E4">
        <v>21</v>
      </c>
    </row>
    <row r="5" spans="2:11" x14ac:dyDescent="0.25">
      <c r="B5" t="s">
        <v>4567</v>
      </c>
      <c r="C5">
        <v>15145</v>
      </c>
      <c r="D5" s="3" t="str" cm="1">
        <f t="array" ref="D5">IFERROR(_xlfn.XLOOKUP(TEXT(C5,"0000"),TEXT(Catalog!A:A,"0000"),Catalog!B:B),"")</f>
        <v xml:space="preserve">OPB.KAST WD 54MD CDP54 PT/RR  </v>
      </c>
      <c r="E5">
        <v>12</v>
      </c>
    </row>
    <row r="6" spans="2:11" x14ac:dyDescent="0.25">
      <c r="B6" t="s">
        <v>4567</v>
      </c>
      <c r="C6">
        <v>7052</v>
      </c>
      <c r="D6" s="3" t="str" cm="1">
        <f t="array" ref="D6">IFERROR(_xlfn.XLOOKUP(TEXT(C6,"0000"),TEXT(Catalog!A:A,"0000"),Catalog!B:B),"")</f>
        <v xml:space="preserve">JUNCTION BOX 125A  4*11       </v>
      </c>
      <c r="E6">
        <v>2</v>
      </c>
    </row>
    <row r="7" spans="2:11" x14ac:dyDescent="0.25">
      <c r="B7" t="s">
        <v>4567</v>
      </c>
      <c r="C7">
        <v>7051</v>
      </c>
      <c r="D7" s="3" t="str" cm="1">
        <f t="array" ref="D7">IFERROR(_xlfn.XLOOKUP(TEXT(C7,"0000"),TEXT(Catalog!A:A,"0000"),Catalog!B:B),"")</f>
        <v xml:space="preserve">JUNCTION BOX 125A  4*7        </v>
      </c>
      <c r="E7">
        <v>37</v>
      </c>
    </row>
    <row r="8" spans="2:11" x14ac:dyDescent="0.25">
      <c r="D8" s="3"/>
    </row>
    <row r="9" spans="2:11" ht="24" x14ac:dyDescent="0.4">
      <c r="B9" s="35" t="s">
        <v>4525</v>
      </c>
      <c r="C9" s="36"/>
      <c r="D9" s="36"/>
      <c r="E9" s="36"/>
      <c r="F9" s="36"/>
      <c r="G9" s="36"/>
      <c r="H9" s="37"/>
      <c r="I9" s="38" t="s">
        <v>4459</v>
      </c>
      <c r="J9" s="13" t="s">
        <v>4432</v>
      </c>
      <c r="K9" s="40" t="s">
        <v>4460</v>
      </c>
    </row>
    <row r="10" spans="2:11" ht="18.75" x14ac:dyDescent="0.3">
      <c r="B10" s="11" t="s">
        <v>4445</v>
      </c>
      <c r="C10" s="11" t="s">
        <v>4433</v>
      </c>
      <c r="D10" s="11" t="s">
        <v>4434</v>
      </c>
      <c r="E10" s="11" t="s">
        <v>4435</v>
      </c>
      <c r="F10" s="11" t="s">
        <v>4436</v>
      </c>
      <c r="G10" s="11" t="s">
        <v>4444</v>
      </c>
      <c r="H10" s="11" t="s">
        <v>4436</v>
      </c>
      <c r="I10" s="39"/>
      <c r="J10" s="11" t="s">
        <v>4447</v>
      </c>
      <c r="K10" s="41"/>
    </row>
    <row r="11" spans="2:11" x14ac:dyDescent="0.25">
      <c r="B11" t="s">
        <v>4567</v>
      </c>
      <c r="C11" s="6" t="s">
        <v>4982</v>
      </c>
      <c r="D11" s="3" t="str" cm="1">
        <f t="array" ref="D11">IFERROR(_xlfn.XLOOKUP(TEXT(C11,"0000"),TEXT(Catalog!A:A,"0000"),Catalog!B:B),"")</f>
        <v xml:space="preserve">ZEKERING 63A                  </v>
      </c>
      <c r="E11">
        <v>1325</v>
      </c>
    </row>
    <row r="12" spans="2:11" x14ac:dyDescent="0.25">
      <c r="B12" t="s">
        <v>4567</v>
      </c>
      <c r="C12" s="6" t="s">
        <v>4984</v>
      </c>
      <c r="D12" s="3" t="str" cm="1">
        <f t="array" ref="D12">IFERROR(_xlfn.XLOOKUP(TEXT(C12,"0000"),TEXT(Catalog!A:A,"0000"),Catalog!B:B),"")</f>
        <v xml:space="preserve">ZEKERING 50A                  </v>
      </c>
      <c r="E12">
        <v>950</v>
      </c>
    </row>
    <row r="13" spans="2:11" x14ac:dyDescent="0.25">
      <c r="B13" t="s">
        <v>4567</v>
      </c>
      <c r="C13" s="6" t="s">
        <v>4985</v>
      </c>
      <c r="D13" s="3" t="str" cm="1">
        <f t="array" ref="D13">IFERROR(_xlfn.XLOOKUP(TEXT(C13,"0000"),TEXT(Catalog!A:A,"0000"),Catalog!B:B),"")</f>
        <v xml:space="preserve">ZEKERING 35A                  </v>
      </c>
      <c r="E13">
        <v>875</v>
      </c>
    </row>
    <row r="14" spans="2:11" x14ac:dyDescent="0.25">
      <c r="B14" t="s">
        <v>4567</v>
      </c>
      <c r="C14" s="6" t="s">
        <v>4986</v>
      </c>
      <c r="D14" s="3" t="str" cm="1">
        <f t="array" ref="D14">IFERROR(_xlfn.XLOOKUP(TEXT(C14,"0000"),TEXT(Catalog!A:A,"0000"),Catalog!B:B),"")</f>
        <v xml:space="preserve">ZEKERING 25A                  </v>
      </c>
      <c r="E14">
        <v>477</v>
      </c>
    </row>
    <row r="15" spans="2:11" x14ac:dyDescent="0.25">
      <c r="B15" t="s">
        <v>4567</v>
      </c>
      <c r="C15" s="6" t="s">
        <v>4987</v>
      </c>
      <c r="D15" s="3" t="str" cm="1">
        <f t="array" ref="D15">IFERROR(_xlfn.XLOOKUP(TEXT(C15,"0000"),TEXT(Catalog!A:A,"0000"),Catalog!B:B),"")</f>
        <v xml:space="preserve">ZEKERING 20A                  </v>
      </c>
      <c r="E15">
        <v>1300</v>
      </c>
    </row>
    <row r="16" spans="2:11" x14ac:dyDescent="0.25">
      <c r="B16" t="s">
        <v>4567</v>
      </c>
      <c r="C16" s="6" t="s">
        <v>4983</v>
      </c>
      <c r="D16" s="3" t="str" cm="1">
        <f t="array" ref="D16">IFERROR(_xlfn.XLOOKUP(TEXT(C16,"0000"),TEXT(Catalog!A:A,"0000"),Catalog!B:B),"")</f>
        <v xml:space="preserve">ZEKERING 16A                  </v>
      </c>
      <c r="E16">
        <v>500</v>
      </c>
    </row>
    <row r="18" spans="2:11" ht="24" x14ac:dyDescent="0.4">
      <c r="B18" s="35" t="s">
        <v>4877</v>
      </c>
      <c r="C18" s="36"/>
      <c r="D18" s="36"/>
      <c r="E18" s="36"/>
      <c r="F18" s="36"/>
      <c r="G18" s="36"/>
      <c r="H18" s="37"/>
      <c r="I18" s="38" t="s">
        <v>4459</v>
      </c>
      <c r="J18" s="13" t="s">
        <v>4432</v>
      </c>
      <c r="K18" s="40" t="s">
        <v>4460</v>
      </c>
    </row>
    <row r="19" spans="2:11" ht="18.75" x14ac:dyDescent="0.3">
      <c r="B19" s="11" t="s">
        <v>4445</v>
      </c>
      <c r="C19" s="11" t="s">
        <v>4433</v>
      </c>
      <c r="D19" s="11" t="s">
        <v>4434</v>
      </c>
      <c r="E19" s="11" t="s">
        <v>4435</v>
      </c>
      <c r="F19" s="11" t="s">
        <v>4436</v>
      </c>
      <c r="G19" s="11" t="s">
        <v>4444</v>
      </c>
      <c r="H19" s="11" t="s">
        <v>4436</v>
      </c>
      <c r="I19" s="39"/>
      <c r="J19" s="11" t="s">
        <v>4447</v>
      </c>
      <c r="K19" s="41"/>
    </row>
    <row r="20" spans="2:11" x14ac:dyDescent="0.25">
      <c r="B20" t="s">
        <v>4567</v>
      </c>
      <c r="C20" s="6" t="s">
        <v>4878</v>
      </c>
      <c r="D20" s="3" t="str" cm="1">
        <f t="array" ref="D20">IFERROR(_xlfn.XLOOKUP(TEXT(C20,"0000"),TEXT(Catalog!A:A,"0000"),Catalog!B:B),"")</f>
        <v xml:space="preserve">LASDOPPEN 12-24 mm            </v>
      </c>
      <c r="E20">
        <v>220</v>
      </c>
      <c r="K20" t="s">
        <v>4885</v>
      </c>
    </row>
    <row r="21" spans="2:11" x14ac:dyDescent="0.25">
      <c r="B21" t="s">
        <v>4567</v>
      </c>
      <c r="C21" s="6" t="s">
        <v>4879</v>
      </c>
      <c r="D21" s="3" t="str" cm="1">
        <f t="array" ref="D21">IFERROR(_xlfn.XLOOKUP(TEXT(C21,"0000"),TEXT(Catalog!A:A,"0000"),Catalog!B:B),"")</f>
        <v xml:space="preserve">LASDOPPEN 3.0-12.5 mm         </v>
      </c>
      <c r="E21">
        <v>100</v>
      </c>
      <c r="K21" t="s">
        <v>4884</v>
      </c>
    </row>
    <row r="22" spans="2:11" x14ac:dyDescent="0.25">
      <c r="B22" t="s">
        <v>4567</v>
      </c>
      <c r="C22" s="6" t="s">
        <v>4880</v>
      </c>
      <c r="D22" s="3" t="str" cm="1">
        <f t="array" ref="D22">IFERROR(_xlfn.XLOOKUP(TEXT(C22,"0000"),TEXT(Catalog!A:A,"0000"),Catalog!B:B),"")</f>
        <v xml:space="preserve">LASDOPPEN 7.5-18.0 mm         </v>
      </c>
      <c r="E22">
        <v>80</v>
      </c>
      <c r="K22" t="s">
        <v>4887</v>
      </c>
    </row>
    <row r="23" spans="2:11" x14ac:dyDescent="0.25">
      <c r="B23" t="s">
        <v>4567</v>
      </c>
      <c r="C23" s="7">
        <v>7176</v>
      </c>
      <c r="D23" s="3" t="str" cm="1">
        <f t="array" ref="D23">IFERROR(_xlfn.XLOOKUP(TEXT(C23,"0000"),TEXT(Catalog!A:A,"0000"),Catalog!B:B),"")</f>
        <v xml:space="preserve">INSTEEK FLEXIBLE CLE54        </v>
      </c>
      <c r="E23">
        <v>60</v>
      </c>
    </row>
    <row r="24" spans="2:11" x14ac:dyDescent="0.25">
      <c r="B24" t="s">
        <v>4567</v>
      </c>
      <c r="C24" s="6" t="s">
        <v>4881</v>
      </c>
      <c r="D24" s="3" t="str" cm="1">
        <f t="array" ref="D24">IFERROR(_xlfn.XLOOKUP(TEXT(C24,"0000"),TEXT(Catalog!A:A,"0000"),Catalog!B:B),"")</f>
        <v xml:space="preserve">CONEX STEEKKLEM 3-VOUDIG      </v>
      </c>
      <c r="E24">
        <v>160</v>
      </c>
      <c r="K24" t="s">
        <v>4886</v>
      </c>
    </row>
    <row r="25" spans="2:11" x14ac:dyDescent="0.25">
      <c r="B25" t="s">
        <v>4567</v>
      </c>
      <c r="C25" s="6" t="s">
        <v>4882</v>
      </c>
      <c r="D25" s="3" t="str" cm="1">
        <f t="array" ref="D25">IFERROR(_xlfn.XLOOKUP(TEXT(C25,"0000"),TEXT(Catalog!A:A,"0000"),Catalog!B:B),"")</f>
        <v xml:space="preserve">CONEX STEEKKLEM 4-VOUDIG      </v>
      </c>
      <c r="E25">
        <v>160</v>
      </c>
      <c r="K25" t="s">
        <v>4886</v>
      </c>
    </row>
    <row r="26" spans="2:11" x14ac:dyDescent="0.25">
      <c r="B26" t="s">
        <v>4567</v>
      </c>
      <c r="C26" s="6" t="s">
        <v>4883</v>
      </c>
      <c r="D26" s="3" t="str" cm="1">
        <f t="array" ref="D26">IFERROR(_xlfn.XLOOKUP(TEXT(C26,"0000"),TEXT(Catalog!A:A,"0000"),Catalog!B:B),"")</f>
        <v xml:space="preserve">CONEX STEEKKLEM 5-VOUDIG      </v>
      </c>
      <c r="E26">
        <v>140</v>
      </c>
      <c r="K26" t="s">
        <v>4888</v>
      </c>
    </row>
    <row r="27" spans="2:11" x14ac:dyDescent="0.25">
      <c r="B27" t="s">
        <v>4567</v>
      </c>
      <c r="C27" s="7">
        <v>15143</v>
      </c>
      <c r="D27" s="3" t="str" cm="1">
        <f t="array" ref="D27">IFERROR(_xlfn.XLOOKUP(TEXT(C27,"0000"),TEXT(Catalog!A:A,"0000"),Catalog!B:B),"")</f>
        <v xml:space="preserve">OPB.KAST WD 24MD CDN24PT/RR   </v>
      </c>
      <c r="E27">
        <v>1</v>
      </c>
      <c r="K27" t="s">
        <v>4889</v>
      </c>
    </row>
    <row r="29" spans="2:11" ht="24" x14ac:dyDescent="0.4">
      <c r="B29" s="35" t="s">
        <v>4526</v>
      </c>
      <c r="C29" s="36"/>
      <c r="D29" s="36"/>
      <c r="E29" s="36"/>
      <c r="F29" s="36"/>
      <c r="G29" s="36"/>
      <c r="H29" s="37"/>
      <c r="I29" s="38" t="s">
        <v>4459</v>
      </c>
      <c r="J29" s="13" t="s">
        <v>4432</v>
      </c>
      <c r="K29" s="40" t="s">
        <v>4460</v>
      </c>
    </row>
    <row r="30" spans="2:11" ht="18.75" x14ac:dyDescent="0.3">
      <c r="B30" s="11" t="s">
        <v>4445</v>
      </c>
      <c r="C30" s="11" t="s">
        <v>4433</v>
      </c>
      <c r="D30" s="11" t="s">
        <v>4434</v>
      </c>
      <c r="E30" s="11" t="s">
        <v>4435</v>
      </c>
      <c r="F30" s="11" t="s">
        <v>4436</v>
      </c>
      <c r="G30" s="11" t="s">
        <v>4444</v>
      </c>
      <c r="H30" s="11" t="s">
        <v>4436</v>
      </c>
      <c r="I30" s="39"/>
      <c r="J30" s="11" t="s">
        <v>4447</v>
      </c>
      <c r="K30" s="41"/>
    </row>
    <row r="31" spans="2:11" x14ac:dyDescent="0.25">
      <c r="B31" t="s">
        <v>4567</v>
      </c>
      <c r="C31" s="6" t="s">
        <v>4890</v>
      </c>
      <c r="D31" s="3" t="str" cm="1">
        <f t="array" ref="D31">IFERROR(_xlfn.XLOOKUP(TEXT(C31,"0000"),TEXT(Catalog!A:A,"0000"),Catalog!B:B),"")</f>
        <v xml:space="preserve">KSV PATRONEN 160A NH 00       </v>
      </c>
      <c r="E31" t="s">
        <v>4994</v>
      </c>
      <c r="J31">
        <v>15</v>
      </c>
    </row>
    <row r="32" spans="2:11" x14ac:dyDescent="0.25">
      <c r="B32" t="s">
        <v>4567</v>
      </c>
      <c r="C32" s="6" t="s">
        <v>4891</v>
      </c>
      <c r="D32" s="3" t="str" cm="1">
        <f t="array" ref="D32">IFERROR(_xlfn.XLOOKUP(TEXT(C32,"0000"),TEXT(Catalog!A:A,"0000"),Catalog!B:B),"")</f>
        <v xml:space="preserve">KSV PATRONEN 125A NH 00       </v>
      </c>
      <c r="E32" t="s">
        <v>4995</v>
      </c>
      <c r="J32">
        <v>51</v>
      </c>
      <c r="K32" t="s">
        <v>4999</v>
      </c>
    </row>
    <row r="33" spans="2:11" x14ac:dyDescent="0.25">
      <c r="B33" t="s">
        <v>4567</v>
      </c>
      <c r="C33" s="6" t="s">
        <v>4892</v>
      </c>
      <c r="D33" s="3" t="str" cm="1">
        <f t="array" ref="D33">IFERROR(_xlfn.XLOOKUP(TEXT(C33,"0000"),TEXT(Catalog!A:A,"0000"),Catalog!B:B),"")</f>
        <v xml:space="preserve">KSV PATRONEN   80A NH 00      </v>
      </c>
      <c r="E33" t="s">
        <v>4996</v>
      </c>
      <c r="F33">
        <v>1</v>
      </c>
      <c r="J33">
        <v>81</v>
      </c>
    </row>
    <row r="34" spans="2:11" x14ac:dyDescent="0.25">
      <c r="B34" t="s">
        <v>4567</v>
      </c>
      <c r="C34" s="6" t="s">
        <v>4893</v>
      </c>
      <c r="D34" s="3" t="str" cm="1">
        <f t="array" ref="D34">IFERROR(_xlfn.XLOOKUP(TEXT(C34,"0000"),TEXT(Catalog!A:A,"0000"),Catalog!B:B),"")</f>
        <v xml:space="preserve">KSV PATRONEN   63A NH 00      </v>
      </c>
      <c r="E34" t="s">
        <v>4994</v>
      </c>
      <c r="J34">
        <v>15</v>
      </c>
    </row>
    <row r="35" spans="2:11" x14ac:dyDescent="0.25">
      <c r="B35" t="s">
        <v>4567</v>
      </c>
      <c r="C35" s="6" t="s">
        <v>4894</v>
      </c>
      <c r="D35" s="3" t="str" cm="1">
        <f t="array" ref="D35">IFERROR(_xlfn.XLOOKUP(TEXT(C35,"0000"),TEXT(Catalog!A:A,"0000"),Catalog!B:B),"")</f>
        <v xml:space="preserve">KSV PATRONEN   35A NH 00      </v>
      </c>
      <c r="E35" t="s">
        <v>4997</v>
      </c>
      <c r="J35">
        <v>105</v>
      </c>
    </row>
    <row r="36" spans="2:11" x14ac:dyDescent="0.25">
      <c r="B36" t="s">
        <v>4567</v>
      </c>
      <c r="C36" s="6" t="s">
        <v>4895</v>
      </c>
      <c r="D36" s="3" t="str" cm="1">
        <f t="array" ref="D36">IFERROR(_xlfn.XLOOKUP(TEXT(C36,"0000"),TEXT(Catalog!A:A,"0000"),Catalog!B:B),"")</f>
        <v xml:space="preserve">KSV PATRONEN   25A NH 00      </v>
      </c>
      <c r="E36" t="s">
        <v>4998</v>
      </c>
      <c r="J36">
        <v>36</v>
      </c>
    </row>
    <row r="38" spans="2:11" ht="24" x14ac:dyDescent="0.4">
      <c r="B38" s="35" t="s">
        <v>4792</v>
      </c>
      <c r="C38" s="36"/>
      <c r="D38" s="36"/>
      <c r="E38" s="36"/>
      <c r="F38" s="36"/>
      <c r="G38" s="36"/>
      <c r="H38" s="37"/>
      <c r="I38" s="38" t="s">
        <v>4459</v>
      </c>
      <c r="J38" s="13" t="s">
        <v>4432</v>
      </c>
      <c r="K38" s="40" t="s">
        <v>4460</v>
      </c>
    </row>
    <row r="39" spans="2:11" ht="18.75" x14ac:dyDescent="0.3">
      <c r="B39" s="11" t="s">
        <v>4445</v>
      </c>
      <c r="C39" s="11" t="s">
        <v>4433</v>
      </c>
      <c r="D39" s="11" t="s">
        <v>4434</v>
      </c>
      <c r="E39" s="11" t="s">
        <v>4435</v>
      </c>
      <c r="F39" s="11" t="s">
        <v>4436</v>
      </c>
      <c r="G39" s="11" t="s">
        <v>4444</v>
      </c>
      <c r="H39" s="11" t="s">
        <v>4436</v>
      </c>
      <c r="I39" s="39"/>
      <c r="J39" s="11" t="s">
        <v>4447</v>
      </c>
      <c r="K39" s="41"/>
    </row>
    <row r="40" spans="2:11" x14ac:dyDescent="0.25">
      <c r="B40" t="s">
        <v>4567</v>
      </c>
      <c r="C40">
        <v>1153</v>
      </c>
      <c r="D40" s="3" t="str" cm="1">
        <f t="array" ref="D40">IFERROR(_xlfn.XLOOKUP(TEXT(C40,"0000"),TEXT(Catalog!A:A,"0000"),Catalog!B:B),"")</f>
        <v>DEKSEL INB DOOS AM 4x4" 2-VOUD</v>
      </c>
      <c r="E40" t="s">
        <v>4897</v>
      </c>
      <c r="J40">
        <v>750</v>
      </c>
    </row>
    <row r="41" spans="2:11" x14ac:dyDescent="0.25">
      <c r="B41" t="s">
        <v>4567</v>
      </c>
      <c r="C41">
        <v>15140</v>
      </c>
      <c r="D41" s="3" t="str" cm="1">
        <f t="array" ref="D41">IFERROR(_xlfn.XLOOKUP(TEXT(C41,"0000"),TEXT(Catalog!A:A,"0000"),Catalog!B:B),"")</f>
        <v xml:space="preserve">OPB.KAST WD 12MD CDN12PT/RR   </v>
      </c>
      <c r="E41">
        <v>21</v>
      </c>
      <c r="J41">
        <v>21</v>
      </c>
    </row>
    <row r="42" spans="2:11" x14ac:dyDescent="0.25">
      <c r="B42" t="s">
        <v>4567</v>
      </c>
      <c r="C42">
        <v>1152</v>
      </c>
      <c r="D42" s="3" t="str" cm="1">
        <f t="array" ref="D42">IFERROR(_xlfn.XLOOKUP(TEXT(C42,"0000"),TEXT(Catalog!A:A,"0000"),Catalog!B:B),"")</f>
        <v xml:space="preserve">DEKSEL INB DOOS AM 4x4" 4150  </v>
      </c>
      <c r="E42" t="s">
        <v>4898</v>
      </c>
      <c r="J42">
        <f>2750+600</f>
        <v>3350</v>
      </c>
      <c r="K42" t="s">
        <v>4899</v>
      </c>
    </row>
    <row r="43" spans="2:11" x14ac:dyDescent="0.25">
      <c r="B43" t="s">
        <v>4567</v>
      </c>
      <c r="C43">
        <v>3332</v>
      </c>
      <c r="D43" s="3" t="str" cm="1">
        <f t="array" ref="D43">IFERROR(_xlfn.XLOOKUP(TEXT(C43,"0000"),TEXT(Catalog!A:A,"0000"),Catalog!B:B),"")</f>
        <v>PICKENS 18 WATT 6500K LED SPOT</v>
      </c>
      <c r="E43" t="s">
        <v>4766</v>
      </c>
      <c r="J43">
        <v>24</v>
      </c>
    </row>
    <row r="44" spans="2:11" x14ac:dyDescent="0.25">
      <c r="B44" t="s">
        <v>4567</v>
      </c>
      <c r="C44">
        <v>1375</v>
      </c>
      <c r="D44" s="3" t="str" cm="1">
        <f t="array" ref="D44">IFERROR(_xlfn.XLOOKUP(TEXT(C44,"0000"),TEXT(Catalog!A:A,"0000"),Catalog!B:B),"")</f>
        <v xml:space="preserve">RAWPLUGS  WIT   (5x25mm-1")   </v>
      </c>
      <c r="E44">
        <v>120</v>
      </c>
      <c r="K44" t="s">
        <v>4904</v>
      </c>
    </row>
    <row r="45" spans="2:11" x14ac:dyDescent="0.25">
      <c r="B45" t="s">
        <v>4567</v>
      </c>
      <c r="C45">
        <v>1376</v>
      </c>
      <c r="D45" s="3" t="str" cm="1">
        <f t="array" ref="D45">IFERROR(_xlfn.XLOOKUP(TEXT(C45,"0000"),TEXT(Catalog!A:A,"0000"),Catalog!B:B),"")</f>
        <v xml:space="preserve">RAWPLUGS ROOD (6X25mm-1")     </v>
      </c>
      <c r="E45">
        <v>96</v>
      </c>
      <c r="K45" t="s">
        <v>4905</v>
      </c>
    </row>
    <row r="46" spans="2:11" x14ac:dyDescent="0.25">
      <c r="B46" t="s">
        <v>4567</v>
      </c>
      <c r="C46">
        <v>1377</v>
      </c>
      <c r="D46" s="3" t="str" cm="1">
        <f t="array" ref="D46">IFERROR(_xlfn.XLOOKUP(TEXT(C46,"0000"),TEXT(Catalog!A:A,"0000"),Catalog!B:B),"")</f>
        <v>RAW PLUGS GROEN (7x35mm-1.1/2)</v>
      </c>
      <c r="E46">
        <v>64</v>
      </c>
      <c r="K46" t="s">
        <v>4906</v>
      </c>
    </row>
    <row r="47" spans="2:11" x14ac:dyDescent="0.25">
      <c r="B47" t="s">
        <v>4567</v>
      </c>
      <c r="C47">
        <v>1378</v>
      </c>
      <c r="D47" s="3" t="str" cm="1">
        <f t="array" ref="D47">IFERROR(_xlfn.XLOOKUP(TEXT(C47,"0000"),TEXT(Catalog!A:A,"0000"),Catalog!B:B),"")</f>
        <v>RAWPLUGS  BLAUW (8x35mm-1.1/2)</v>
      </c>
      <c r="E47">
        <v>60</v>
      </c>
      <c r="K47" t="s">
        <v>4907</v>
      </c>
    </row>
    <row r="48" spans="2:11" x14ac:dyDescent="0.25">
      <c r="B48" t="s">
        <v>4567</v>
      </c>
      <c r="C48">
        <v>3124</v>
      </c>
      <c r="D48" s="3" t="str" cm="1">
        <f t="array" ref="D48">IFERROR(_xlfn.XLOOKUP(TEXT(C48,"0000"),TEXT(Catalog!A:A,"0000"),Catalog!B:B),"")</f>
        <v xml:space="preserve">REFLECTOR LED 200W 18000LM    </v>
      </c>
      <c r="E48" t="s">
        <v>4900</v>
      </c>
      <c r="J48">
        <v>20</v>
      </c>
    </row>
    <row r="49" spans="2:11" x14ac:dyDescent="0.25">
      <c r="B49" t="s">
        <v>4567</v>
      </c>
      <c r="C49">
        <v>1150</v>
      </c>
      <c r="D49" s="3" t="str" cm="1">
        <f t="array" ref="D49">IFERROR(_xlfn.XLOOKUP(TEXT(C49,"0000"),TEXT(Catalog!A:A,"0000"),Catalog!B:B),"")</f>
        <v xml:space="preserve">INB DOOS AM 2x4"              </v>
      </c>
      <c r="E49" t="s">
        <v>4901</v>
      </c>
      <c r="J49">
        <v>800</v>
      </c>
      <c r="K49" t="s">
        <v>4903</v>
      </c>
    </row>
    <row r="50" spans="2:11" x14ac:dyDescent="0.25">
      <c r="B50" t="s">
        <v>4567</v>
      </c>
      <c r="C50">
        <v>1150</v>
      </c>
      <c r="D50" s="3" t="str" cm="1">
        <f t="array" ref="D50">IFERROR(_xlfn.XLOOKUP(TEXT(C50,"0000"),TEXT(Catalog!A:A,"0000"),Catalog!B:B),"")</f>
        <v xml:space="preserve">INB DOOS AM 2x4"              </v>
      </c>
      <c r="E50" t="s">
        <v>4902</v>
      </c>
      <c r="J50">
        <v>1500</v>
      </c>
      <c r="K50" t="s">
        <v>4903</v>
      </c>
    </row>
    <row r="51" spans="2:11" x14ac:dyDescent="0.25">
      <c r="D51" t="s">
        <v>4896</v>
      </c>
      <c r="K51">
        <v>16</v>
      </c>
    </row>
    <row r="53" spans="2:11" ht="24" x14ac:dyDescent="0.4">
      <c r="B53" s="35" t="s">
        <v>4526</v>
      </c>
      <c r="C53" s="36"/>
      <c r="D53" s="36"/>
      <c r="E53" s="36"/>
      <c r="F53" s="36"/>
      <c r="G53" s="36"/>
      <c r="H53" s="37"/>
      <c r="I53" s="38" t="s">
        <v>4459</v>
      </c>
      <c r="J53" s="13" t="s">
        <v>4432</v>
      </c>
      <c r="K53" s="40" t="s">
        <v>4460</v>
      </c>
    </row>
    <row r="54" spans="2:11" ht="18.75" x14ac:dyDescent="0.3">
      <c r="B54" s="11" t="s">
        <v>4445</v>
      </c>
      <c r="C54" s="11" t="s">
        <v>4433</v>
      </c>
      <c r="D54" s="11" t="s">
        <v>4434</v>
      </c>
      <c r="E54" s="11" t="s">
        <v>4435</v>
      </c>
      <c r="F54" s="11" t="s">
        <v>4436</v>
      </c>
      <c r="G54" s="11" t="s">
        <v>4444</v>
      </c>
      <c r="H54" s="11" t="s">
        <v>4436</v>
      </c>
      <c r="I54" s="39"/>
      <c r="J54" s="11" t="s">
        <v>4447</v>
      </c>
      <c r="K54" s="41"/>
    </row>
    <row r="55" spans="2:11" x14ac:dyDescent="0.25">
      <c r="B55" t="s">
        <v>4567</v>
      </c>
      <c r="C55" s="6" t="s">
        <v>4908</v>
      </c>
      <c r="D55" s="3" t="str" cm="1">
        <f t="array" ref="D55">IFERROR(_xlfn.XLOOKUP(TEXT(C55,"0000"),TEXT(Catalog!A:A,"0000"),Catalog!B:B),"")</f>
        <v xml:space="preserve">KOP K2                        </v>
      </c>
      <c r="E55" t="s">
        <v>4691</v>
      </c>
      <c r="J55">
        <v>250</v>
      </c>
    </row>
    <row r="56" spans="2:11" x14ac:dyDescent="0.25">
      <c r="B56" t="s">
        <v>4567</v>
      </c>
      <c r="C56" s="6" t="s">
        <v>4909</v>
      </c>
      <c r="D56" s="3" t="str" cm="1">
        <f t="array" ref="D56">IFERROR(_xlfn.XLOOKUP(TEXT(C56,"0000"),TEXT(Catalog!A:A,"0000"),Catalog!B:B),"")</f>
        <v xml:space="preserve">KOP K3                        </v>
      </c>
      <c r="E56" t="s">
        <v>4925</v>
      </c>
      <c r="J56">
        <v>160</v>
      </c>
    </row>
    <row r="57" spans="2:11" x14ac:dyDescent="0.25">
      <c r="B57" t="s">
        <v>4567</v>
      </c>
      <c r="C57" s="7">
        <v>7054</v>
      </c>
      <c r="D57" s="3" t="str" cm="1">
        <f t="array" ref="D57">IFERROR(_xlfn.XLOOKUP(TEXT(C57,"0000"),TEXT(Catalog!A:A,"0000"),Catalog!B:B),"")</f>
        <v>FTG VerdeelBlok 4F 125A 1x35mm</v>
      </c>
      <c r="J57">
        <v>8</v>
      </c>
    </row>
    <row r="58" spans="2:11" x14ac:dyDescent="0.25">
      <c r="B58" t="s">
        <v>4567</v>
      </c>
      <c r="C58" s="7">
        <v>7055</v>
      </c>
      <c r="D58" s="3" t="str" cm="1">
        <f t="array" ref="D58">IFERROR(_xlfn.XLOOKUP(TEXT(C58,"0000"),TEXT(Catalog!A:A,"0000"),Catalog!B:B),"")</f>
        <v>FTG Verdeel Blok1F 160A 1x70mm</v>
      </c>
      <c r="E58" s="8" t="s">
        <v>4550</v>
      </c>
      <c r="F58" s="8">
        <v>2</v>
      </c>
      <c r="J58">
        <v>32</v>
      </c>
    </row>
    <row r="59" spans="2:11" x14ac:dyDescent="0.25">
      <c r="B59" t="s">
        <v>4567</v>
      </c>
      <c r="C59" s="6" t="s">
        <v>4910</v>
      </c>
      <c r="D59" s="3" t="str" cm="1">
        <f t="array" ref="D59">IFERROR(_xlfn.XLOOKUP(TEXT(C59,"0000"),TEXT(Catalog!A:A,"0000"),Catalog!B:B),"")</f>
        <v xml:space="preserve">PASMOER 16A                   </v>
      </c>
      <c r="E59" t="s">
        <v>4595</v>
      </c>
      <c r="J59">
        <v>1500</v>
      </c>
    </row>
    <row r="60" spans="2:11" x14ac:dyDescent="0.25">
      <c r="B60" t="s">
        <v>4567</v>
      </c>
      <c r="C60" s="6" t="s">
        <v>4911</v>
      </c>
      <c r="D60" s="3" t="str" cm="1">
        <f t="array" ref="D60">IFERROR(_xlfn.XLOOKUP(TEXT(C60,"0000"),TEXT(Catalog!A:A,"0000"),Catalog!B:B),"")</f>
        <v xml:space="preserve">PASMOER 20A                   </v>
      </c>
      <c r="J60">
        <v>465</v>
      </c>
    </row>
    <row r="61" spans="2:11" x14ac:dyDescent="0.25">
      <c r="B61" t="s">
        <v>4567</v>
      </c>
      <c r="C61" s="6" t="s">
        <v>4912</v>
      </c>
      <c r="D61" s="3" t="str" cm="1">
        <f t="array" ref="D61">IFERROR(_xlfn.XLOOKUP(TEXT(C61,"0000"),TEXT(Catalog!A:A,"0000"),Catalog!B:B),"")</f>
        <v xml:space="preserve">PASMOER 25A                   </v>
      </c>
      <c r="J61">
        <v>525</v>
      </c>
    </row>
    <row r="62" spans="2:11" x14ac:dyDescent="0.25">
      <c r="B62" t="s">
        <v>4567</v>
      </c>
      <c r="C62" s="6" t="s">
        <v>4913</v>
      </c>
      <c r="D62" s="3" t="str" cm="1">
        <f t="array" ref="D62">IFERROR(_xlfn.XLOOKUP(TEXT(C62,"0000"),TEXT(Catalog!A:A,"0000"),Catalog!B:B),"")</f>
        <v xml:space="preserve">PASMOER 35A                   </v>
      </c>
      <c r="J62">
        <v>100</v>
      </c>
    </row>
    <row r="63" spans="2:11" x14ac:dyDescent="0.25">
      <c r="B63" t="s">
        <v>4567</v>
      </c>
      <c r="C63" s="6" t="s">
        <v>4914</v>
      </c>
      <c r="D63" s="3" t="str" cm="1">
        <f t="array" ref="D63">IFERROR(_xlfn.XLOOKUP(TEXT(C63,"0000"),TEXT(Catalog!A:A,"0000"),Catalog!B:B),"")</f>
        <v xml:space="preserve">PASMOER 50A                   </v>
      </c>
      <c r="J63">
        <v>75</v>
      </c>
    </row>
    <row r="64" spans="2:11" x14ac:dyDescent="0.25">
      <c r="B64" t="s">
        <v>4567</v>
      </c>
      <c r="C64" s="6" t="s">
        <v>4915</v>
      </c>
      <c r="D64" s="3" t="str" cm="1">
        <f t="array" ref="D64">IFERROR(_xlfn.XLOOKUP(TEXT(C64,"0000"),TEXT(Catalog!A:A,"0000"),Catalog!B:B),"")</f>
        <v xml:space="preserve">PASMOER 63A                   </v>
      </c>
      <c r="J64">
        <v>330</v>
      </c>
    </row>
    <row r="65" spans="2:11" x14ac:dyDescent="0.25">
      <c r="B65" t="s">
        <v>4567</v>
      </c>
      <c r="C65" s="6" t="s">
        <v>4916</v>
      </c>
      <c r="D65" s="3" t="str" cm="1">
        <f t="array" ref="D65">IFERROR(_xlfn.XLOOKUP(TEXT(C65,"0000"),TEXT(Catalog!A:A,"0000"),Catalog!B:B),"")</f>
        <v xml:space="preserve">KSV PATRONEN 630A NH 3        </v>
      </c>
      <c r="E65" t="s">
        <v>4926</v>
      </c>
      <c r="J65">
        <v>12</v>
      </c>
    </row>
    <row r="66" spans="2:11" x14ac:dyDescent="0.25">
      <c r="B66" t="s">
        <v>4567</v>
      </c>
      <c r="C66" s="6" t="s">
        <v>4917</v>
      </c>
      <c r="D66" s="3" t="str" cm="1">
        <f t="array" ref="D66">IFERROR(_xlfn.XLOOKUP(TEXT(C66,"0000"),TEXT(Catalog!A:A,"0000"),Catalog!B:B),"")</f>
        <v xml:space="preserve">KSV PATRONEN 355A NH 1        </v>
      </c>
      <c r="E66" t="s">
        <v>4927</v>
      </c>
      <c r="J66">
        <v>36</v>
      </c>
    </row>
    <row r="67" spans="2:11" x14ac:dyDescent="0.25">
      <c r="B67" t="s">
        <v>4567</v>
      </c>
      <c r="C67" s="6" t="s">
        <v>4918</v>
      </c>
      <c r="D67" s="3" t="str" cm="1">
        <f t="array" ref="D67">IFERROR(_xlfn.XLOOKUP(TEXT(C67,"0000"),TEXT(Catalog!A:A,"0000"),Catalog!B:B),"")</f>
        <v xml:space="preserve">KSV PATRONEN 315A NH 1        </v>
      </c>
      <c r="E67" t="s">
        <v>4928</v>
      </c>
      <c r="J67">
        <v>27</v>
      </c>
    </row>
    <row r="68" spans="2:11" x14ac:dyDescent="0.25">
      <c r="B68" t="s">
        <v>4567</v>
      </c>
      <c r="C68" s="6" t="s">
        <v>4919</v>
      </c>
      <c r="D68" s="3" t="str" cm="1">
        <f t="array" ref="D68">IFERROR(_xlfn.XLOOKUP(TEXT(C68,"0000"),TEXT(Catalog!A:A,"0000"),Catalog!B:B),"")</f>
        <v xml:space="preserve">KSV PATRONEN 224A NH 1        </v>
      </c>
      <c r="E68" t="s">
        <v>4929</v>
      </c>
      <c r="J68">
        <v>42</v>
      </c>
    </row>
    <row r="69" spans="2:11" x14ac:dyDescent="0.25">
      <c r="B69" t="s">
        <v>4567</v>
      </c>
      <c r="C69" s="6" t="s">
        <v>4920</v>
      </c>
      <c r="D69" s="3" t="str" cm="1">
        <f t="array" ref="D69">IFERROR(_xlfn.XLOOKUP(TEXT(C69,"0000"),TEXT(Catalog!A:A,"0000"),Catalog!B:B),"")</f>
        <v xml:space="preserve">KSV PATRONEN 160A NH 1        </v>
      </c>
      <c r="E69" t="s">
        <v>4930</v>
      </c>
      <c r="J69">
        <v>72</v>
      </c>
    </row>
    <row r="70" spans="2:11" x14ac:dyDescent="0.25">
      <c r="B70" t="s">
        <v>4567</v>
      </c>
      <c r="C70" s="6" t="s">
        <v>4921</v>
      </c>
      <c r="D70" s="3" t="str" cm="1">
        <f t="array" ref="D70">IFERROR(_xlfn.XLOOKUP(TEXT(C70,"0000"),TEXT(Catalog!A:A,"0000"),Catalog!B:B),"")</f>
        <v xml:space="preserve">KSV PATRONEN 125A NH 1        </v>
      </c>
      <c r="E70" t="s">
        <v>4931</v>
      </c>
      <c r="J70">
        <v>66</v>
      </c>
    </row>
    <row r="71" spans="2:11" x14ac:dyDescent="0.25">
      <c r="B71" t="s">
        <v>4567</v>
      </c>
      <c r="C71" s="6" t="s">
        <v>4922</v>
      </c>
      <c r="D71" s="3" t="str" cm="1">
        <f t="array" ref="D71">IFERROR(_xlfn.XLOOKUP(TEXT(C71,"0000"),TEXT(Catalog!A:A,"0000"),Catalog!B:B),"")</f>
        <v xml:space="preserve">KSV PATRONEN 100A NH 1        </v>
      </c>
      <c r="E71" t="s">
        <v>4932</v>
      </c>
      <c r="J71">
        <v>102</v>
      </c>
    </row>
    <row r="72" spans="2:11" x14ac:dyDescent="0.25">
      <c r="B72" t="s">
        <v>4567</v>
      </c>
      <c r="C72" s="6" t="s">
        <v>4923</v>
      </c>
      <c r="D72" s="3" t="str" cm="1">
        <f t="array" ref="D72">IFERROR(_xlfn.XLOOKUP(TEXT(C72,"0000"),TEXT(Catalog!A:A,"0000"),Catalog!B:B),"")</f>
        <v xml:space="preserve">KSV PATRONEN  80A NH 1        </v>
      </c>
      <c r="E72" t="s">
        <v>4933</v>
      </c>
      <c r="J72">
        <v>51</v>
      </c>
    </row>
    <row r="73" spans="2:11" x14ac:dyDescent="0.25">
      <c r="B73" t="s">
        <v>4567</v>
      </c>
      <c r="C73" s="6" t="s">
        <v>4924</v>
      </c>
      <c r="D73" s="3" t="str" cm="1">
        <f t="array" ref="D73">IFERROR(_xlfn.XLOOKUP(TEXT(C73,"0000"),TEXT(Catalog!A:A,"0000"),Catalog!B:B),"")</f>
        <v xml:space="preserve">KSV PATRONEN  63A NH 1        </v>
      </c>
      <c r="E73" t="s">
        <v>4931</v>
      </c>
      <c r="J73">
        <v>66</v>
      </c>
    </row>
    <row r="74" spans="2:11" x14ac:dyDescent="0.25">
      <c r="B74" t="s">
        <v>4567</v>
      </c>
      <c r="C74" s="7">
        <v>3014</v>
      </c>
      <c r="D74" s="3" t="str" cm="1">
        <f t="array" ref="D74">IFERROR(_xlfn.XLOOKUP(TEXT(C74,"0000"),TEXT(Catalog!A:A,"0000"),Catalog!B:B),"")</f>
        <v xml:space="preserve">BUIGVEER 3/4" 2 mtr           </v>
      </c>
      <c r="J74">
        <v>2</v>
      </c>
    </row>
    <row r="75" spans="2:11" x14ac:dyDescent="0.25">
      <c r="B75" t="s">
        <v>4567</v>
      </c>
      <c r="C75">
        <v>3011</v>
      </c>
      <c r="D75" s="3" t="str" cm="1">
        <f t="array" ref="D75">IFERROR(_xlfn.XLOOKUP(TEXT(C75,"0000"),TEXT(Catalog!A:A,"0000"),Catalog!B:B),"")</f>
        <v xml:space="preserve">BUIGVEER 3/4" 1 mtr           </v>
      </c>
      <c r="J75">
        <v>9</v>
      </c>
    </row>
    <row r="77" spans="2:11" ht="24" x14ac:dyDescent="0.4">
      <c r="B77" s="35" t="s">
        <v>4934</v>
      </c>
      <c r="C77" s="36"/>
      <c r="D77" s="36"/>
      <c r="E77" s="36"/>
      <c r="F77" s="36"/>
      <c r="G77" s="36"/>
      <c r="H77" s="37"/>
      <c r="I77" s="38" t="s">
        <v>4459</v>
      </c>
      <c r="J77" s="13" t="s">
        <v>4432</v>
      </c>
      <c r="K77" s="40" t="s">
        <v>4460</v>
      </c>
    </row>
    <row r="78" spans="2:11" ht="18.75" x14ac:dyDescent="0.3">
      <c r="B78" s="11" t="s">
        <v>4445</v>
      </c>
      <c r="C78" s="11" t="s">
        <v>4433</v>
      </c>
      <c r="D78" s="11" t="s">
        <v>4434</v>
      </c>
      <c r="E78" s="11" t="s">
        <v>4435</v>
      </c>
      <c r="F78" s="11" t="s">
        <v>4436</v>
      </c>
      <c r="G78" s="11" t="s">
        <v>4444</v>
      </c>
      <c r="H78" s="11" t="s">
        <v>4436</v>
      </c>
      <c r="I78" s="39"/>
      <c r="J78" s="11" t="s">
        <v>4447</v>
      </c>
      <c r="K78" s="41"/>
    </row>
    <row r="79" spans="2:11" x14ac:dyDescent="0.25">
      <c r="B79" t="s">
        <v>4567</v>
      </c>
      <c r="C79">
        <v>15143</v>
      </c>
      <c r="D79" s="3" t="str" cm="1">
        <f t="array" ref="D79">IFERROR(_xlfn.XLOOKUP(TEXT(C79,"0000"),TEXT(Catalog!A:A,"0000"),Catalog!B:B),"")</f>
        <v xml:space="preserve">OPB.KAST WD 24MD CDN24PT/RR   </v>
      </c>
      <c r="E79">
        <v>22</v>
      </c>
    </row>
    <row r="80" spans="2:11" x14ac:dyDescent="0.25">
      <c r="B80" t="s">
        <v>4567</v>
      </c>
      <c r="C80">
        <v>15145</v>
      </c>
      <c r="D80" s="3" t="str" cm="1">
        <f t="array" ref="D80">IFERROR(_xlfn.XLOOKUP(TEXT(C80,"0000"),TEXT(Catalog!A:A,"0000"),Catalog!B:B),"")</f>
        <v xml:space="preserve">OPB.KAST WD 54MD CDP54 PT/RR  </v>
      </c>
      <c r="E80">
        <v>17</v>
      </c>
    </row>
    <row r="82" spans="2:14" ht="24" x14ac:dyDescent="0.4">
      <c r="B82" s="35" t="s">
        <v>4800</v>
      </c>
      <c r="C82" s="36"/>
      <c r="D82" s="36"/>
      <c r="E82" s="36"/>
      <c r="F82" s="36"/>
      <c r="G82" s="36"/>
      <c r="H82" s="37"/>
      <c r="I82" s="38" t="s">
        <v>4459</v>
      </c>
      <c r="J82" s="13" t="s">
        <v>4432</v>
      </c>
      <c r="K82" s="40" t="s">
        <v>4460</v>
      </c>
    </row>
    <row r="83" spans="2:14" ht="18.75" x14ac:dyDescent="0.3">
      <c r="B83" s="11" t="s">
        <v>4445</v>
      </c>
      <c r="C83" s="11" t="s">
        <v>4433</v>
      </c>
      <c r="D83" s="11" t="s">
        <v>4434</v>
      </c>
      <c r="E83" s="11" t="s">
        <v>4435</v>
      </c>
      <c r="F83" s="11" t="s">
        <v>4436</v>
      </c>
      <c r="G83" s="11" t="s">
        <v>4444</v>
      </c>
      <c r="H83" s="11" t="s">
        <v>4436</v>
      </c>
      <c r="I83" s="39"/>
      <c r="J83" s="11" t="s">
        <v>4447</v>
      </c>
      <c r="K83" s="41"/>
    </row>
    <row r="84" spans="2:14" x14ac:dyDescent="0.25">
      <c r="B84" s="22">
        <v>46055</v>
      </c>
      <c r="C84" s="7">
        <v>15143</v>
      </c>
      <c r="D84" s="3" t="str" cm="1">
        <f t="array" ref="D84">IFERROR(_xlfn.XLOOKUP(TEXT(C84,"0000"),TEXT(Catalog!A:A,"0000"),Catalog!B:B),"")</f>
        <v xml:space="preserve">OPB.KAST WD 24MD CDN24PT/RR   </v>
      </c>
      <c r="E84">
        <v>15</v>
      </c>
    </row>
    <row r="85" spans="2:14" x14ac:dyDescent="0.25">
      <c r="B85" s="22">
        <v>46055</v>
      </c>
      <c r="C85" s="6" t="s">
        <v>4935</v>
      </c>
      <c r="D85" s="3" t="str" cm="1">
        <f t="array" ref="D85">IFERROR(_xlfn.XLOOKUP(TEXT(C85,"0000"),TEXT(Catalog!A:A,"0000"),Catalog!B:B),"")</f>
        <v xml:space="preserve">ATT MONTAGEDEKSEL 2X WCD 1623 </v>
      </c>
      <c r="E85" t="s">
        <v>4578</v>
      </c>
    </row>
    <row r="86" spans="2:14" x14ac:dyDescent="0.25">
      <c r="B86" s="22">
        <v>46055</v>
      </c>
      <c r="C86" s="6" t="s">
        <v>4936</v>
      </c>
      <c r="D86" s="3" t="str" cm="1">
        <f t="array" ref="D86">IFERROR(_xlfn.XLOOKUP(TEXT(C86,"0000"),TEXT(Catalog!A:A,"0000"),Catalog!B:B),"")</f>
        <v xml:space="preserve">ATT MONTAGEDEKSEL 1X WCD 1622 </v>
      </c>
      <c r="E86" t="s">
        <v>4614</v>
      </c>
    </row>
    <row r="87" spans="2:14" x14ac:dyDescent="0.25">
      <c r="B87" s="22">
        <v>46055</v>
      </c>
      <c r="C87" s="6" t="s">
        <v>4937</v>
      </c>
      <c r="D87" s="3" t="str" cm="1">
        <f t="array" ref="D87">IFERROR(_xlfn.XLOOKUP(TEXT(C87,"0000"),TEXT(Catalog!A:A,"0000"),Catalog!B:B),"")</f>
        <v>CENTR ZIJKANT BODEM 76.5MM 169</v>
      </c>
      <c r="F87">
        <v>46</v>
      </c>
    </row>
    <row r="88" spans="2:14" x14ac:dyDescent="0.25">
      <c r="B88" s="22">
        <v>46055</v>
      </c>
      <c r="C88" s="6" t="s">
        <v>4938</v>
      </c>
      <c r="D88" s="3" t="str" cm="1">
        <f t="array" ref="D88">IFERROR(_xlfn.XLOOKUP(TEXT(C88,"0000"),TEXT(Catalog!A:A,"0000"),Catalog!B:B),"")</f>
        <v xml:space="preserve">INBOUWDS HOLLEWAND 16/19      </v>
      </c>
      <c r="E88" t="s">
        <v>4940</v>
      </c>
      <c r="J88">
        <v>360</v>
      </c>
    </row>
    <row r="89" spans="2:14" x14ac:dyDescent="0.25">
      <c r="B89" s="22">
        <v>46055</v>
      </c>
      <c r="C89" s="6" t="s">
        <v>4939</v>
      </c>
      <c r="D89" s="3" t="str" cm="1">
        <f t="array" ref="D89">IFERROR(_xlfn.XLOOKUP(TEXT(C89,"0000"),TEXT(Catalog!A:A,"0000"),Catalog!B:B),"")</f>
        <v xml:space="preserve">CD/RV RONDE DEKSEL CENTRAL    </v>
      </c>
      <c r="E89" t="s">
        <v>4600</v>
      </c>
      <c r="J89">
        <v>150</v>
      </c>
    </row>
    <row r="90" spans="2:14" x14ac:dyDescent="0.25">
      <c r="B90" s="22">
        <v>46055</v>
      </c>
      <c r="C90" s="6" t="s">
        <v>4437</v>
      </c>
      <c r="D90" s="3" t="str" cm="1">
        <f t="array" ref="D90">IFERROR(_xlfn.XLOOKUP(TEXT(C90,"0000"),TEXT(Catalog!A:A,"0000"),Catalog!B:B),"")</f>
        <v>TREKDOOS                4202-D</v>
      </c>
      <c r="E90" t="s">
        <v>4693</v>
      </c>
      <c r="J90">
        <v>100</v>
      </c>
    </row>
    <row r="92" spans="2:14" ht="24" x14ac:dyDescent="0.4">
      <c r="B92" s="35" t="s">
        <v>4772</v>
      </c>
      <c r="C92" s="36"/>
      <c r="D92" s="36"/>
      <c r="E92" s="36"/>
      <c r="F92" s="36"/>
      <c r="G92" s="36"/>
      <c r="H92" s="37"/>
      <c r="I92" s="38" t="s">
        <v>4459</v>
      </c>
      <c r="J92" s="13" t="s">
        <v>4432</v>
      </c>
      <c r="K92" s="40" t="s">
        <v>4460</v>
      </c>
    </row>
    <row r="93" spans="2:14" ht="18.75" x14ac:dyDescent="0.3">
      <c r="B93" s="11" t="s">
        <v>4445</v>
      </c>
      <c r="C93" s="11" t="s">
        <v>4433</v>
      </c>
      <c r="D93" s="11" t="s">
        <v>4434</v>
      </c>
      <c r="E93" s="11" t="s">
        <v>4435</v>
      </c>
      <c r="F93" s="11" t="s">
        <v>4436</v>
      </c>
      <c r="G93" s="11" t="s">
        <v>4444</v>
      </c>
      <c r="H93" s="11" t="s">
        <v>4436</v>
      </c>
      <c r="I93" s="39"/>
      <c r="J93" s="11" t="s">
        <v>4447</v>
      </c>
      <c r="K93" s="41"/>
      <c r="M93" t="s">
        <v>4946</v>
      </c>
    </row>
    <row r="94" spans="2:14" x14ac:dyDescent="0.25">
      <c r="B94" s="22">
        <v>46055</v>
      </c>
      <c r="C94" s="6" t="s">
        <v>4941</v>
      </c>
      <c r="D94" s="3" t="str" cm="1">
        <f t="array" ref="D94">IFERROR(_xlfn.XLOOKUP(TEXT(C94,"0000"),TEXT(Catalog!A:A,"0000"),Catalog!B:B),"")</f>
        <v xml:space="preserve">INBOUWDOOS DUBB WCD H140      </v>
      </c>
      <c r="E94" t="s">
        <v>4944</v>
      </c>
      <c r="M94" s="3" t="s">
        <v>1656</v>
      </c>
      <c r="N94" s="3" t="s">
        <v>1657</v>
      </c>
    </row>
    <row r="95" spans="2:14" x14ac:dyDescent="0.25">
      <c r="B95" s="22">
        <v>46055</v>
      </c>
      <c r="C95" s="6" t="s">
        <v>4437</v>
      </c>
      <c r="D95" s="3" t="str" cm="1">
        <f t="array" ref="D95">IFERROR(_xlfn.XLOOKUP(TEXT(C95,"0000"),TEXT(Catalog!A:A,"0000"),Catalog!B:B),"")</f>
        <v>TREKDOOS                4202-D</v>
      </c>
      <c r="E95" t="s">
        <v>4945</v>
      </c>
      <c r="M95" s="3" t="s">
        <v>1658</v>
      </c>
      <c r="N95" s="3" t="s">
        <v>1659</v>
      </c>
    </row>
    <row r="96" spans="2:14" x14ac:dyDescent="0.25">
      <c r="B96" s="22">
        <v>46055</v>
      </c>
      <c r="C96" s="6" t="s">
        <v>4942</v>
      </c>
      <c r="D96" s="3" t="str" cm="1">
        <f t="array" ref="D96">IFERROR(_xlfn.XLOOKUP(TEXT(C96,"0000"),TEXT(Catalog!A:A,"0000"),Catalog!B:B),"")</f>
        <v xml:space="preserve">ATT UNIVERSELE LASDOOS 1619   </v>
      </c>
      <c r="E96" t="s">
        <v>4622</v>
      </c>
      <c r="M96" s="3" t="s">
        <v>1660</v>
      </c>
      <c r="N96" s="3" t="s">
        <v>1661</v>
      </c>
    </row>
    <row r="97" spans="2:11" x14ac:dyDescent="0.25">
      <c r="B97" s="22">
        <v>46055</v>
      </c>
      <c r="C97" s="6" t="s">
        <v>4943</v>
      </c>
      <c r="D97" s="3" t="str" cm="1">
        <f t="array" ref="D97">IFERROR(_xlfn.XLOOKUP(TEXT(C97,"0000"),TEXT(Catalog!A:A,"0000"),Catalog!B:B),"")</f>
        <v xml:space="preserve">GIETBOUWDOOS EURO 2x3/4 MGD50 </v>
      </c>
      <c r="E97" t="s">
        <v>4945</v>
      </c>
    </row>
    <row r="99" spans="2:11" ht="24" x14ac:dyDescent="0.4">
      <c r="B99" s="35" t="s">
        <v>4775</v>
      </c>
      <c r="C99" s="36"/>
      <c r="D99" s="36"/>
      <c r="E99" s="36"/>
      <c r="F99" s="36"/>
      <c r="G99" s="36"/>
      <c r="H99" s="37"/>
      <c r="I99" s="38" t="s">
        <v>4459</v>
      </c>
      <c r="J99" s="13" t="s">
        <v>4432</v>
      </c>
      <c r="K99" s="40" t="s">
        <v>4460</v>
      </c>
    </row>
    <row r="100" spans="2:11" ht="18.75" x14ac:dyDescent="0.3">
      <c r="B100" s="11" t="s">
        <v>4445</v>
      </c>
      <c r="C100" s="11" t="s">
        <v>4433</v>
      </c>
      <c r="D100" s="11" t="s">
        <v>4434</v>
      </c>
      <c r="E100" s="11" t="s">
        <v>4435</v>
      </c>
      <c r="F100" s="11" t="s">
        <v>4436</v>
      </c>
      <c r="G100" s="11" t="s">
        <v>4444</v>
      </c>
      <c r="H100" s="11" t="s">
        <v>4436</v>
      </c>
      <c r="I100" s="39"/>
      <c r="J100" s="11" t="s">
        <v>4447</v>
      </c>
      <c r="K100" s="41"/>
    </row>
    <row r="101" spans="2:11" x14ac:dyDescent="0.25">
      <c r="B101" s="22">
        <v>46055</v>
      </c>
      <c r="C101">
        <v>1327</v>
      </c>
      <c r="D101" s="3" t="str" cm="1">
        <f t="array" ref="D101">IFERROR(_xlfn.XLOOKUP(TEXT(C101,"0000"),TEXT(Catalog!A:A,"0000"),Catalog!B:B),"")</f>
        <v xml:space="preserve">MOERKLEM APC 10/6             </v>
      </c>
      <c r="E101" t="s">
        <v>4947</v>
      </c>
      <c r="J101">
        <v>125</v>
      </c>
    </row>
    <row r="102" spans="2:11" x14ac:dyDescent="0.25">
      <c r="B102" s="22">
        <v>46055</v>
      </c>
      <c r="C102">
        <v>1330</v>
      </c>
      <c r="D102" s="3" t="str" cm="1">
        <f t="array" ref="D102">IFERROR(_xlfn.XLOOKUP(TEXT(C102,"0000"),TEXT(Catalog!A:A,"0000"),Catalog!B:B),"")</f>
        <v xml:space="preserve">MOERKLEM APC 35/35            </v>
      </c>
      <c r="E102" t="s">
        <v>4948</v>
      </c>
      <c r="J102">
        <v>160</v>
      </c>
    </row>
    <row r="103" spans="2:11" x14ac:dyDescent="0.25">
      <c r="B103" s="22">
        <v>46055</v>
      </c>
      <c r="C103">
        <v>1328</v>
      </c>
      <c r="D103" s="3" t="str" cm="1">
        <f t="array" ref="D103">IFERROR(_xlfn.XLOOKUP(TEXT(C103,"0000"),TEXT(Catalog!A:A,"0000"),Catalog!B:B),"")</f>
        <v xml:space="preserve">MOERKLEM APC 16/16            </v>
      </c>
      <c r="E103" t="s">
        <v>4949</v>
      </c>
    </row>
    <row r="104" spans="2:11" x14ac:dyDescent="0.25">
      <c r="B104" s="22">
        <v>46055</v>
      </c>
      <c r="C104">
        <v>1329</v>
      </c>
      <c r="D104" s="3" t="str" cm="1">
        <f t="array" ref="D104">IFERROR(_xlfn.XLOOKUP(TEXT(C104,"0000"),TEXT(Catalog!A:A,"0000"),Catalog!B:B),"")</f>
        <v xml:space="preserve">MOERKLEM APC 25/25            </v>
      </c>
      <c r="E104" t="s">
        <v>4950</v>
      </c>
      <c r="J104">
        <v>190</v>
      </c>
    </row>
    <row r="105" spans="2:11" x14ac:dyDescent="0.25">
      <c r="B105" s="22">
        <v>46055</v>
      </c>
      <c r="C105">
        <v>1331</v>
      </c>
      <c r="D105" s="3" t="str" cm="1">
        <f t="array" ref="D105">IFERROR(_xlfn.XLOOKUP(TEXT(C105,"0000"),TEXT(Catalog!A:A,"0000"),Catalog!B:B),"")</f>
        <v xml:space="preserve">MOERKLEM APC 50/50            </v>
      </c>
      <c r="E105" t="s">
        <v>4950</v>
      </c>
      <c r="J105">
        <v>190</v>
      </c>
    </row>
    <row r="106" spans="2:11" x14ac:dyDescent="0.25">
      <c r="B106" s="22">
        <v>46055</v>
      </c>
      <c r="C106">
        <v>1334</v>
      </c>
      <c r="D106" s="3" t="str" cm="1">
        <f t="array" ref="D106">IFERROR(_xlfn.XLOOKUP(TEXT(C106,"0000"),TEXT(Catalog!A:A,"0000"),Catalog!B:B),"")</f>
        <v/>
      </c>
      <c r="E106">
        <v>218</v>
      </c>
    </row>
    <row r="107" spans="2:11" x14ac:dyDescent="0.25">
      <c r="B107" s="22">
        <v>46055</v>
      </c>
      <c r="C107">
        <v>1335</v>
      </c>
      <c r="D107" s="3" t="str" cm="1">
        <f t="array" ref="D107">IFERROR(_xlfn.XLOOKUP(TEXT(C107,"0000"),TEXT(Catalog!A:A,"0000"),Catalog!B:B),"")</f>
        <v xml:space="preserve">KOPPELING LEH-34              </v>
      </c>
      <c r="E107">
        <v>297</v>
      </c>
    </row>
    <row r="108" spans="2:11" x14ac:dyDescent="0.25">
      <c r="B108" s="22">
        <v>46055</v>
      </c>
      <c r="C108">
        <v>1314</v>
      </c>
      <c r="D108" s="3" t="str" cm="1">
        <f t="array" ref="D108">IFERROR(_xlfn.XLOOKUP(TEXT(C108,"0000"),TEXT(Catalog!A:A,"0000"),Catalog!B:B),"")</f>
        <v xml:space="preserve">AARDKLEM  1 "                 </v>
      </c>
      <c r="E108">
        <v>202</v>
      </c>
    </row>
    <row r="109" spans="2:11" x14ac:dyDescent="0.25">
      <c r="B109" s="22">
        <v>46055</v>
      </c>
      <c r="C109">
        <v>3124</v>
      </c>
      <c r="D109" s="3" t="str" cm="1">
        <f t="array" ref="D109">IFERROR(_xlfn.XLOOKUP(TEXT(C109,"0000"),TEXT(Catalog!A:A,"0000"),Catalog!B:B),"")</f>
        <v xml:space="preserve">REFLECTOR LED 200W 18000LM    </v>
      </c>
      <c r="E109" t="s">
        <v>4848</v>
      </c>
    </row>
    <row r="110" spans="2:11" x14ac:dyDescent="0.25">
      <c r="B110" s="22"/>
    </row>
    <row r="111" spans="2:11" ht="24" x14ac:dyDescent="0.4">
      <c r="B111" s="35" t="s">
        <v>4773</v>
      </c>
      <c r="C111" s="36"/>
      <c r="D111" s="36"/>
      <c r="E111" s="36"/>
      <c r="F111" s="36"/>
      <c r="G111" s="36"/>
      <c r="H111" s="37"/>
      <c r="I111" s="38" t="s">
        <v>4459</v>
      </c>
      <c r="J111" s="13" t="s">
        <v>4432</v>
      </c>
      <c r="K111" s="40" t="s">
        <v>4460</v>
      </c>
    </row>
    <row r="112" spans="2:11" ht="18.75" x14ac:dyDescent="0.3">
      <c r="B112" s="11" t="s">
        <v>4445</v>
      </c>
      <c r="C112" s="11" t="s">
        <v>4433</v>
      </c>
      <c r="D112" s="11" t="s">
        <v>4434</v>
      </c>
      <c r="E112" s="11" t="s">
        <v>4435</v>
      </c>
      <c r="F112" s="11" t="s">
        <v>4436</v>
      </c>
      <c r="G112" s="11" t="s">
        <v>4444</v>
      </c>
      <c r="H112" s="11" t="s">
        <v>4436</v>
      </c>
      <c r="I112" s="39"/>
      <c r="J112" s="11" t="s">
        <v>4447</v>
      </c>
      <c r="K112" s="41"/>
    </row>
    <row r="113" spans="2:11" x14ac:dyDescent="0.25">
      <c r="B113" s="22">
        <v>46083</v>
      </c>
      <c r="C113" s="6" t="s">
        <v>4943</v>
      </c>
      <c r="D113" s="3" t="str" cm="1">
        <f t="array" ref="D113">IFERROR(_xlfn.XLOOKUP(TEXT(C113,"0000"),TEXT(Catalog!A:A,"0000"),Catalog!B:B),"")</f>
        <v xml:space="preserve">GIETBOUWDOOS EURO 2x3/4 MGD50 </v>
      </c>
      <c r="E113" t="s">
        <v>4958</v>
      </c>
      <c r="J113">
        <v>600</v>
      </c>
    </row>
    <row r="114" spans="2:11" x14ac:dyDescent="0.25">
      <c r="B114" s="22">
        <v>46083</v>
      </c>
      <c r="C114" s="6" t="s">
        <v>4951</v>
      </c>
      <c r="D114" s="3" t="str" cm="1">
        <f t="array" ref="D114">IFERROR(_xlfn.XLOOKUP(TEXT(C114,"0000"),TEXT(Catalog!A:A,"0000"),Catalog!B:B),"")</f>
        <v>INZ.STK KABELDOOS3640 19mm3529</v>
      </c>
      <c r="E114" t="s">
        <v>4959</v>
      </c>
      <c r="J114">
        <v>3000</v>
      </c>
    </row>
    <row r="115" spans="2:11" x14ac:dyDescent="0.25">
      <c r="B115" s="22">
        <v>46083</v>
      </c>
      <c r="C115" s="6" t="s">
        <v>4957</v>
      </c>
      <c r="D115" s="3" t="str" cm="1">
        <f t="array" ref="D115">IFERROR(_xlfn.XLOOKUP(TEXT(C115,"0000"),TEXT(Catalog!A:A,"0000"),Catalog!B:B),"")</f>
        <v xml:space="preserve">MT/1X 16-19MM Inzetstuk       </v>
      </c>
      <c r="E115" t="s">
        <v>4960</v>
      </c>
      <c r="J115">
        <v>500</v>
      </c>
    </row>
    <row r="116" spans="2:11" x14ac:dyDescent="0.25">
      <c r="B116" s="22">
        <v>46083</v>
      </c>
      <c r="C116" s="6" t="s">
        <v>4952</v>
      </c>
      <c r="D116" s="3" t="str" cm="1">
        <f t="array" ref="D116">IFERROR(_xlfn.XLOOKUP(TEXT(C116,"0000"),TEXT(Catalog!A:A,"0000"),Catalog!B:B),"")</f>
        <v>AD/16-19 AFSLUITSTOPBUIS 16-19</v>
      </c>
      <c r="J116">
        <v>1000</v>
      </c>
    </row>
    <row r="117" spans="2:11" x14ac:dyDescent="0.25">
      <c r="B117" s="22">
        <v>46083</v>
      </c>
      <c r="C117" s="6" t="s">
        <v>4953</v>
      </c>
      <c r="D117" s="3" t="str" cm="1">
        <f t="array" ref="D117">IFERROR(_xlfn.XLOOKUP(TEXT(C117,"0000"),TEXT(Catalog!A:A,"0000"),Catalog!B:B),"")</f>
        <v xml:space="preserve">MONTAGEDEKSEL GRIJS 3640/D    </v>
      </c>
      <c r="E117" t="s">
        <v>4961</v>
      </c>
      <c r="J117">
        <v>150</v>
      </c>
    </row>
    <row r="118" spans="2:11" x14ac:dyDescent="0.25">
      <c r="B118" s="22">
        <v>46083</v>
      </c>
      <c r="C118" s="6" t="s">
        <v>4954</v>
      </c>
      <c r="D118" s="3" t="str" cm="1">
        <f t="array" ref="D118">IFERROR(_xlfn.XLOOKUP(TEXT(C118,"0000"),TEXT(Catalog!A:A,"0000"),Catalog!B:B),"")</f>
        <v xml:space="preserve">TOPDOOS DUBB LINKS   4209-D   </v>
      </c>
      <c r="J118">
        <v>200</v>
      </c>
    </row>
    <row r="119" spans="2:11" x14ac:dyDescent="0.25">
      <c r="B119" s="22">
        <v>46083</v>
      </c>
      <c r="C119" s="6" t="s">
        <v>4954</v>
      </c>
      <c r="D119" s="3" t="str" cm="1">
        <f t="array" ref="D119">IFERROR(_xlfn.XLOOKUP(TEXT(C119,"0000"),TEXT(Catalog!A:A,"0000"),Catalog!B:B),"")</f>
        <v xml:space="preserve">TOPDOOS DUBB LINKS   4209-D   </v>
      </c>
      <c r="J119">
        <v>100</v>
      </c>
    </row>
    <row r="120" spans="2:11" x14ac:dyDescent="0.25">
      <c r="B120" s="22">
        <v>46083</v>
      </c>
      <c r="C120" s="6" t="s">
        <v>4955</v>
      </c>
      <c r="D120" s="3" t="str" cm="1">
        <f t="array" ref="D120">IFERROR(_xlfn.XLOOKUP(TEXT(C120,"0000"),TEXT(Catalog!A:A,"0000"),Catalog!B:B),"")</f>
        <v xml:space="preserve">TOPDOOS DUBB RECHT 4208-D     </v>
      </c>
      <c r="J120">
        <v>200</v>
      </c>
    </row>
    <row r="121" spans="2:11" x14ac:dyDescent="0.25">
      <c r="B121" s="22">
        <v>46083</v>
      </c>
      <c r="C121" s="6" t="s">
        <v>4956</v>
      </c>
      <c r="D121" s="3" t="str" cm="1">
        <f t="array" ref="D121">IFERROR(_xlfn.XLOOKUP(TEXT(C121,"0000"),TEXT(Catalog!A:A,"0000"),Catalog!B:B),"")</f>
        <v>EINDDOOS                4201-D</v>
      </c>
      <c r="J121">
        <v>370</v>
      </c>
    </row>
    <row r="122" spans="2:11" x14ac:dyDescent="0.25">
      <c r="B122" s="22"/>
    </row>
    <row r="123" spans="2:11" ht="24" x14ac:dyDescent="0.4">
      <c r="B123" s="35" t="s">
        <v>4877</v>
      </c>
      <c r="C123" s="36"/>
      <c r="D123" s="36"/>
      <c r="E123" s="36"/>
      <c r="F123" s="36"/>
      <c r="G123" s="36"/>
      <c r="H123" s="37"/>
      <c r="I123" s="38" t="s">
        <v>4459</v>
      </c>
      <c r="J123" s="13" t="s">
        <v>4432</v>
      </c>
      <c r="K123" s="40" t="s">
        <v>4460</v>
      </c>
    </row>
    <row r="124" spans="2:11" ht="18.75" x14ac:dyDescent="0.3">
      <c r="B124" s="11" t="s">
        <v>4445</v>
      </c>
      <c r="C124" s="11" t="s">
        <v>4433</v>
      </c>
      <c r="D124" s="11" t="s">
        <v>4434</v>
      </c>
      <c r="E124" s="11" t="s">
        <v>4435</v>
      </c>
      <c r="F124" s="11" t="s">
        <v>4436</v>
      </c>
      <c r="G124" s="11" t="s">
        <v>4444</v>
      </c>
      <c r="H124" s="11" t="s">
        <v>4436</v>
      </c>
      <c r="I124" s="39"/>
      <c r="J124" s="11" t="s">
        <v>4447</v>
      </c>
      <c r="K124" s="41"/>
    </row>
    <row r="125" spans="2:11" x14ac:dyDescent="0.25">
      <c r="B125" s="22">
        <v>46055</v>
      </c>
      <c r="C125" s="6" t="s">
        <v>4962</v>
      </c>
      <c r="D125" s="3" t="str" cm="1">
        <f t="array" ref="D125">IFERROR(_xlfn.XLOOKUP(TEXT(C125,"0000"),TEXT(Catalog!A:A,"0000"),Catalog!B:B),"")</f>
        <v xml:space="preserve">KROONKLEMSTROOK 2.5-4 mm2     </v>
      </c>
      <c r="E125" t="s">
        <v>4971</v>
      </c>
    </row>
    <row r="126" spans="2:11" x14ac:dyDescent="0.25">
      <c r="B126" s="22">
        <v>46055</v>
      </c>
      <c r="C126" s="6" t="s">
        <v>4963</v>
      </c>
      <c r="D126" s="3" t="str" cm="1">
        <f t="array" ref="D126">IFERROR(_xlfn.XLOOKUP(TEXT(C126,"0000"),TEXT(Catalog!A:A,"0000"),Catalog!B:B),"")</f>
        <v xml:space="preserve">KROONKLEMSTROOK  16 mm2       </v>
      </c>
      <c r="E126" t="s">
        <v>4972</v>
      </c>
    </row>
    <row r="127" spans="2:11" x14ac:dyDescent="0.25">
      <c r="B127" s="22">
        <v>46055</v>
      </c>
      <c r="C127" s="6" t="s">
        <v>4964</v>
      </c>
      <c r="D127" s="3" t="str" cm="1">
        <f t="array" ref="D127">IFERROR(_xlfn.XLOOKUP(TEXT(C127,"0000"),TEXT(Catalog!A:A,"0000"),Catalog!B:B),"")</f>
        <v xml:space="preserve">KROONKLEMSTROOK  25 mm2       </v>
      </c>
      <c r="E127" t="s">
        <v>4973</v>
      </c>
    </row>
    <row r="128" spans="2:11" x14ac:dyDescent="0.25">
      <c r="B128" s="22">
        <v>46055</v>
      </c>
      <c r="C128" s="6" t="s">
        <v>4965</v>
      </c>
      <c r="D128" s="3" t="str" cm="1">
        <f t="array" ref="D128">IFERROR(_xlfn.XLOOKUP(TEXT(C128,"0000"),TEXT(Catalog!A:A,"0000"),Catalog!B:B),"")</f>
        <v xml:space="preserve">CADDY KAB-CLIPS 8-12mm 15-18  </v>
      </c>
      <c r="E128" t="s">
        <v>4974</v>
      </c>
    </row>
    <row r="129" spans="2:11" x14ac:dyDescent="0.25">
      <c r="B129" s="22">
        <v>46055</v>
      </c>
      <c r="C129" s="6" t="s">
        <v>4966</v>
      </c>
      <c r="D129" s="3" t="str" cm="1">
        <f t="array" ref="D129">IFERROR(_xlfn.XLOOKUP(TEXT(C129,"0000"),TEXT(Catalog!A:A,"0000"),Catalog!B:B),"")</f>
        <v xml:space="preserve">CADDY KAB-CLIPS 4 -7mm 15-18  </v>
      </c>
      <c r="E129" t="s">
        <v>4975</v>
      </c>
    </row>
    <row r="130" spans="2:11" x14ac:dyDescent="0.25">
      <c r="B130" s="22">
        <v>46055</v>
      </c>
      <c r="C130" s="6" t="s">
        <v>4967</v>
      </c>
      <c r="D130" s="3" t="str" cm="1">
        <f t="array" ref="D130">IFERROR(_xlfn.XLOOKUP(TEXT(C130,"0000"),TEXT(Catalog!A:A,"0000"),Catalog!B:B),"")</f>
        <v xml:space="preserve">CADDY KAB-CLIPS 2 -4mm 15-18  </v>
      </c>
      <c r="E130" t="s">
        <v>4976</v>
      </c>
    </row>
    <row r="131" spans="2:11" x14ac:dyDescent="0.25">
      <c r="B131" s="22">
        <v>46055</v>
      </c>
      <c r="C131" s="6" t="s">
        <v>4968</v>
      </c>
      <c r="D131" s="3" t="str" cm="1">
        <f t="array" ref="D131">IFERROR(_xlfn.XLOOKUP(TEXT(C131,"0000"),TEXT(Catalog!A:A,"0000"),Catalog!B:B),"")</f>
        <v xml:space="preserve">CADDY KAB-CLIPS 8-12mm 19-24  </v>
      </c>
      <c r="E131" t="s">
        <v>4977</v>
      </c>
    </row>
    <row r="132" spans="2:11" x14ac:dyDescent="0.25">
      <c r="B132" s="22">
        <v>46055</v>
      </c>
      <c r="C132" s="6" t="s">
        <v>4969</v>
      </c>
      <c r="D132" s="3" t="str" cm="1">
        <f t="array" ref="D132">IFERROR(_xlfn.XLOOKUP(TEXT(C132,"0000"),TEXT(Catalog!A:A,"0000"),Catalog!B:B),"")</f>
        <v xml:space="preserve">CADDY KAB-CLIPS 4 -7mm 19-24  </v>
      </c>
      <c r="E132" t="s">
        <v>4978</v>
      </c>
    </row>
    <row r="133" spans="2:11" x14ac:dyDescent="0.25">
      <c r="B133" s="22">
        <v>46055</v>
      </c>
      <c r="C133" s="6" t="s">
        <v>4970</v>
      </c>
      <c r="D133" s="3" t="str" cm="1">
        <f t="array" ref="D133">IFERROR(_xlfn.XLOOKUP(TEXT(C133,"0000"),TEXT(Catalog!A:A,"0000"),Catalog!B:B),"")</f>
        <v xml:space="preserve">CADDY KAB-CLIPS 2- 4mm 19-24  </v>
      </c>
      <c r="E133" t="s">
        <v>4974</v>
      </c>
    </row>
    <row r="134" spans="2:11" x14ac:dyDescent="0.25">
      <c r="B134" s="22"/>
    </row>
    <row r="135" spans="2:11" ht="24" x14ac:dyDescent="0.4">
      <c r="B135" s="35" t="s">
        <v>4775</v>
      </c>
      <c r="C135" s="36"/>
      <c r="D135" s="36"/>
      <c r="E135" s="36"/>
      <c r="F135" s="36"/>
      <c r="G135" s="36"/>
      <c r="H135" s="37"/>
      <c r="I135" s="38" t="s">
        <v>4459</v>
      </c>
      <c r="J135" s="13" t="s">
        <v>4432</v>
      </c>
      <c r="K135" s="40" t="s">
        <v>4460</v>
      </c>
    </row>
    <row r="136" spans="2:11" ht="18.75" x14ac:dyDescent="0.3">
      <c r="B136" s="11" t="s">
        <v>4445</v>
      </c>
      <c r="C136" s="11" t="s">
        <v>4433</v>
      </c>
      <c r="D136" s="11" t="s">
        <v>4434</v>
      </c>
      <c r="E136" s="11" t="s">
        <v>4435</v>
      </c>
      <c r="F136" s="11" t="s">
        <v>4436</v>
      </c>
      <c r="G136" s="11" t="s">
        <v>4444</v>
      </c>
      <c r="H136" s="11" t="s">
        <v>4436</v>
      </c>
      <c r="I136" s="39"/>
      <c r="J136" s="11" t="s">
        <v>4447</v>
      </c>
      <c r="K136" s="41"/>
    </row>
    <row r="137" spans="2:11" x14ac:dyDescent="0.25">
      <c r="B137" s="22">
        <v>46055</v>
      </c>
      <c r="C137" s="6" t="s">
        <v>4979</v>
      </c>
      <c r="D137" s="3" t="str" cm="1">
        <f t="array" ref="D137">IFERROR(_xlfn.XLOOKUP(TEXT(C137,"0000"),TEXT(Catalog!A:A,"0000"),Catalog!B:B),"")</f>
        <v xml:space="preserve">KABEL DOOS GSLT171 (19805)    </v>
      </c>
      <c r="F137">
        <v>12</v>
      </c>
    </row>
    <row r="138" spans="2:11" x14ac:dyDescent="0.25">
      <c r="B138" s="22">
        <v>46055</v>
      </c>
      <c r="C138" s="6" t="s">
        <v>4980</v>
      </c>
      <c r="D138" s="3" t="str" cm="1">
        <f t="array" ref="D138">IFERROR(_xlfn.XLOOKUP(TEXT(C138,"0000"),TEXT(Catalog!A:A,"0000"),Catalog!B:B),"")</f>
        <v>ATT KABELDOOS IP65M20/M25 2501</v>
      </c>
      <c r="E138" t="s">
        <v>4988</v>
      </c>
    </row>
    <row r="139" spans="2:11" x14ac:dyDescent="0.25">
      <c r="B139" s="22">
        <v>46055</v>
      </c>
      <c r="C139" s="7">
        <v>7189</v>
      </c>
      <c r="D139" s="3" t="str" cm="1">
        <f t="array" ref="D139">IFERROR(_xlfn.XLOOKUP(TEXT(C139,"0000"),TEXT(Catalog!A:A,"0000"),Catalog!B:B),"")</f>
        <v xml:space="preserve">KABEL DOOS 665 ROND  70 X 35  </v>
      </c>
      <c r="E139" t="s">
        <v>4989</v>
      </c>
    </row>
    <row r="140" spans="2:11" x14ac:dyDescent="0.25">
      <c r="B140" s="22">
        <v>46055</v>
      </c>
      <c r="C140" s="7">
        <v>7188</v>
      </c>
      <c r="D140" s="3" t="str" cm="1">
        <f t="array" ref="D140">IFERROR(_xlfn.XLOOKUP(TEXT(C140,"0000"),TEXT(Catalog!A:A,"0000"),Catalog!B:B),"")</f>
        <v xml:space="preserve">KABEL DOOS 615 100 X 100 X 45 </v>
      </c>
      <c r="E140" t="s">
        <v>4988</v>
      </c>
    </row>
    <row r="141" spans="2:11" x14ac:dyDescent="0.25">
      <c r="B141" s="22">
        <v>46055</v>
      </c>
      <c r="C141" s="7">
        <v>7190</v>
      </c>
      <c r="D141" s="3" t="str" cm="1">
        <f t="array" ref="D141">IFERROR(_xlfn.XLOOKUP(TEXT(C141,"0000"),TEXT(Catalog!A:A,"0000"),Catalog!B:B),"")</f>
        <v xml:space="preserve">KABEL DOOS 604 80 X 80 X 35   </v>
      </c>
      <c r="E141" t="s">
        <v>4990</v>
      </c>
    </row>
    <row r="142" spans="2:11" x14ac:dyDescent="0.25">
      <c r="B142" s="22">
        <v>46055</v>
      </c>
      <c r="C142" s="6" t="s">
        <v>4981</v>
      </c>
      <c r="D142" s="3" t="str" cm="1">
        <f t="array" ref="D142">IFERROR(_xlfn.XLOOKUP(TEXT(C142,"0000"),TEXT(Catalog!A:A,"0000"),Catalog!B:B),"")</f>
        <v xml:space="preserve">KABELDOOS 220A                </v>
      </c>
      <c r="E142" t="s">
        <v>4991</v>
      </c>
    </row>
    <row r="143" spans="2:11" x14ac:dyDescent="0.25">
      <c r="B143" s="22">
        <v>46055</v>
      </c>
      <c r="C143" s="7">
        <v>3332</v>
      </c>
      <c r="D143" s="3" t="str" cm="1">
        <f t="array" ref="D143">IFERROR(_xlfn.XLOOKUP(TEXT(C143,"0000"),TEXT(Catalog!A:A,"0000"),Catalog!B:B),"")</f>
        <v>PICKENS 18 WATT 6500K LED SPOT</v>
      </c>
      <c r="E143" t="s">
        <v>4992</v>
      </c>
    </row>
    <row r="144" spans="2:11" x14ac:dyDescent="0.25">
      <c r="B144" s="22">
        <v>46055</v>
      </c>
      <c r="C144">
        <v>1376</v>
      </c>
      <c r="D144" s="3" t="str" cm="1">
        <f t="array" ref="D144">IFERROR(_xlfn.XLOOKUP(TEXT(C144,"0000"),TEXT(Catalog!A:A,"0000"),Catalog!B:B),"")</f>
        <v xml:space="preserve">RAWPLUGS ROOD (6X25mm-1")     </v>
      </c>
      <c r="E144" t="s">
        <v>4993</v>
      </c>
      <c r="K144" t="s">
        <v>4905</v>
      </c>
    </row>
    <row r="145" spans="2:11" x14ac:dyDescent="0.25">
      <c r="B145" s="22">
        <v>46055</v>
      </c>
      <c r="C145">
        <v>1309</v>
      </c>
      <c r="D145" s="3" t="str" cm="1">
        <f t="array" ref="D145">IFERROR(_xlfn.XLOOKUP(TEXT(C145,"0000"),TEXT(Catalog!A:A,"0000"),Catalog!B:B),"")</f>
        <v xml:space="preserve">AARDKLEM 1/8"                 </v>
      </c>
      <c r="F145">
        <v>90</v>
      </c>
    </row>
    <row r="146" spans="2:11" x14ac:dyDescent="0.25">
      <c r="B146" s="22">
        <v>46055</v>
      </c>
      <c r="C146">
        <v>1310</v>
      </c>
      <c r="D146" s="3" t="str" cm="1">
        <f t="array" ref="D146">IFERROR(_xlfn.XLOOKUP(TEXT(C146,"0000"),TEXT(Catalog!A:A,"0000"),Catalog!B:B),"")</f>
        <v xml:space="preserve">AARDKLEM 1/4"                 </v>
      </c>
      <c r="F146">
        <v>295</v>
      </c>
    </row>
    <row r="148" spans="2:11" ht="24" x14ac:dyDescent="0.4">
      <c r="B148" s="35" t="s">
        <v>4774</v>
      </c>
      <c r="C148" s="36"/>
      <c r="D148" s="36"/>
      <c r="E148" s="36"/>
      <c r="F148" s="36"/>
      <c r="G148" s="36"/>
      <c r="H148" s="37"/>
      <c r="I148" s="38" t="s">
        <v>4459</v>
      </c>
      <c r="J148" s="13" t="s">
        <v>4432</v>
      </c>
      <c r="K148" s="40" t="s">
        <v>4460</v>
      </c>
    </row>
    <row r="149" spans="2:11" ht="18.75" x14ac:dyDescent="0.3">
      <c r="B149" s="11" t="s">
        <v>4445</v>
      </c>
      <c r="C149" s="11" t="s">
        <v>4433</v>
      </c>
      <c r="D149" s="11" t="s">
        <v>4434</v>
      </c>
      <c r="E149" s="11" t="s">
        <v>4435</v>
      </c>
      <c r="F149" s="11" t="s">
        <v>4436</v>
      </c>
      <c r="G149" s="11" t="s">
        <v>4444</v>
      </c>
      <c r="H149" s="11" t="s">
        <v>4436</v>
      </c>
      <c r="I149" s="39"/>
      <c r="J149" s="11" t="s">
        <v>4447</v>
      </c>
      <c r="K149" s="41"/>
    </row>
    <row r="150" spans="2:11" x14ac:dyDescent="0.25">
      <c r="B150" s="22">
        <v>46083</v>
      </c>
      <c r="C150" s="6" t="s">
        <v>5000</v>
      </c>
      <c r="D150" s="3" t="str" cm="1">
        <f t="array" ref="D150">IFERROR(_xlfn.XLOOKUP(TEXT(C150,"0000"),TEXT(Catalog!A:A,"0000"),Catalog!B:B),"")</f>
        <v>MONTAGEDKSL (uni lasdoos) 3543</v>
      </c>
      <c r="E150" s="7" t="s">
        <v>5004</v>
      </c>
    </row>
    <row r="151" spans="2:11" x14ac:dyDescent="0.25">
      <c r="B151" s="22">
        <v>46083</v>
      </c>
      <c r="C151" s="6" t="s">
        <v>5001</v>
      </c>
      <c r="D151" s="3" t="str" cm="1">
        <f t="array" ref="D151">IFERROR(_xlfn.XLOOKUP(TEXT(C151,"0000"),TEXT(Catalog!A:A,"0000"),Catalog!B:B),"")</f>
        <v xml:space="preserve">KABEL DOOS GSLT322 (19965)    </v>
      </c>
      <c r="E151" s="7">
        <v>21</v>
      </c>
    </row>
    <row r="152" spans="2:11" x14ac:dyDescent="0.25">
      <c r="B152" s="22">
        <v>46083</v>
      </c>
      <c r="C152" s="7">
        <v>2999</v>
      </c>
      <c r="D152" s="3" t="str" cm="1">
        <f t="array" ref="D152">IFERROR(_xlfn.XLOOKUP(TEXT(C152,"0000"),TEXT(Catalog!A:A,"0000"),Catalog!B:B),"")</f>
        <v>WIHA SLIM SELECTION-SET 10 DLG</v>
      </c>
      <c r="E152" s="7">
        <v>7</v>
      </c>
    </row>
    <row r="153" spans="2:11" x14ac:dyDescent="0.25">
      <c r="B153" s="22">
        <v>46083</v>
      </c>
      <c r="C153" s="7">
        <v>3021</v>
      </c>
      <c r="D153" s="3" t="str" cm="1">
        <f t="array" ref="D153">IFERROR(_xlfn.XLOOKUP(TEXT(C153,"0000"),TEXT(Catalog!A:A,"0000"),Catalog!B:B),"")</f>
        <v xml:space="preserve">SF-54 HULS TANG S 1,5-6MM     </v>
      </c>
      <c r="E153" s="7">
        <v>11</v>
      </c>
    </row>
    <row r="154" spans="2:11" x14ac:dyDescent="0.25">
      <c r="B154" s="22">
        <v>46083</v>
      </c>
      <c r="C154" s="7">
        <v>3023</v>
      </c>
      <c r="D154" s="3" t="str" cm="1">
        <f t="array" ref="D154">IFERROR(_xlfn.XLOOKUP(TEXT(C154,"0000"),TEXT(Catalog!A:A,"0000"),Catalog!B:B),"")</f>
        <v xml:space="preserve">SF-56 HULS TANG  10-35MM      </v>
      </c>
      <c r="E154" s="7">
        <v>1</v>
      </c>
    </row>
    <row r="155" spans="2:11" x14ac:dyDescent="0.25">
      <c r="B155" s="22">
        <v>46083</v>
      </c>
      <c r="C155" s="7">
        <v>3019</v>
      </c>
      <c r="D155" s="3" t="str" cm="1">
        <f t="array" ref="D155">IFERROR(_xlfn.XLOOKUP(TEXT(C155,"0000"),TEXT(Catalog!A:A,"0000"),Catalog!B:B),"")</f>
        <v>SF-8 KABELSCHOEN TANG 1.5-16MM</v>
      </c>
      <c r="E155" s="7">
        <v>6</v>
      </c>
    </row>
    <row r="156" spans="2:11" x14ac:dyDescent="0.25">
      <c r="B156" s="22">
        <v>46083</v>
      </c>
      <c r="C156" s="6" t="s">
        <v>5002</v>
      </c>
      <c r="D156" s="3" t="str" cm="1">
        <f t="array" ref="D156">IFERROR(_xlfn.XLOOKUP(TEXT(C156,"0000"),TEXT(Catalog!A:A,"0000"),Catalog!B:B),"")</f>
        <v xml:space="preserve">KABEL DOOS EL171 (19150)      </v>
      </c>
      <c r="E156" s="7">
        <v>75</v>
      </c>
    </row>
    <row r="157" spans="2:11" x14ac:dyDescent="0.25">
      <c r="B157" s="22">
        <v>46083</v>
      </c>
      <c r="C157" s="6" t="s">
        <v>5003</v>
      </c>
      <c r="D157" s="3" t="str" cm="1">
        <f t="array" ref="D157">IFERROR(_xlfn.XLOOKUP(TEXT(C157,"0000"),TEXT(Catalog!A:A,"0000"),Catalog!B:B),"")</f>
        <v xml:space="preserve">KABEL DOOS EL161 (18800)      </v>
      </c>
      <c r="E157" s="7">
        <v>44</v>
      </c>
    </row>
    <row r="158" spans="2:11" x14ac:dyDescent="0.25">
      <c r="B158" s="22">
        <v>46083</v>
      </c>
      <c r="C158" s="7">
        <v>7170</v>
      </c>
      <c r="D158" s="3" t="str" cm="1">
        <f t="array" ref="D158">IFERROR(_xlfn.XLOOKUP(TEXT(C158,"0000"),TEXT(Catalog!A:A,"0000"),Catalog!B:B),"")</f>
        <v xml:space="preserve">KABELDOOS GRIJS 886A          </v>
      </c>
      <c r="E158" s="7">
        <v>11</v>
      </c>
      <c r="K158" t="s">
        <v>5012</v>
      </c>
    </row>
    <row r="159" spans="2:11" x14ac:dyDescent="0.25">
      <c r="B159" s="22">
        <v>46083</v>
      </c>
      <c r="C159" s="6" t="s">
        <v>4965</v>
      </c>
      <c r="D159" s="3" t="str" cm="1">
        <f t="array" ref="D159">IFERROR(_xlfn.XLOOKUP(TEXT(C159,"0000"),TEXT(Catalog!A:A,"0000"),Catalog!B:B),"")</f>
        <v xml:space="preserve">CADDY KAB-CLIPS 8-12mm 15-18  </v>
      </c>
      <c r="E159" s="7" t="s">
        <v>5005</v>
      </c>
    </row>
    <row r="160" spans="2:11" x14ac:dyDescent="0.25">
      <c r="B160" s="22"/>
    </row>
    <row r="161" spans="2:11" ht="24" x14ac:dyDescent="0.4">
      <c r="B161" s="35" t="s">
        <v>5006</v>
      </c>
      <c r="C161" s="36"/>
      <c r="D161" s="36"/>
      <c r="E161" s="36"/>
      <c r="F161" s="36"/>
      <c r="G161" s="36"/>
      <c r="H161" s="37"/>
      <c r="I161" s="38" t="s">
        <v>4459</v>
      </c>
      <c r="J161" s="13" t="s">
        <v>4432</v>
      </c>
      <c r="K161" s="40" t="s">
        <v>4460</v>
      </c>
    </row>
    <row r="162" spans="2:11" ht="18.75" x14ac:dyDescent="0.3">
      <c r="B162" s="11" t="s">
        <v>4445</v>
      </c>
      <c r="C162" s="11" t="s">
        <v>4433</v>
      </c>
      <c r="D162" s="11" t="s">
        <v>4434</v>
      </c>
      <c r="E162" s="11" t="s">
        <v>4435</v>
      </c>
      <c r="F162" s="11" t="s">
        <v>4436</v>
      </c>
      <c r="G162" s="11" t="s">
        <v>4444</v>
      </c>
      <c r="H162" s="11" t="s">
        <v>4436</v>
      </c>
      <c r="I162" s="39"/>
      <c r="J162" s="11" t="s">
        <v>4447</v>
      </c>
      <c r="K162" s="41"/>
    </row>
    <row r="163" spans="2:11" x14ac:dyDescent="0.25">
      <c r="B163" s="22">
        <v>46083</v>
      </c>
      <c r="C163" s="6" t="s">
        <v>5007</v>
      </c>
      <c r="D163" s="3" t="str" cm="1">
        <f t="array" ref="D163">IFERROR(_xlfn.XLOOKUP(TEXT(C163,"0000"),TEXT(Catalog!A:A,"0000"),Catalog!B:B),"")</f>
        <v xml:space="preserve">DUBB INBOUWDOOS H251 ABB      </v>
      </c>
      <c r="E163">
        <v>250</v>
      </c>
    </row>
    <row r="164" spans="2:11" x14ac:dyDescent="0.25">
      <c r="B164" s="22">
        <v>46083</v>
      </c>
      <c r="C164" s="6" t="s">
        <v>5008</v>
      </c>
      <c r="D164" s="3" t="str" cm="1">
        <f t="array" ref="D164">IFERROR(_xlfn.XLOOKUP(TEXT(C164,"0000"),TEXT(Catalog!A:A,"0000"),Catalog!B:B),"")</f>
        <v xml:space="preserve">MONTAGEDEKSEL+WCD3640W2       </v>
      </c>
      <c r="E164" t="s">
        <v>5013</v>
      </c>
      <c r="J164">
        <v>100</v>
      </c>
    </row>
    <row r="165" spans="2:11" x14ac:dyDescent="0.25">
      <c r="B165" s="22">
        <v>46083</v>
      </c>
      <c r="C165" s="6" t="s">
        <v>5009</v>
      </c>
      <c r="D165" s="3" t="str" cm="1">
        <f t="array" ref="D165">IFERROR(_xlfn.XLOOKUP(TEXT(C165,"0000"),TEXT(Catalog!A:A,"0000"),Catalog!B:B),"")</f>
        <v xml:space="preserve">MT/2X 16-19MM Inzetstuk       </v>
      </c>
      <c r="E165" t="s">
        <v>5014</v>
      </c>
      <c r="J165">
        <v>400</v>
      </c>
    </row>
    <row r="166" spans="2:11" x14ac:dyDescent="0.25">
      <c r="B166" s="22">
        <v>46083</v>
      </c>
      <c r="C166" s="6" t="s">
        <v>5010</v>
      </c>
      <c r="D166" s="3" t="str" cm="1">
        <f t="array" ref="D166">IFERROR(_xlfn.XLOOKUP(TEXT(C166,"0000"),TEXT(Catalog!A:A,"0000"),Catalog!B:B),"")</f>
        <v xml:space="preserve">CENTRAALDOOS DEKSEL 3506      </v>
      </c>
      <c r="E166">
        <v>500</v>
      </c>
    </row>
    <row r="167" spans="2:11" x14ac:dyDescent="0.25">
      <c r="B167" s="22">
        <v>46083</v>
      </c>
      <c r="C167" s="7">
        <v>3248</v>
      </c>
      <c r="D167" s="3" t="str" cm="1">
        <f t="array" ref="D167">IFERROR(_xlfn.XLOOKUP(TEXT(C167,"0000"),TEXT(Catalog!A:A,"0000"),Catalog!B:B),"")</f>
        <v xml:space="preserve">PICKENS VPR  2241             </v>
      </c>
      <c r="E167">
        <v>8</v>
      </c>
    </row>
    <row r="168" spans="2:11" x14ac:dyDescent="0.25">
      <c r="B168" s="22">
        <v>46083</v>
      </c>
      <c r="C168" s="7">
        <v>3247</v>
      </c>
      <c r="D168" s="3" t="str" cm="1">
        <f t="array" ref="D168">IFERROR(_xlfn.XLOOKUP(TEXT(C168,"0000"),TEXT(Catalog!A:A,"0000"),Catalog!B:B),"")</f>
        <v xml:space="preserve">PICKENS VPO 2236 P            </v>
      </c>
      <c r="E168">
        <v>21</v>
      </c>
    </row>
    <row r="169" spans="2:11" x14ac:dyDescent="0.25">
      <c r="B169" s="22">
        <v>46083</v>
      </c>
      <c r="C169" s="7">
        <v>3246</v>
      </c>
      <c r="D169" s="3" t="str" cm="1">
        <f t="array" ref="D169">IFERROR(_xlfn.XLOOKUP(TEXT(C169,"0000"),TEXT(Catalog!A:A,"0000"),Catalog!B:B),"")</f>
        <v xml:space="preserve">PICKENS VPR 2211              </v>
      </c>
      <c r="E169">
        <v>20</v>
      </c>
    </row>
    <row r="170" spans="2:11" x14ac:dyDescent="0.25">
      <c r="B170" s="22">
        <v>46083</v>
      </c>
      <c r="C170" s="6" t="s">
        <v>5011</v>
      </c>
      <c r="D170" s="3" t="str" cm="1">
        <f t="array" ref="D170">IFERROR(_xlfn.XLOOKUP(TEXT(C170,"0000"),TEXT(Catalog!A:A,"0000"),Catalog!B:B),"")</f>
        <v xml:space="preserve">ATT EINDOOS 2033              </v>
      </c>
      <c r="E170">
        <v>400</v>
      </c>
    </row>
    <row r="171" spans="2:11" x14ac:dyDescent="0.25">
      <c r="B171" s="22">
        <v>46083</v>
      </c>
      <c r="C171" s="7">
        <v>3250</v>
      </c>
      <c r="D171" s="3" t="str" cm="1">
        <f t="array" ref="D171">IFERROR(_xlfn.XLOOKUP(TEXT(C171,"0000"),TEXT(Catalog!A:A,"0000"),Catalog!B:B),"")</f>
        <v xml:space="preserve">PICKENS VPC 2271 TRAP         </v>
      </c>
      <c r="E171">
        <v>1</v>
      </c>
    </row>
    <row r="172" spans="2:11" x14ac:dyDescent="0.25">
      <c r="B172" s="22">
        <v>46083</v>
      </c>
      <c r="C172" s="6" t="s">
        <v>4943</v>
      </c>
      <c r="D172" s="3" t="str" cm="1">
        <f t="array" ref="D172">IFERROR(_xlfn.XLOOKUP(TEXT(C172,"0000"),TEXT(Catalog!A:A,"0000"),Catalog!B:B),"")</f>
        <v xml:space="preserve">GIETBOUWDOOS EURO 2x3/4 MGD50 </v>
      </c>
      <c r="E172">
        <v>1</v>
      </c>
      <c r="K172" t="s">
        <v>5015</v>
      </c>
    </row>
    <row r="173" spans="2:11" x14ac:dyDescent="0.25">
      <c r="B173" s="22"/>
    </row>
    <row r="174" spans="2:11" ht="24" x14ac:dyDescent="0.4">
      <c r="B174" s="35" t="s">
        <v>4501</v>
      </c>
      <c r="C174" s="36"/>
      <c r="D174" s="36"/>
      <c r="E174" s="36"/>
      <c r="F174" s="36"/>
      <c r="G174" s="36"/>
      <c r="H174" s="37"/>
      <c r="I174" s="38" t="s">
        <v>4459</v>
      </c>
      <c r="J174" s="13" t="s">
        <v>4432</v>
      </c>
      <c r="K174" s="40" t="s">
        <v>4460</v>
      </c>
    </row>
    <row r="175" spans="2:11" ht="18.75" x14ac:dyDescent="0.3">
      <c r="B175" s="11" t="s">
        <v>4445</v>
      </c>
      <c r="C175" s="11" t="s">
        <v>4433</v>
      </c>
      <c r="D175" s="11" t="s">
        <v>4434</v>
      </c>
      <c r="E175" s="11" t="s">
        <v>4435</v>
      </c>
      <c r="F175" s="11" t="s">
        <v>4436</v>
      </c>
      <c r="G175" s="11" t="s">
        <v>4444</v>
      </c>
      <c r="H175" s="11" t="s">
        <v>4436</v>
      </c>
      <c r="I175" s="39"/>
      <c r="J175" s="11" t="s">
        <v>4447</v>
      </c>
      <c r="K175" s="41"/>
    </row>
    <row r="176" spans="2:11" x14ac:dyDescent="0.25">
      <c r="B176" s="22">
        <v>46083</v>
      </c>
      <c r="C176" s="6" t="s">
        <v>5016</v>
      </c>
      <c r="D176" s="3" t="str" cm="1">
        <f t="array" ref="D176">IFERROR(_xlfn.XLOOKUP(TEXT(C176,"0000"),TEXT(Catalog!A:A,"0000"),Catalog!B:B),"")</f>
        <v xml:space="preserve">MIDDENDOOS DUBBEL 4207-D      </v>
      </c>
      <c r="E176" t="s">
        <v>5020</v>
      </c>
      <c r="J176">
        <v>200</v>
      </c>
    </row>
    <row r="177" spans="2:11" x14ac:dyDescent="0.25">
      <c r="B177" s="22">
        <v>46083</v>
      </c>
      <c r="C177" s="6" t="s">
        <v>5017</v>
      </c>
      <c r="D177" s="3" t="str" cm="1">
        <f t="array" ref="D177">IFERROR(_xlfn.XLOOKUP(TEXT(C177,"0000"),TEXT(Catalog!A:A,"0000"),Catalog!B:B),"")</f>
        <v xml:space="preserve">T-DOOS              4206-D    </v>
      </c>
      <c r="E177" t="s">
        <v>5021</v>
      </c>
      <c r="F177">
        <v>300</v>
      </c>
      <c r="J177">
        <v>400</v>
      </c>
    </row>
    <row r="178" spans="2:11" x14ac:dyDescent="0.25">
      <c r="B178" s="22">
        <v>46083</v>
      </c>
      <c r="C178" s="6" t="s">
        <v>5018</v>
      </c>
      <c r="D178" s="3" t="str" cm="1">
        <f t="array" ref="D178">IFERROR(_xlfn.XLOOKUP(TEXT(C178,"0000"),TEXT(Catalog!A:A,"0000"),Catalog!B:B),"")</f>
        <v xml:space="preserve">TOP T DOOS DUBB. R. 4210-D    </v>
      </c>
      <c r="E178" t="s">
        <v>5022</v>
      </c>
      <c r="J178">
        <v>900</v>
      </c>
    </row>
    <row r="179" spans="2:11" x14ac:dyDescent="0.25">
      <c r="B179" s="22">
        <v>46083</v>
      </c>
      <c r="C179" s="6" t="s">
        <v>5019</v>
      </c>
      <c r="D179" s="3" t="str" cm="1">
        <f t="array" ref="D179">IFERROR(_xlfn.XLOOKUP(TEXT(C179,"0000"),TEXT(Catalog!A:A,"0000"),Catalog!B:B),"")</f>
        <v xml:space="preserve">TOP T DOOS DUBB. L.  4211-D   </v>
      </c>
      <c r="E179" t="s">
        <v>5023</v>
      </c>
      <c r="J179">
        <v>500</v>
      </c>
    </row>
    <row r="181" spans="2:11" ht="24" x14ac:dyDescent="0.4">
      <c r="B181" s="35" t="s">
        <v>5024</v>
      </c>
      <c r="C181" s="36"/>
      <c r="D181" s="36"/>
      <c r="E181" s="36"/>
      <c r="F181" s="36"/>
      <c r="G181" s="36"/>
      <c r="H181" s="37"/>
      <c r="I181" s="38" t="s">
        <v>4459</v>
      </c>
      <c r="J181" s="13" t="s">
        <v>4432</v>
      </c>
      <c r="K181" s="40" t="s">
        <v>4460</v>
      </c>
    </row>
    <row r="182" spans="2:11" ht="18.75" x14ac:dyDescent="0.3">
      <c r="B182" s="11" t="s">
        <v>4445</v>
      </c>
      <c r="C182" s="11" t="s">
        <v>4433</v>
      </c>
      <c r="D182" s="11" t="s">
        <v>4434</v>
      </c>
      <c r="E182" s="11" t="s">
        <v>4435</v>
      </c>
      <c r="F182" s="11" t="s">
        <v>4436</v>
      </c>
      <c r="G182" s="11" t="s">
        <v>4444</v>
      </c>
      <c r="H182" s="11" t="s">
        <v>4436</v>
      </c>
      <c r="I182" s="39"/>
      <c r="J182" s="11" t="s">
        <v>4447</v>
      </c>
      <c r="K182" s="41"/>
    </row>
    <row r="183" spans="2:11" x14ac:dyDescent="0.25">
      <c r="B183" s="22">
        <v>46083</v>
      </c>
      <c r="C183" s="6" t="s">
        <v>5019</v>
      </c>
      <c r="D183" s="3" t="str" cm="1">
        <f t="array" ref="D183">IFERROR(_xlfn.XLOOKUP(TEXT(C183,"0000"),TEXT(Catalog!A:A,"0000"),Catalog!B:B),"")</f>
        <v xml:space="preserve">TOP T DOOS DUBB. L.  4211-D   </v>
      </c>
      <c r="E183" t="s">
        <v>5030</v>
      </c>
    </row>
    <row r="184" spans="2:11" x14ac:dyDescent="0.25">
      <c r="B184" s="22">
        <v>46083</v>
      </c>
      <c r="C184" s="6" t="s">
        <v>5025</v>
      </c>
      <c r="D184" s="3" t="str" cm="1">
        <f t="array" ref="D184">IFERROR(_xlfn.XLOOKUP(TEXT(C184,"0000"),TEXT(Catalog!A:A,"0000"),Catalog!B:B),"")</f>
        <v xml:space="preserve">LASDOOS TOP T  R DUBB 3210    </v>
      </c>
      <c r="E184" t="s">
        <v>5031</v>
      </c>
      <c r="J184">
        <v>300</v>
      </c>
    </row>
    <row r="185" spans="2:11" x14ac:dyDescent="0.25">
      <c r="B185" s="22">
        <v>46083</v>
      </c>
      <c r="C185" s="6" t="s">
        <v>5026</v>
      </c>
      <c r="D185" s="3" t="str" cm="1">
        <f t="array" ref="D185">IFERROR(_xlfn.XLOOKUP(TEXT(C185,"0000"),TEXT(Catalog!A:A,"0000"),Catalog!B:B),"")</f>
        <v xml:space="preserve">LASDOOS TOP T DOOS L DUBB3211 </v>
      </c>
      <c r="E185" t="s">
        <v>5032</v>
      </c>
    </row>
    <row r="186" spans="2:11" x14ac:dyDescent="0.25">
      <c r="B186" s="22">
        <v>46083</v>
      </c>
      <c r="C186" s="6" t="s">
        <v>5027</v>
      </c>
      <c r="D186" s="3" t="str" cm="1">
        <f t="array" ref="D186">IFERROR(_xlfn.XLOOKUP(TEXT(C186,"0000"),TEXT(Catalog!A:A,"0000"),Catalog!B:B),"")</f>
        <v xml:space="preserve">LASD TREK ACHTER INV 3222     </v>
      </c>
      <c r="E186">
        <v>667</v>
      </c>
    </row>
    <row r="187" spans="2:11" x14ac:dyDescent="0.25">
      <c r="B187" s="22">
        <v>46083</v>
      </c>
      <c r="C187" s="6" t="s">
        <v>5028</v>
      </c>
      <c r="D187" s="3" t="str" cm="1">
        <f t="array" ref="D187">IFERROR(_xlfn.XLOOKUP(TEXT(C187,"0000"),TEXT(Catalog!A:A,"0000"),Catalog!B:B),"")</f>
        <v xml:space="preserve">LASDOOS VORK TOP LINKS 3209   </v>
      </c>
      <c r="E187" t="s">
        <v>5033</v>
      </c>
    </row>
    <row r="188" spans="2:11" x14ac:dyDescent="0.25">
      <c r="B188" s="22">
        <v>46083</v>
      </c>
      <c r="C188" s="6" t="s">
        <v>5029</v>
      </c>
      <c r="D188" s="3" t="str" cm="1">
        <f t="array" ref="D188">IFERROR(_xlfn.XLOOKUP(TEXT(C188,"0000"),TEXT(Catalog!A:A,"0000"),Catalog!B:B),"")</f>
        <v xml:space="preserve">LASD EIND ACHTER INV 2031 att </v>
      </c>
      <c r="E188" t="s">
        <v>5021</v>
      </c>
    </row>
    <row r="190" spans="2:11" ht="24" x14ac:dyDescent="0.4">
      <c r="B190" s="35" t="s">
        <v>5034</v>
      </c>
      <c r="C190" s="36"/>
      <c r="D190" s="36"/>
      <c r="E190" s="36"/>
      <c r="F190" s="36"/>
      <c r="G190" s="36"/>
      <c r="H190" s="37"/>
      <c r="I190" s="38" t="s">
        <v>4459</v>
      </c>
      <c r="J190" s="13" t="s">
        <v>4432</v>
      </c>
      <c r="K190" s="40" t="s">
        <v>4460</v>
      </c>
    </row>
    <row r="191" spans="2:11" ht="18.75" x14ac:dyDescent="0.3">
      <c r="B191" s="11" t="s">
        <v>4445</v>
      </c>
      <c r="C191" s="11" t="s">
        <v>4433</v>
      </c>
      <c r="D191" s="11" t="s">
        <v>4434</v>
      </c>
      <c r="E191" s="11" t="s">
        <v>4435</v>
      </c>
      <c r="F191" s="11" t="s">
        <v>4436</v>
      </c>
      <c r="G191" s="11" t="s">
        <v>4444</v>
      </c>
      <c r="H191" s="11" t="s">
        <v>4436</v>
      </c>
      <c r="I191" s="39"/>
      <c r="J191" s="11" t="s">
        <v>4447</v>
      </c>
      <c r="K191" s="41"/>
    </row>
    <row r="192" spans="2:11" x14ac:dyDescent="0.25">
      <c r="B192" s="22">
        <v>46083</v>
      </c>
      <c r="C192" s="6" t="s">
        <v>5035</v>
      </c>
      <c r="D192" s="3" t="str" cm="1">
        <f t="array" ref="D192">IFERROR(_xlfn.XLOOKUP(TEXT(C192,"0000"),TEXT(Catalog!A:A,"0000"),Catalog!B:B),"")</f>
        <v xml:space="preserve">CENTRAALD 5/8 55mm GEL 165B   </v>
      </c>
      <c r="E192">
        <v>300</v>
      </c>
    </row>
    <row r="193" spans="2:5" x14ac:dyDescent="0.25">
      <c r="B193" s="22">
        <v>46083</v>
      </c>
      <c r="C193" s="6" t="s">
        <v>5036</v>
      </c>
      <c r="D193" s="3" t="str" cm="1">
        <f t="array" ref="D193">IFERROR(_xlfn.XLOOKUP(TEXT(C193,"0000"),TEXT(Catalog!A:A,"0000"),Catalog!B:B),"")</f>
        <v xml:space="preserve">CENTRAALD 5/8 55mm ONG 165A   </v>
      </c>
      <c r="E193">
        <v>400</v>
      </c>
    </row>
    <row r="194" spans="2:5" x14ac:dyDescent="0.25">
      <c r="B194" s="22">
        <v>46083</v>
      </c>
      <c r="C194" s="6" t="s">
        <v>5037</v>
      </c>
      <c r="D194" s="3" t="str" cm="1">
        <f t="array" ref="D194">IFERROR(_xlfn.XLOOKUP(TEXT(C194,"0000"),TEXT(Catalog!A:A,"0000"),Catalog!B:B),"")</f>
        <v xml:space="preserve">CENTRDOOS ROND 12X16/19/20MM  </v>
      </c>
      <c r="E194">
        <v>180</v>
      </c>
    </row>
  </sheetData>
  <mergeCells count="55">
    <mergeCell ref="B1:I1"/>
    <mergeCell ref="B2:H2"/>
    <mergeCell ref="I2:I3"/>
    <mergeCell ref="K2:K3"/>
    <mergeCell ref="B9:H9"/>
    <mergeCell ref="I9:I10"/>
    <mergeCell ref="K9:K10"/>
    <mergeCell ref="B18:H18"/>
    <mergeCell ref="I18:I19"/>
    <mergeCell ref="K18:K19"/>
    <mergeCell ref="B29:H29"/>
    <mergeCell ref="I29:I30"/>
    <mergeCell ref="K29:K30"/>
    <mergeCell ref="B38:H38"/>
    <mergeCell ref="I38:I39"/>
    <mergeCell ref="K38:K39"/>
    <mergeCell ref="B53:H53"/>
    <mergeCell ref="I53:I54"/>
    <mergeCell ref="K53:K54"/>
    <mergeCell ref="B77:H77"/>
    <mergeCell ref="I77:I78"/>
    <mergeCell ref="K77:K78"/>
    <mergeCell ref="B82:H82"/>
    <mergeCell ref="I82:I83"/>
    <mergeCell ref="K82:K83"/>
    <mergeCell ref="B92:H92"/>
    <mergeCell ref="I92:I93"/>
    <mergeCell ref="K92:K93"/>
    <mergeCell ref="B99:H99"/>
    <mergeCell ref="I99:I100"/>
    <mergeCell ref="K99:K100"/>
    <mergeCell ref="B111:H111"/>
    <mergeCell ref="I111:I112"/>
    <mergeCell ref="K111:K112"/>
    <mergeCell ref="B123:H123"/>
    <mergeCell ref="I123:I124"/>
    <mergeCell ref="K123:K124"/>
    <mergeCell ref="B135:H135"/>
    <mergeCell ref="I135:I136"/>
    <mergeCell ref="K135:K136"/>
    <mergeCell ref="B148:H148"/>
    <mergeCell ref="I148:I149"/>
    <mergeCell ref="K148:K149"/>
    <mergeCell ref="B161:H161"/>
    <mergeCell ref="I161:I162"/>
    <mergeCell ref="K161:K162"/>
    <mergeCell ref="B174:H174"/>
    <mergeCell ref="I174:I175"/>
    <mergeCell ref="K174:K175"/>
    <mergeCell ref="B181:H181"/>
    <mergeCell ref="I181:I182"/>
    <mergeCell ref="K181:K182"/>
    <mergeCell ref="B190:H190"/>
    <mergeCell ref="I190:I191"/>
    <mergeCell ref="K190:K19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08CED-D709-4AAD-9508-D9EEBDD8FA7C}">
  <dimension ref="A1:K196"/>
  <sheetViews>
    <sheetView workbookViewId="0">
      <selection activeCell="B7" sqref="B7:K10"/>
    </sheetView>
  </sheetViews>
  <sheetFormatPr defaultColWidth="11.42578125" defaultRowHeight="15" x14ac:dyDescent="0.25"/>
  <cols>
    <col min="2" max="2" width="12.5703125" customWidth="1"/>
    <col min="3" max="3" width="10.85546875" customWidth="1"/>
    <col min="4" max="4" width="43.140625" customWidth="1"/>
    <col min="11" max="11" width="28.5703125" customWidth="1"/>
  </cols>
  <sheetData>
    <row r="1" spans="2:11" ht="30" customHeight="1" x14ac:dyDescent="0.4">
      <c r="B1" s="34" t="s">
        <v>4483</v>
      </c>
      <c r="C1" s="34"/>
      <c r="D1" s="34"/>
      <c r="E1" s="34"/>
      <c r="F1" s="34"/>
      <c r="G1" s="34"/>
      <c r="H1" s="34"/>
      <c r="I1" s="34"/>
    </row>
    <row r="2" spans="2:11" ht="24" x14ac:dyDescent="0.4">
      <c r="B2" s="35" t="s">
        <v>4513</v>
      </c>
      <c r="C2" s="36"/>
      <c r="D2" s="36"/>
      <c r="E2" s="36"/>
      <c r="F2" s="36"/>
      <c r="G2" s="36"/>
      <c r="H2" s="37"/>
      <c r="I2" s="38" t="s">
        <v>4459</v>
      </c>
      <c r="J2" s="13" t="s">
        <v>4432</v>
      </c>
      <c r="K2" s="46" t="s">
        <v>4460</v>
      </c>
    </row>
    <row r="3" spans="2:11" ht="18.75" x14ac:dyDescent="0.3">
      <c r="B3" s="11" t="s">
        <v>4445</v>
      </c>
      <c r="C3" s="11" t="s">
        <v>4433</v>
      </c>
      <c r="D3" s="11" t="s">
        <v>4434</v>
      </c>
      <c r="E3" s="11" t="s">
        <v>4435</v>
      </c>
      <c r="F3" s="11" t="s">
        <v>4436</v>
      </c>
      <c r="G3" s="11" t="s">
        <v>4444</v>
      </c>
      <c r="H3" s="11" t="s">
        <v>4436</v>
      </c>
      <c r="I3" s="39"/>
      <c r="J3" s="11" t="s">
        <v>4447</v>
      </c>
      <c r="K3" s="46"/>
    </row>
    <row r="4" spans="2:11" x14ac:dyDescent="0.25">
      <c r="B4" t="s">
        <v>4502</v>
      </c>
      <c r="C4">
        <v>3229</v>
      </c>
      <c r="D4" s="3" t="s">
        <v>2994</v>
      </c>
      <c r="E4">
        <v>81</v>
      </c>
    </row>
    <row r="5" spans="2:11" x14ac:dyDescent="0.25">
      <c r="D5" s="3"/>
    </row>
    <row r="6" spans="2:11" x14ac:dyDescent="0.25">
      <c r="D6" s="3"/>
    </row>
    <row r="7" spans="2:11" ht="24" x14ac:dyDescent="0.4">
      <c r="B7" s="35" t="s">
        <v>4514</v>
      </c>
      <c r="C7" s="36"/>
      <c r="D7" s="36"/>
      <c r="E7" s="36"/>
      <c r="F7" s="36"/>
      <c r="G7" s="36"/>
      <c r="H7" s="37"/>
      <c r="I7" s="38" t="s">
        <v>4459</v>
      </c>
      <c r="J7" s="13" t="s">
        <v>4432</v>
      </c>
      <c r="K7" s="46" t="s">
        <v>4460</v>
      </c>
    </row>
    <row r="8" spans="2:11" ht="18.75" x14ac:dyDescent="0.3">
      <c r="B8" s="11" t="s">
        <v>4445</v>
      </c>
      <c r="C8" s="11" t="s">
        <v>4433</v>
      </c>
      <c r="D8" s="11" t="s">
        <v>4434</v>
      </c>
      <c r="E8" s="11" t="s">
        <v>4435</v>
      </c>
      <c r="F8" s="11" t="s">
        <v>4436</v>
      </c>
      <c r="G8" s="11" t="s">
        <v>4444</v>
      </c>
      <c r="H8" s="11" t="s">
        <v>4436</v>
      </c>
      <c r="I8" s="39"/>
      <c r="J8" s="11" t="s">
        <v>4447</v>
      </c>
      <c r="K8" s="46"/>
    </row>
    <row r="9" spans="2:11" x14ac:dyDescent="0.25">
      <c r="B9" t="s">
        <v>4502</v>
      </c>
      <c r="C9" s="6" t="s">
        <v>4519</v>
      </c>
      <c r="D9" s="3" t="s">
        <v>8</v>
      </c>
      <c r="E9">
        <v>489</v>
      </c>
    </row>
    <row r="10" spans="2:11" x14ac:dyDescent="0.25">
      <c r="D10" s="3"/>
    </row>
    <row r="11" spans="2:11" x14ac:dyDescent="0.25">
      <c r="D11" s="3"/>
    </row>
    <row r="12" spans="2:11" ht="24" x14ac:dyDescent="0.4">
      <c r="B12" s="35" t="s">
        <v>4515</v>
      </c>
      <c r="C12" s="36"/>
      <c r="D12" s="36"/>
      <c r="E12" s="36"/>
      <c r="F12" s="36"/>
      <c r="G12" s="36"/>
      <c r="H12" s="37"/>
      <c r="I12" s="38" t="s">
        <v>4459</v>
      </c>
      <c r="J12" s="13" t="s">
        <v>4432</v>
      </c>
      <c r="K12" s="46" t="s">
        <v>4460</v>
      </c>
    </row>
    <row r="13" spans="2:11" ht="18.75" x14ac:dyDescent="0.3">
      <c r="B13" s="11" t="s">
        <v>4445</v>
      </c>
      <c r="C13" s="11" t="s">
        <v>4433</v>
      </c>
      <c r="D13" s="11" t="s">
        <v>4434</v>
      </c>
      <c r="E13" s="11" t="s">
        <v>4435</v>
      </c>
      <c r="F13" s="11" t="s">
        <v>4436</v>
      </c>
      <c r="G13" s="11" t="s">
        <v>4444</v>
      </c>
      <c r="H13" s="11" t="s">
        <v>4436</v>
      </c>
      <c r="I13" s="39"/>
      <c r="J13" s="11" t="s">
        <v>4447</v>
      </c>
      <c r="K13" s="46"/>
    </row>
    <row r="14" spans="2:11" x14ac:dyDescent="0.25">
      <c r="B14" t="s">
        <v>4502</v>
      </c>
      <c r="C14" s="21" t="s">
        <v>4520</v>
      </c>
      <c r="D14" s="3" t="s">
        <v>2</v>
      </c>
      <c r="E14">
        <v>291</v>
      </c>
    </row>
    <row r="17" spans="2:11" ht="24" x14ac:dyDescent="0.4">
      <c r="B17" s="35" t="s">
        <v>4516</v>
      </c>
      <c r="C17" s="36"/>
      <c r="D17" s="36"/>
      <c r="E17" s="36"/>
      <c r="F17" s="36"/>
      <c r="G17" s="36"/>
      <c r="H17" s="37"/>
      <c r="I17" s="38" t="s">
        <v>4459</v>
      </c>
      <c r="J17" s="13" t="s">
        <v>4432</v>
      </c>
      <c r="K17" s="46" t="s">
        <v>4460</v>
      </c>
    </row>
    <row r="18" spans="2:11" ht="18.75" x14ac:dyDescent="0.3">
      <c r="B18" s="11" t="s">
        <v>4445</v>
      </c>
      <c r="C18" s="11" t="s">
        <v>4433</v>
      </c>
      <c r="D18" s="11" t="s">
        <v>4434</v>
      </c>
      <c r="E18" s="11" t="s">
        <v>4435</v>
      </c>
      <c r="F18" s="11" t="s">
        <v>4436</v>
      </c>
      <c r="G18" s="11" t="s">
        <v>4444</v>
      </c>
      <c r="H18" s="11" t="s">
        <v>4436</v>
      </c>
      <c r="I18" s="39"/>
      <c r="J18" s="11" t="s">
        <v>4447</v>
      </c>
      <c r="K18" s="46"/>
    </row>
    <row r="19" spans="2:11" x14ac:dyDescent="0.25">
      <c r="B19" t="s">
        <v>4502</v>
      </c>
      <c r="C19">
        <v>3231</v>
      </c>
      <c r="D19" s="3" t="s">
        <v>2998</v>
      </c>
      <c r="E19">
        <v>59</v>
      </c>
    </row>
    <row r="22" spans="2:11" ht="24" x14ac:dyDescent="0.4">
      <c r="B22" s="35" t="s">
        <v>4517</v>
      </c>
      <c r="C22" s="36"/>
      <c r="D22" s="36"/>
      <c r="E22" s="36"/>
      <c r="F22" s="36"/>
      <c r="G22" s="36"/>
      <c r="H22" s="37"/>
      <c r="I22" s="38" t="s">
        <v>4459</v>
      </c>
      <c r="J22" s="13" t="s">
        <v>4432</v>
      </c>
      <c r="K22" s="46" t="s">
        <v>4460</v>
      </c>
    </row>
    <row r="23" spans="2:11" ht="18.75" x14ac:dyDescent="0.3">
      <c r="B23" s="11" t="s">
        <v>4445</v>
      </c>
      <c r="C23" s="11" t="s">
        <v>4433</v>
      </c>
      <c r="D23" s="11" t="s">
        <v>4434</v>
      </c>
      <c r="E23" s="11" t="s">
        <v>4435</v>
      </c>
      <c r="F23" s="11" t="s">
        <v>4436</v>
      </c>
      <c r="G23" s="11" t="s">
        <v>4444</v>
      </c>
      <c r="H23" s="11" t="s">
        <v>4436</v>
      </c>
      <c r="I23" s="39"/>
      <c r="J23" s="11" t="s">
        <v>4447</v>
      </c>
      <c r="K23" s="46"/>
    </row>
    <row r="24" spans="2:11" x14ac:dyDescent="0.25">
      <c r="B24" t="s">
        <v>4502</v>
      </c>
      <c r="C24">
        <v>3258</v>
      </c>
      <c r="D24" s="3" t="s">
        <v>3038</v>
      </c>
      <c r="E24">
        <v>6</v>
      </c>
      <c r="F24">
        <v>11</v>
      </c>
    </row>
    <row r="25" spans="2:11" x14ac:dyDescent="0.25">
      <c r="B25" t="s">
        <v>4502</v>
      </c>
      <c r="C25">
        <v>3225</v>
      </c>
      <c r="D25" s="3" t="s">
        <v>2986</v>
      </c>
      <c r="E25">
        <v>2</v>
      </c>
    </row>
    <row r="26" spans="2:11" x14ac:dyDescent="0.25">
      <c r="B26" t="s">
        <v>4502</v>
      </c>
      <c r="C26">
        <v>3275</v>
      </c>
      <c r="D26" s="3" t="s">
        <v>3068</v>
      </c>
      <c r="E26">
        <v>2</v>
      </c>
    </row>
    <row r="27" spans="2:11" x14ac:dyDescent="0.25">
      <c r="B27" t="s">
        <v>4502</v>
      </c>
      <c r="C27">
        <v>3256</v>
      </c>
      <c r="D27" s="3" t="s">
        <v>3034</v>
      </c>
      <c r="E27">
        <v>1</v>
      </c>
    </row>
    <row r="28" spans="2:11" x14ac:dyDescent="0.25">
      <c r="B28" t="s">
        <v>4502</v>
      </c>
      <c r="C28">
        <v>3231</v>
      </c>
      <c r="D28" s="3" t="s">
        <v>2998</v>
      </c>
      <c r="E28">
        <v>43</v>
      </c>
    </row>
    <row r="29" spans="2:11" x14ac:dyDescent="0.25">
      <c r="B29" t="s">
        <v>4502</v>
      </c>
      <c r="C29">
        <v>3350</v>
      </c>
      <c r="D29" s="3" t="s">
        <v>2972</v>
      </c>
      <c r="E29">
        <v>15</v>
      </c>
    </row>
    <row r="34" spans="1:11" ht="24" x14ac:dyDescent="0.4">
      <c r="B34" s="35" t="s">
        <v>4518</v>
      </c>
      <c r="C34" s="36"/>
      <c r="D34" s="36"/>
      <c r="E34" s="36"/>
      <c r="F34" s="36"/>
      <c r="G34" s="36"/>
      <c r="H34" s="37"/>
      <c r="I34" s="38" t="s">
        <v>4459</v>
      </c>
      <c r="J34" s="13" t="s">
        <v>4432</v>
      </c>
      <c r="K34" s="46" t="s">
        <v>4460</v>
      </c>
    </row>
    <row r="35" spans="1:11" ht="18.75" x14ac:dyDescent="0.3">
      <c r="B35" s="11" t="s">
        <v>4445</v>
      </c>
      <c r="C35" s="11" t="s">
        <v>4433</v>
      </c>
      <c r="D35" s="11" t="s">
        <v>4434</v>
      </c>
      <c r="E35" s="11" t="s">
        <v>4435</v>
      </c>
      <c r="F35" s="11" t="s">
        <v>4436</v>
      </c>
      <c r="G35" s="11" t="s">
        <v>4444</v>
      </c>
      <c r="H35" s="11" t="s">
        <v>4436</v>
      </c>
      <c r="I35" s="39"/>
      <c r="J35" s="11" t="s">
        <v>4447</v>
      </c>
      <c r="K35" s="46"/>
    </row>
    <row r="36" spans="1:11" x14ac:dyDescent="0.25">
      <c r="A36" t="s">
        <v>4522</v>
      </c>
      <c r="B36" t="s">
        <v>4502</v>
      </c>
      <c r="C36" s="21" t="s">
        <v>4521</v>
      </c>
      <c r="D36" t="s">
        <v>4523</v>
      </c>
      <c r="E36">
        <v>280</v>
      </c>
    </row>
    <row r="37" spans="1:11" x14ac:dyDescent="0.25">
      <c r="C37">
        <v>3100</v>
      </c>
      <c r="D37" s="3" t="s">
        <v>2858</v>
      </c>
      <c r="E37" t="s">
        <v>4524</v>
      </c>
      <c r="F37">
        <v>4</v>
      </c>
    </row>
    <row r="39" spans="1:11" ht="24" x14ac:dyDescent="0.4">
      <c r="B39" s="35" t="s">
        <v>4492</v>
      </c>
      <c r="C39" s="36"/>
      <c r="D39" s="36"/>
      <c r="E39" s="36"/>
      <c r="F39" s="36"/>
      <c r="G39" s="36"/>
      <c r="H39" s="37"/>
      <c r="I39" s="38" t="s">
        <v>4459</v>
      </c>
      <c r="J39" s="13" t="s">
        <v>4432</v>
      </c>
      <c r="K39" s="40" t="s">
        <v>4460</v>
      </c>
    </row>
    <row r="40" spans="1:11" ht="56.25" x14ac:dyDescent="0.3">
      <c r="B40" s="11" t="s">
        <v>4445</v>
      </c>
      <c r="C40" s="11" t="s">
        <v>4433</v>
      </c>
      <c r="D40" s="11" t="s">
        <v>4434</v>
      </c>
      <c r="E40" s="11" t="s">
        <v>4435</v>
      </c>
      <c r="F40" s="20" t="s">
        <v>4493</v>
      </c>
      <c r="G40" s="11" t="s">
        <v>4444</v>
      </c>
      <c r="H40" s="20" t="s">
        <v>4494</v>
      </c>
      <c r="I40" s="39"/>
      <c r="J40" s="11" t="s">
        <v>4447</v>
      </c>
      <c r="K40" s="41"/>
    </row>
    <row r="41" spans="1:11" x14ac:dyDescent="0.25">
      <c r="B41" t="s">
        <v>4485</v>
      </c>
      <c r="C41">
        <v>3210</v>
      </c>
      <c r="D41" s="3" t="s">
        <v>2956</v>
      </c>
      <c r="E41">
        <v>10</v>
      </c>
      <c r="F41">
        <v>3</v>
      </c>
    </row>
    <row r="42" spans="1:11" x14ac:dyDescent="0.25">
      <c r="B42" t="s">
        <v>4485</v>
      </c>
      <c r="C42">
        <v>3230</v>
      </c>
      <c r="D42" s="3" t="s">
        <v>2996</v>
      </c>
      <c r="E42" s="7" t="s">
        <v>4491</v>
      </c>
    </row>
    <row r="43" spans="1:11" x14ac:dyDescent="0.25">
      <c r="B43" t="s">
        <v>4485</v>
      </c>
      <c r="C43">
        <v>3224</v>
      </c>
      <c r="D43" s="3" t="s">
        <v>2984</v>
      </c>
      <c r="E43">
        <v>11</v>
      </c>
      <c r="F43">
        <v>4</v>
      </c>
    </row>
    <row r="44" spans="1:11" x14ac:dyDescent="0.25">
      <c r="B44" t="s">
        <v>4502</v>
      </c>
      <c r="C44" s="8"/>
      <c r="D44" s="3" t="s">
        <v>4504</v>
      </c>
      <c r="E44">
        <v>1</v>
      </c>
      <c r="F44">
        <v>4</v>
      </c>
    </row>
    <row r="45" spans="1:11" x14ac:dyDescent="0.25">
      <c r="D45" s="3"/>
    </row>
    <row r="46" spans="1:11" x14ac:dyDescent="0.25">
      <c r="D46" s="3"/>
    </row>
    <row r="47" spans="1:11" ht="24" x14ac:dyDescent="0.4">
      <c r="B47" s="35" t="s">
        <v>4500</v>
      </c>
      <c r="C47" s="36"/>
      <c r="D47" s="36"/>
      <c r="E47" s="36"/>
      <c r="F47" s="36"/>
      <c r="G47" s="36"/>
      <c r="H47" s="37"/>
      <c r="I47" s="38" t="s">
        <v>4459</v>
      </c>
      <c r="J47" s="13" t="s">
        <v>4432</v>
      </c>
      <c r="K47" s="40" t="s">
        <v>4460</v>
      </c>
    </row>
    <row r="48" spans="1:11" ht="56.25" x14ac:dyDescent="0.3">
      <c r="B48" s="11" t="s">
        <v>4445</v>
      </c>
      <c r="C48" s="11" t="s">
        <v>4433</v>
      </c>
      <c r="D48" s="11" t="s">
        <v>4434</v>
      </c>
      <c r="E48" s="11" t="s">
        <v>4435</v>
      </c>
      <c r="F48" s="20" t="s">
        <v>4493</v>
      </c>
      <c r="G48" s="11" t="s">
        <v>4444</v>
      </c>
      <c r="H48" s="20" t="s">
        <v>4494</v>
      </c>
      <c r="I48" s="39"/>
      <c r="J48" s="11" t="s">
        <v>4447</v>
      </c>
      <c r="K48" s="41"/>
    </row>
    <row r="49" spans="2:6" x14ac:dyDescent="0.25">
      <c r="B49" t="s">
        <v>4485</v>
      </c>
      <c r="C49" s="21" t="s">
        <v>4495</v>
      </c>
      <c r="D49" s="3" t="s">
        <v>6</v>
      </c>
      <c r="E49">
        <v>426</v>
      </c>
    </row>
    <row r="50" spans="2:6" x14ac:dyDescent="0.25">
      <c r="B50" t="s">
        <v>4485</v>
      </c>
      <c r="D50" s="3" t="s">
        <v>4496</v>
      </c>
      <c r="E50">
        <v>7</v>
      </c>
      <c r="F50">
        <v>8</v>
      </c>
    </row>
    <row r="51" spans="2:6" x14ac:dyDescent="0.25">
      <c r="B51" t="s">
        <v>4485</v>
      </c>
      <c r="C51" s="16">
        <v>4102</v>
      </c>
      <c r="D51" s="3" t="s">
        <v>3498</v>
      </c>
    </row>
    <row r="52" spans="2:6" x14ac:dyDescent="0.25">
      <c r="B52" t="s">
        <v>4485</v>
      </c>
      <c r="C52" s="18">
        <v>4142</v>
      </c>
      <c r="D52" s="3" t="s">
        <v>3544</v>
      </c>
      <c r="E52">
        <v>19</v>
      </c>
    </row>
    <row r="53" spans="2:6" x14ac:dyDescent="0.25">
      <c r="B53" t="s">
        <v>4485</v>
      </c>
      <c r="C53" s="16">
        <v>4105</v>
      </c>
      <c r="D53" s="3" t="s">
        <v>3504</v>
      </c>
    </row>
    <row r="54" spans="2:6" x14ac:dyDescent="0.25">
      <c r="B54" t="s">
        <v>4485</v>
      </c>
      <c r="C54" s="17">
        <v>4144</v>
      </c>
      <c r="D54" s="3" t="s">
        <v>3548</v>
      </c>
    </row>
    <row r="55" spans="2:6" x14ac:dyDescent="0.25">
      <c r="B55" t="s">
        <v>4485</v>
      </c>
      <c r="C55" s="18">
        <v>90106</v>
      </c>
      <c r="D55" s="3" t="s">
        <v>4210</v>
      </c>
      <c r="E55">
        <v>17</v>
      </c>
    </row>
    <row r="56" spans="2:6" x14ac:dyDescent="0.25">
      <c r="B56" t="s">
        <v>4485</v>
      </c>
      <c r="C56" s="16">
        <v>4115</v>
      </c>
      <c r="D56" s="3" t="s">
        <v>3524</v>
      </c>
    </row>
    <row r="57" spans="2:6" x14ac:dyDescent="0.25">
      <c r="B57" t="s">
        <v>4485</v>
      </c>
      <c r="C57" s="17">
        <v>4154</v>
      </c>
      <c r="D57" s="3" t="s">
        <v>3568</v>
      </c>
      <c r="E57" t="s">
        <v>4497</v>
      </c>
    </row>
    <row r="58" spans="2:6" x14ac:dyDescent="0.25">
      <c r="B58" t="s">
        <v>4485</v>
      </c>
      <c r="C58" s="16">
        <v>4112</v>
      </c>
      <c r="D58" s="3" t="s">
        <v>3518</v>
      </c>
    </row>
    <row r="59" spans="2:6" x14ac:dyDescent="0.25">
      <c r="B59" t="s">
        <v>4485</v>
      </c>
      <c r="C59" s="17">
        <v>4151</v>
      </c>
      <c r="D59" s="3" t="s">
        <v>3562</v>
      </c>
    </row>
    <row r="60" spans="2:6" x14ac:dyDescent="0.25">
      <c r="B60" t="s">
        <v>4485</v>
      </c>
      <c r="C60" s="18">
        <v>90101</v>
      </c>
      <c r="D60" s="3" t="s">
        <v>4200</v>
      </c>
      <c r="E60">
        <v>1</v>
      </c>
    </row>
    <row r="61" spans="2:6" x14ac:dyDescent="0.25">
      <c r="B61" t="s">
        <v>4485</v>
      </c>
      <c r="C61" s="16">
        <v>4101</v>
      </c>
      <c r="D61" s="3" t="s">
        <v>3496</v>
      </c>
    </row>
    <row r="62" spans="2:6" x14ac:dyDescent="0.25">
      <c r="B62" t="s">
        <v>4485</v>
      </c>
      <c r="C62" s="17">
        <v>4141</v>
      </c>
      <c r="D62" s="3" t="s">
        <v>3542</v>
      </c>
    </row>
    <row r="63" spans="2:6" x14ac:dyDescent="0.25">
      <c r="B63" t="s">
        <v>4485</v>
      </c>
      <c r="C63" s="18">
        <v>90108</v>
      </c>
      <c r="D63" s="3" t="s">
        <v>4214</v>
      </c>
      <c r="E63">
        <v>9</v>
      </c>
    </row>
    <row r="64" spans="2:6" x14ac:dyDescent="0.25">
      <c r="B64" t="s">
        <v>4485</v>
      </c>
      <c r="C64" s="16">
        <v>4100</v>
      </c>
      <c r="D64" s="3" t="s">
        <v>3494</v>
      </c>
    </row>
    <row r="65" spans="1:6" x14ac:dyDescent="0.25">
      <c r="B65" t="s">
        <v>4485</v>
      </c>
      <c r="C65" s="17">
        <v>4140</v>
      </c>
      <c r="D65" s="3" t="s">
        <v>3540</v>
      </c>
    </row>
    <row r="66" spans="1:6" x14ac:dyDescent="0.25">
      <c r="B66" t="s">
        <v>4485</v>
      </c>
      <c r="C66" s="18">
        <v>90108</v>
      </c>
      <c r="D66" s="3" t="s">
        <v>4214</v>
      </c>
      <c r="E66">
        <v>26</v>
      </c>
      <c r="F66">
        <v>1</v>
      </c>
    </row>
    <row r="67" spans="1:6" x14ac:dyDescent="0.25">
      <c r="B67" t="s">
        <v>4485</v>
      </c>
      <c r="C67" s="16">
        <v>4104</v>
      </c>
      <c r="D67" s="3" t="s">
        <v>3502</v>
      </c>
    </row>
    <row r="68" spans="1:6" x14ac:dyDescent="0.25">
      <c r="B68" t="s">
        <v>4485</v>
      </c>
      <c r="C68" s="17">
        <v>4143</v>
      </c>
      <c r="D68" s="3" t="s">
        <v>3546</v>
      </c>
    </row>
    <row r="69" spans="1:6" x14ac:dyDescent="0.25">
      <c r="B69" t="s">
        <v>4485</v>
      </c>
      <c r="C69" s="18">
        <v>90107</v>
      </c>
      <c r="D69" s="3" t="s">
        <v>4212</v>
      </c>
      <c r="E69">
        <v>45</v>
      </c>
    </row>
    <row r="70" spans="1:6" x14ac:dyDescent="0.25">
      <c r="A70" t="s">
        <v>4498</v>
      </c>
      <c r="B70" t="s">
        <v>4485</v>
      </c>
      <c r="C70" s="16">
        <v>1920</v>
      </c>
      <c r="D70" s="3" t="s">
        <v>2591</v>
      </c>
      <c r="E70" s="31">
        <v>29</v>
      </c>
    </row>
    <row r="71" spans="1:6" x14ac:dyDescent="0.25">
      <c r="A71" t="s">
        <v>4499</v>
      </c>
      <c r="B71" t="s">
        <v>4485</v>
      </c>
      <c r="C71" s="18">
        <v>19201</v>
      </c>
      <c r="D71" s="3" t="s">
        <v>2593</v>
      </c>
      <c r="E71" s="31"/>
    </row>
    <row r="72" spans="1:6" x14ac:dyDescent="0.25">
      <c r="A72" t="s">
        <v>4503</v>
      </c>
      <c r="B72" t="s">
        <v>4502</v>
      </c>
      <c r="C72" s="16">
        <v>4117</v>
      </c>
      <c r="D72" s="3" t="s">
        <v>3528</v>
      </c>
      <c r="E72" s="10"/>
    </row>
    <row r="73" spans="1:6" x14ac:dyDescent="0.25">
      <c r="A73" t="s">
        <v>4503</v>
      </c>
      <c r="B73" t="s">
        <v>4502</v>
      </c>
      <c r="C73" s="18">
        <v>4155</v>
      </c>
      <c r="D73" s="3" t="s">
        <v>3570</v>
      </c>
      <c r="E73" s="10">
        <v>18</v>
      </c>
    </row>
    <row r="74" spans="1:6" x14ac:dyDescent="0.25">
      <c r="A74" t="s">
        <v>4503</v>
      </c>
      <c r="B74" t="s">
        <v>4502</v>
      </c>
      <c r="C74" s="16">
        <v>4106</v>
      </c>
      <c r="D74" s="3" t="s">
        <v>3506</v>
      </c>
      <c r="E74" s="10"/>
    </row>
    <row r="75" spans="1:6" x14ac:dyDescent="0.25">
      <c r="A75" t="s">
        <v>4503</v>
      </c>
      <c r="B75" t="s">
        <v>4502</v>
      </c>
      <c r="C75" s="18">
        <v>4145</v>
      </c>
      <c r="D75" s="3" t="s">
        <v>3550</v>
      </c>
      <c r="E75" s="10">
        <v>25</v>
      </c>
    </row>
    <row r="76" spans="1:6" x14ac:dyDescent="0.25">
      <c r="A76" t="s">
        <v>4503</v>
      </c>
      <c r="B76" t="s">
        <v>4502</v>
      </c>
      <c r="C76" s="16">
        <v>4111</v>
      </c>
      <c r="D76" s="3" t="s">
        <v>3516</v>
      </c>
      <c r="E76" s="10"/>
    </row>
    <row r="77" spans="1:6" x14ac:dyDescent="0.25">
      <c r="A77" t="s">
        <v>4503</v>
      </c>
      <c r="B77" t="s">
        <v>4502</v>
      </c>
      <c r="C77" s="17">
        <v>4150</v>
      </c>
      <c r="D77" s="3" t="s">
        <v>3560</v>
      </c>
      <c r="E77" s="10"/>
    </row>
    <row r="78" spans="1:6" x14ac:dyDescent="0.25">
      <c r="A78" t="s">
        <v>4503</v>
      </c>
      <c r="B78" t="s">
        <v>4502</v>
      </c>
      <c r="C78" s="18">
        <v>90100</v>
      </c>
      <c r="D78" s="3" t="s">
        <v>4198</v>
      </c>
      <c r="E78" s="10">
        <v>12</v>
      </c>
      <c r="F78">
        <v>4</v>
      </c>
    </row>
    <row r="79" spans="1:6" x14ac:dyDescent="0.25">
      <c r="A79" t="s">
        <v>4503</v>
      </c>
      <c r="B79" t="s">
        <v>4502</v>
      </c>
      <c r="C79" s="16">
        <v>4118</v>
      </c>
      <c r="D79" s="3" t="s">
        <v>3530</v>
      </c>
      <c r="E79" s="10"/>
    </row>
    <row r="80" spans="1:6" x14ac:dyDescent="0.25">
      <c r="A80" t="s">
        <v>4503</v>
      </c>
      <c r="B80" t="s">
        <v>4502</v>
      </c>
      <c r="C80" s="18">
        <v>4156</v>
      </c>
      <c r="D80" s="3" t="s">
        <v>3572</v>
      </c>
      <c r="E80" s="10">
        <v>25</v>
      </c>
    </row>
    <row r="81" spans="1:11" x14ac:dyDescent="0.25">
      <c r="D81" s="3"/>
      <c r="E81" s="10"/>
    </row>
    <row r="84" spans="1:11" ht="24" x14ac:dyDescent="0.4">
      <c r="B84" s="35" t="s">
        <v>4501</v>
      </c>
      <c r="C84" s="36"/>
      <c r="D84" s="36"/>
      <c r="E84" s="36"/>
      <c r="F84" s="36"/>
      <c r="G84" s="36"/>
      <c r="H84" s="37"/>
      <c r="I84" s="38" t="s">
        <v>4459</v>
      </c>
      <c r="J84" s="13" t="s">
        <v>4432</v>
      </c>
      <c r="K84" s="40" t="s">
        <v>4460</v>
      </c>
    </row>
    <row r="85" spans="1:11" ht="56.25" x14ac:dyDescent="0.3">
      <c r="B85" s="11" t="s">
        <v>4445</v>
      </c>
      <c r="C85" s="11" t="s">
        <v>4433</v>
      </c>
      <c r="D85" s="11" t="s">
        <v>4434</v>
      </c>
      <c r="E85" s="11" t="s">
        <v>4435</v>
      </c>
      <c r="F85" s="20" t="s">
        <v>4493</v>
      </c>
      <c r="G85" s="11" t="s">
        <v>4444</v>
      </c>
      <c r="H85" s="20" t="s">
        <v>4494</v>
      </c>
      <c r="I85" s="39"/>
      <c r="J85" s="11" t="s">
        <v>4447</v>
      </c>
      <c r="K85" s="41"/>
    </row>
    <row r="86" spans="1:11" x14ac:dyDescent="0.25">
      <c r="A86" t="s">
        <v>4505</v>
      </c>
      <c r="B86" t="s">
        <v>4502</v>
      </c>
      <c r="C86">
        <v>3229</v>
      </c>
      <c r="D86" s="3" t="s">
        <v>2994</v>
      </c>
      <c r="E86">
        <v>20</v>
      </c>
    </row>
    <row r="87" spans="1:11" x14ac:dyDescent="0.25">
      <c r="A87" t="s">
        <v>4506</v>
      </c>
      <c r="B87" t="s">
        <v>4502</v>
      </c>
      <c r="C87">
        <v>3210</v>
      </c>
      <c r="D87" s="3" t="s">
        <v>2956</v>
      </c>
      <c r="E87">
        <v>6</v>
      </c>
    </row>
    <row r="88" spans="1:11" x14ac:dyDescent="0.25">
      <c r="A88" t="s">
        <v>4507</v>
      </c>
      <c r="B88" t="s">
        <v>4502</v>
      </c>
      <c r="C88">
        <v>3223</v>
      </c>
      <c r="D88" s="3" t="s">
        <v>2982</v>
      </c>
      <c r="E88">
        <v>8</v>
      </c>
    </row>
    <row r="89" spans="1:11" x14ac:dyDescent="0.25">
      <c r="A89" t="s">
        <v>4508</v>
      </c>
      <c r="B89" t="s">
        <v>4502</v>
      </c>
      <c r="C89">
        <v>3253</v>
      </c>
      <c r="D89" s="3" t="s">
        <v>3028</v>
      </c>
      <c r="E89">
        <v>11</v>
      </c>
    </row>
    <row r="92" spans="1:11" ht="24" x14ac:dyDescent="0.4">
      <c r="B92" s="35" t="s">
        <v>4484</v>
      </c>
      <c r="C92" s="36"/>
      <c r="D92" s="36"/>
      <c r="E92" s="36"/>
      <c r="F92" s="36"/>
      <c r="G92" s="36"/>
      <c r="H92" s="37"/>
      <c r="I92" s="38" t="s">
        <v>4459</v>
      </c>
      <c r="J92" s="13" t="s">
        <v>4432</v>
      </c>
      <c r="K92" s="46" t="s">
        <v>4460</v>
      </c>
    </row>
    <row r="93" spans="1:11" ht="18.75" x14ac:dyDescent="0.3">
      <c r="B93" s="11" t="s">
        <v>4445</v>
      </c>
      <c r="C93" s="11" t="s">
        <v>4433</v>
      </c>
      <c r="D93" s="11" t="s">
        <v>4434</v>
      </c>
      <c r="E93" s="11" t="s">
        <v>4435</v>
      </c>
      <c r="F93" s="11" t="s">
        <v>4436</v>
      </c>
      <c r="G93" s="11" t="s">
        <v>4444</v>
      </c>
      <c r="H93" s="11" t="s">
        <v>4436</v>
      </c>
      <c r="I93" s="39"/>
      <c r="J93" s="11" t="s">
        <v>4447</v>
      </c>
      <c r="K93" s="46"/>
    </row>
    <row r="94" spans="1:11" x14ac:dyDescent="0.25">
      <c r="B94" t="s">
        <v>4485</v>
      </c>
      <c r="C94">
        <v>4107</v>
      </c>
      <c r="D94" s="3" t="s">
        <v>3508</v>
      </c>
      <c r="E94" s="32">
        <v>144</v>
      </c>
    </row>
    <row r="95" spans="1:11" x14ac:dyDescent="0.25">
      <c r="B95" t="s">
        <v>4485</v>
      </c>
      <c r="C95">
        <v>4146</v>
      </c>
      <c r="D95" s="3" t="s">
        <v>3552</v>
      </c>
      <c r="E95" s="33"/>
    </row>
    <row r="96" spans="1:11" x14ac:dyDescent="0.25">
      <c r="B96" t="s">
        <v>4485</v>
      </c>
      <c r="C96">
        <v>4247</v>
      </c>
      <c r="D96" s="3" t="s">
        <v>3668</v>
      </c>
      <c r="E96">
        <v>6</v>
      </c>
      <c r="F96">
        <v>3</v>
      </c>
    </row>
    <row r="97" spans="2:6" x14ac:dyDescent="0.25">
      <c r="B97" t="s">
        <v>4485</v>
      </c>
      <c r="C97">
        <v>4285</v>
      </c>
      <c r="D97" s="3" t="s">
        <v>3744</v>
      </c>
      <c r="E97">
        <v>6</v>
      </c>
    </row>
    <row r="98" spans="2:6" x14ac:dyDescent="0.25">
      <c r="B98" t="s">
        <v>4485</v>
      </c>
      <c r="C98">
        <v>1497</v>
      </c>
      <c r="D98" s="3" t="s">
        <v>1712</v>
      </c>
      <c r="E98" s="31">
        <v>6</v>
      </c>
      <c r="F98" s="31">
        <v>1</v>
      </c>
    </row>
    <row r="99" spans="2:6" x14ac:dyDescent="0.25">
      <c r="B99" t="s">
        <v>4485</v>
      </c>
      <c r="C99">
        <v>4224</v>
      </c>
      <c r="D99" s="3" t="s">
        <v>3622</v>
      </c>
      <c r="E99" s="31"/>
      <c r="F99" s="31"/>
    </row>
    <row r="100" spans="2:6" x14ac:dyDescent="0.25">
      <c r="B100" t="s">
        <v>4485</v>
      </c>
      <c r="C100">
        <v>4280</v>
      </c>
      <c r="D100" s="3" t="s">
        <v>3734</v>
      </c>
      <c r="E100">
        <v>2</v>
      </c>
    </row>
    <row r="101" spans="2:6" x14ac:dyDescent="0.25">
      <c r="B101" t="s">
        <v>4485</v>
      </c>
      <c r="C101">
        <v>4225</v>
      </c>
      <c r="D101" s="3" t="s">
        <v>3624</v>
      </c>
      <c r="F101">
        <v>2</v>
      </c>
    </row>
    <row r="102" spans="2:6" x14ac:dyDescent="0.25">
      <c r="B102" t="s">
        <v>4485</v>
      </c>
      <c r="C102">
        <v>4231</v>
      </c>
      <c r="D102" s="3" t="s">
        <v>3636</v>
      </c>
      <c r="E102">
        <v>2</v>
      </c>
      <c r="F102">
        <v>7</v>
      </c>
    </row>
    <row r="103" spans="2:6" x14ac:dyDescent="0.25">
      <c r="B103" t="s">
        <v>4485</v>
      </c>
      <c r="C103">
        <v>4218</v>
      </c>
      <c r="D103" s="3" t="s">
        <v>3610</v>
      </c>
      <c r="E103">
        <v>2</v>
      </c>
    </row>
    <row r="104" spans="2:6" x14ac:dyDescent="0.25">
      <c r="B104" t="s">
        <v>4485</v>
      </c>
      <c r="C104">
        <v>4260</v>
      </c>
      <c r="D104" s="3" t="s">
        <v>3694</v>
      </c>
      <c r="F104">
        <v>3</v>
      </c>
    </row>
    <row r="105" spans="2:6" x14ac:dyDescent="0.25">
      <c r="B105" t="s">
        <v>4485</v>
      </c>
      <c r="C105">
        <v>4240</v>
      </c>
      <c r="D105" s="3" t="s">
        <v>3654</v>
      </c>
      <c r="E105">
        <v>2</v>
      </c>
      <c r="F105">
        <v>13</v>
      </c>
    </row>
    <row r="106" spans="2:6" x14ac:dyDescent="0.25">
      <c r="B106" t="s">
        <v>4485</v>
      </c>
      <c r="C106">
        <v>4230</v>
      </c>
      <c r="D106" s="3" t="s">
        <v>3634</v>
      </c>
      <c r="E106">
        <v>2</v>
      </c>
    </row>
    <row r="107" spans="2:6" x14ac:dyDescent="0.25">
      <c r="B107" t="s">
        <v>4485</v>
      </c>
      <c r="C107">
        <v>4241</v>
      </c>
      <c r="D107" s="3" t="s">
        <v>3656</v>
      </c>
      <c r="E107">
        <v>2</v>
      </c>
      <c r="F107">
        <v>8</v>
      </c>
    </row>
    <row r="108" spans="2:6" x14ac:dyDescent="0.25">
      <c r="B108" t="s">
        <v>4485</v>
      </c>
      <c r="C108">
        <v>4284</v>
      </c>
      <c r="D108" s="3" t="s">
        <v>3742</v>
      </c>
      <c r="E108">
        <v>7</v>
      </c>
    </row>
    <row r="109" spans="2:6" x14ac:dyDescent="0.25">
      <c r="B109" t="s">
        <v>4485</v>
      </c>
      <c r="C109">
        <v>4234</v>
      </c>
      <c r="D109" s="3" t="s">
        <v>3642</v>
      </c>
      <c r="E109">
        <v>2</v>
      </c>
      <c r="F109">
        <v>4</v>
      </c>
    </row>
    <row r="110" spans="2:6" x14ac:dyDescent="0.25">
      <c r="B110" t="s">
        <v>4485</v>
      </c>
      <c r="C110">
        <v>4258</v>
      </c>
      <c r="D110" s="3" t="s">
        <v>3690</v>
      </c>
      <c r="E110">
        <v>1</v>
      </c>
      <c r="F110">
        <v>3</v>
      </c>
    </row>
    <row r="111" spans="2:6" x14ac:dyDescent="0.25">
      <c r="B111" t="s">
        <v>4485</v>
      </c>
      <c r="C111">
        <v>1502</v>
      </c>
      <c r="D111" s="3" t="s">
        <v>1720</v>
      </c>
      <c r="E111" s="31">
        <v>2</v>
      </c>
      <c r="F111" s="31">
        <v>3</v>
      </c>
    </row>
    <row r="112" spans="2:6" x14ac:dyDescent="0.25">
      <c r="B112" t="s">
        <v>4485</v>
      </c>
      <c r="C112">
        <v>4274</v>
      </c>
      <c r="D112" s="3" t="s">
        <v>3722</v>
      </c>
      <c r="E112" s="31"/>
      <c r="F112" s="31"/>
    </row>
    <row r="113" spans="2:6" x14ac:dyDescent="0.25">
      <c r="B113" t="s">
        <v>4485</v>
      </c>
      <c r="C113">
        <v>4105</v>
      </c>
      <c r="D113" s="3" t="s">
        <v>3504</v>
      </c>
      <c r="E113" s="31">
        <v>5</v>
      </c>
      <c r="F113" s="31"/>
    </row>
    <row r="114" spans="2:6" x14ac:dyDescent="0.25">
      <c r="B114" t="s">
        <v>4485</v>
      </c>
      <c r="C114">
        <v>4144</v>
      </c>
      <c r="D114" s="3" t="s">
        <v>3548</v>
      </c>
      <c r="E114" s="31"/>
      <c r="F114" s="31"/>
    </row>
    <row r="115" spans="2:6" x14ac:dyDescent="0.25">
      <c r="B115" t="s">
        <v>4485</v>
      </c>
      <c r="C115">
        <v>90106</v>
      </c>
      <c r="D115" s="3" t="s">
        <v>4210</v>
      </c>
      <c r="E115" s="31"/>
      <c r="F115" s="31"/>
    </row>
    <row r="116" spans="2:6" x14ac:dyDescent="0.25">
      <c r="B116" t="s">
        <v>4485</v>
      </c>
      <c r="D116" s="3" t="s">
        <v>4486</v>
      </c>
      <c r="E116">
        <v>136</v>
      </c>
    </row>
    <row r="117" spans="2:6" x14ac:dyDescent="0.25">
      <c r="B117" t="s">
        <v>4485</v>
      </c>
      <c r="D117" s="3" t="s">
        <v>4487</v>
      </c>
      <c r="E117">
        <v>21</v>
      </c>
    </row>
    <row r="119" spans="2:6" x14ac:dyDescent="0.25">
      <c r="B119" t="s">
        <v>4485</v>
      </c>
      <c r="C119" s="16">
        <v>4110</v>
      </c>
      <c r="D119" s="3" t="s">
        <v>3514</v>
      </c>
    </row>
    <row r="120" spans="2:6" x14ac:dyDescent="0.25">
      <c r="B120" t="s">
        <v>4485</v>
      </c>
      <c r="C120" s="17">
        <v>4149</v>
      </c>
      <c r="D120" s="3" t="s">
        <v>3558</v>
      </c>
    </row>
    <row r="121" spans="2:6" x14ac:dyDescent="0.25">
      <c r="B121" t="s">
        <v>4485</v>
      </c>
      <c r="C121" s="18">
        <v>90110</v>
      </c>
      <c r="D121" s="3" t="s">
        <v>4218</v>
      </c>
      <c r="E121">
        <v>78</v>
      </c>
    </row>
    <row r="122" spans="2:6" x14ac:dyDescent="0.25">
      <c r="B122" t="s">
        <v>4485</v>
      </c>
      <c r="C122" s="16">
        <v>4109</v>
      </c>
      <c r="D122" s="3" t="s">
        <v>3512</v>
      </c>
    </row>
    <row r="123" spans="2:6" x14ac:dyDescent="0.25">
      <c r="B123" t="s">
        <v>4485</v>
      </c>
      <c r="C123" s="18">
        <v>4148</v>
      </c>
      <c r="D123" s="3" t="s">
        <v>3556</v>
      </c>
      <c r="E123">
        <v>36</v>
      </c>
    </row>
    <row r="124" spans="2:6" x14ac:dyDescent="0.25">
      <c r="B124" t="s">
        <v>4485</v>
      </c>
      <c r="C124" s="16">
        <v>4122</v>
      </c>
      <c r="D124" s="3" t="s">
        <v>3538</v>
      </c>
    </row>
    <row r="125" spans="2:6" x14ac:dyDescent="0.25">
      <c r="B125" t="s">
        <v>4485</v>
      </c>
      <c r="C125" s="18">
        <v>4157</v>
      </c>
      <c r="D125" s="3" t="s">
        <v>3574</v>
      </c>
      <c r="E125">
        <v>14</v>
      </c>
    </row>
    <row r="126" spans="2:6" x14ac:dyDescent="0.25">
      <c r="B126" t="s">
        <v>4485</v>
      </c>
      <c r="C126" s="16">
        <v>4107</v>
      </c>
      <c r="D126" s="3" t="s">
        <v>3508</v>
      </c>
    </row>
    <row r="127" spans="2:6" x14ac:dyDescent="0.25">
      <c r="B127" t="s">
        <v>4485</v>
      </c>
      <c r="C127" s="18">
        <v>4146</v>
      </c>
      <c r="D127" s="3" t="s">
        <v>3552</v>
      </c>
      <c r="E127">
        <v>180</v>
      </c>
    </row>
    <row r="128" spans="2:6" x14ac:dyDescent="0.25">
      <c r="B128" t="s">
        <v>4485</v>
      </c>
      <c r="C128">
        <v>4250</v>
      </c>
      <c r="D128" s="3" t="s">
        <v>3674</v>
      </c>
      <c r="E128">
        <v>3</v>
      </c>
      <c r="F128">
        <v>3</v>
      </c>
    </row>
    <row r="129" spans="1:6" x14ac:dyDescent="0.25">
      <c r="B129" t="s">
        <v>4485</v>
      </c>
      <c r="C129">
        <v>4248</v>
      </c>
      <c r="D129" s="3" t="s">
        <v>3670</v>
      </c>
      <c r="F129">
        <v>2</v>
      </c>
    </row>
    <row r="130" spans="1:6" x14ac:dyDescent="0.25">
      <c r="B130" t="s">
        <v>4485</v>
      </c>
      <c r="C130">
        <v>4283</v>
      </c>
      <c r="D130" s="3" t="s">
        <v>3740</v>
      </c>
      <c r="E130">
        <v>7</v>
      </c>
    </row>
    <row r="131" spans="1:6" x14ac:dyDescent="0.25">
      <c r="B131" t="s">
        <v>4485</v>
      </c>
      <c r="C131" s="16">
        <v>4114</v>
      </c>
      <c r="D131" s="3" t="s">
        <v>3522</v>
      </c>
    </row>
    <row r="132" spans="1:6" x14ac:dyDescent="0.25">
      <c r="B132" t="s">
        <v>4485</v>
      </c>
      <c r="C132" s="17">
        <v>4153</v>
      </c>
      <c r="D132" s="3" t="s">
        <v>3566</v>
      </c>
    </row>
    <row r="133" spans="1:6" x14ac:dyDescent="0.25">
      <c r="B133" t="s">
        <v>4485</v>
      </c>
      <c r="C133" s="18">
        <v>90103</v>
      </c>
      <c r="D133" s="3" t="s">
        <v>4204</v>
      </c>
      <c r="E133">
        <v>20</v>
      </c>
    </row>
    <row r="134" spans="1:6" x14ac:dyDescent="0.25">
      <c r="B134" t="s">
        <v>4485</v>
      </c>
      <c r="C134" s="16">
        <v>4108</v>
      </c>
      <c r="D134" s="3" t="s">
        <v>3510</v>
      </c>
    </row>
    <row r="135" spans="1:6" x14ac:dyDescent="0.25">
      <c r="B135" t="s">
        <v>4485</v>
      </c>
      <c r="C135" s="17">
        <v>4147</v>
      </c>
      <c r="D135" s="3" t="s">
        <v>3554</v>
      </c>
    </row>
    <row r="136" spans="1:6" x14ac:dyDescent="0.25">
      <c r="B136" t="s">
        <v>4485</v>
      </c>
      <c r="C136" s="18">
        <v>90105</v>
      </c>
      <c r="D136" s="3" t="s">
        <v>4208</v>
      </c>
      <c r="E136">
        <v>28</v>
      </c>
    </row>
    <row r="137" spans="1:6" x14ac:dyDescent="0.25">
      <c r="B137" t="s">
        <v>4485</v>
      </c>
      <c r="C137">
        <v>4239</v>
      </c>
      <c r="D137" s="3" t="s">
        <v>3652</v>
      </c>
      <c r="E137">
        <v>1</v>
      </c>
      <c r="F137">
        <v>5</v>
      </c>
    </row>
    <row r="138" spans="1:6" x14ac:dyDescent="0.25">
      <c r="A138" t="s">
        <v>4488</v>
      </c>
      <c r="B138" t="s">
        <v>4485</v>
      </c>
      <c r="C138">
        <v>4261</v>
      </c>
      <c r="D138" s="3" t="s">
        <v>3696</v>
      </c>
      <c r="E138" s="8"/>
      <c r="F138" s="8"/>
    </row>
    <row r="139" spans="1:6" x14ac:dyDescent="0.25">
      <c r="B139" t="s">
        <v>4485</v>
      </c>
      <c r="C139">
        <v>4252</v>
      </c>
      <c r="D139" s="3" t="s">
        <v>3678</v>
      </c>
      <c r="E139">
        <v>2</v>
      </c>
      <c r="F139">
        <v>7</v>
      </c>
    </row>
    <row r="140" spans="1:6" x14ac:dyDescent="0.25">
      <c r="B140" t="s">
        <v>4485</v>
      </c>
      <c r="C140">
        <v>4265</v>
      </c>
      <c r="D140" s="3" t="s">
        <v>3704</v>
      </c>
      <c r="E140">
        <v>3</v>
      </c>
    </row>
    <row r="141" spans="1:6" x14ac:dyDescent="0.25">
      <c r="B141" t="s">
        <v>4485</v>
      </c>
      <c r="C141">
        <v>4221</v>
      </c>
      <c r="D141" s="3" t="s">
        <v>3616</v>
      </c>
      <c r="E141">
        <v>3</v>
      </c>
    </row>
    <row r="142" spans="1:6" x14ac:dyDescent="0.25">
      <c r="B142" t="s">
        <v>4485</v>
      </c>
      <c r="C142">
        <v>4264</v>
      </c>
      <c r="D142" s="3" t="s">
        <v>3702</v>
      </c>
      <c r="E142">
        <v>2</v>
      </c>
      <c r="F142">
        <v>11</v>
      </c>
    </row>
    <row r="143" spans="1:6" x14ac:dyDescent="0.25">
      <c r="B143" t="s">
        <v>4485</v>
      </c>
      <c r="C143">
        <v>4253</v>
      </c>
      <c r="D143" s="3" t="s">
        <v>3680</v>
      </c>
      <c r="E143">
        <v>2</v>
      </c>
      <c r="F143">
        <v>15</v>
      </c>
    </row>
    <row r="144" spans="1:6" x14ac:dyDescent="0.25">
      <c r="B144" t="s">
        <v>4485</v>
      </c>
      <c r="C144">
        <v>4254</v>
      </c>
      <c r="D144" s="3" t="s">
        <v>3682</v>
      </c>
      <c r="E144">
        <v>3</v>
      </c>
    </row>
    <row r="145" spans="1:11" x14ac:dyDescent="0.25">
      <c r="B145" t="s">
        <v>4485</v>
      </c>
      <c r="C145">
        <v>4243</v>
      </c>
      <c r="D145" s="3" t="s">
        <v>3660</v>
      </c>
      <c r="E145">
        <v>1</v>
      </c>
      <c r="F145">
        <v>9</v>
      </c>
    </row>
    <row r="146" spans="1:11" x14ac:dyDescent="0.25">
      <c r="B146" t="s">
        <v>4485</v>
      </c>
      <c r="C146">
        <v>4216</v>
      </c>
      <c r="D146" s="3" t="s">
        <v>3606</v>
      </c>
      <c r="E146">
        <v>2</v>
      </c>
      <c r="F146">
        <v>19</v>
      </c>
    </row>
    <row r="148" spans="1:11" x14ac:dyDescent="0.25">
      <c r="A148" t="s">
        <v>4490</v>
      </c>
      <c r="B148" t="s">
        <v>4485</v>
      </c>
      <c r="D148">
        <v>145821</v>
      </c>
      <c r="F148">
        <v>6</v>
      </c>
    </row>
    <row r="149" spans="1:11" x14ac:dyDescent="0.25">
      <c r="A149" t="s">
        <v>4490</v>
      </c>
      <c r="B149" t="s">
        <v>4485</v>
      </c>
      <c r="D149">
        <v>145285</v>
      </c>
      <c r="E149">
        <v>1</v>
      </c>
    </row>
    <row r="150" spans="1:11" x14ac:dyDescent="0.25">
      <c r="A150" t="s">
        <v>4490</v>
      </c>
      <c r="B150" t="s">
        <v>4485</v>
      </c>
      <c r="D150">
        <v>145323</v>
      </c>
      <c r="E150">
        <v>1</v>
      </c>
    </row>
    <row r="151" spans="1:11" x14ac:dyDescent="0.25">
      <c r="A151" t="s">
        <v>4490</v>
      </c>
      <c r="B151" t="s">
        <v>4485</v>
      </c>
      <c r="D151">
        <v>145789</v>
      </c>
      <c r="F151">
        <v>11</v>
      </c>
    </row>
    <row r="152" spans="1:11" x14ac:dyDescent="0.25">
      <c r="A152" t="s">
        <v>4490</v>
      </c>
      <c r="B152" t="s">
        <v>4485</v>
      </c>
      <c r="D152" t="s">
        <v>4489</v>
      </c>
      <c r="F152">
        <v>9</v>
      </c>
    </row>
    <row r="154" spans="1:11" ht="24" x14ac:dyDescent="0.4">
      <c r="B154" s="35" t="s">
        <v>4509</v>
      </c>
      <c r="C154" s="36"/>
      <c r="D154" s="36"/>
      <c r="E154" s="36"/>
      <c r="F154" s="36"/>
      <c r="G154" s="36"/>
      <c r="H154" s="37"/>
      <c r="I154" s="38" t="s">
        <v>4459</v>
      </c>
      <c r="J154" s="13" t="s">
        <v>4432</v>
      </c>
      <c r="K154" s="46" t="s">
        <v>4460</v>
      </c>
    </row>
    <row r="155" spans="1:11" ht="18.75" x14ac:dyDescent="0.3">
      <c r="B155" s="11" t="s">
        <v>4445</v>
      </c>
      <c r="C155" s="11" t="s">
        <v>4433</v>
      </c>
      <c r="D155" s="11" t="s">
        <v>4434</v>
      </c>
      <c r="E155" s="11" t="s">
        <v>4435</v>
      </c>
      <c r="F155" s="11" t="s">
        <v>4436</v>
      </c>
      <c r="G155" s="11" t="s">
        <v>4444</v>
      </c>
      <c r="H155" s="11" t="s">
        <v>4436</v>
      </c>
      <c r="I155" s="39"/>
      <c r="J155" s="11" t="s">
        <v>4447</v>
      </c>
      <c r="K155" s="46"/>
    </row>
    <row r="156" spans="1:11" x14ac:dyDescent="0.25">
      <c r="B156" t="s">
        <v>4502</v>
      </c>
      <c r="C156" s="16">
        <v>4107</v>
      </c>
      <c r="D156" s="3" t="s">
        <v>3508</v>
      </c>
      <c r="E156" s="7"/>
    </row>
    <row r="157" spans="1:11" x14ac:dyDescent="0.25">
      <c r="B157" t="s">
        <v>4502</v>
      </c>
      <c r="C157" s="18">
        <v>4146</v>
      </c>
      <c r="D157" s="3" t="s">
        <v>3552</v>
      </c>
      <c r="E157" s="7" t="s">
        <v>4510</v>
      </c>
      <c r="F157">
        <v>14</v>
      </c>
    </row>
    <row r="158" spans="1:11" x14ac:dyDescent="0.25">
      <c r="B158" t="s">
        <v>4502</v>
      </c>
      <c r="C158" s="16">
        <v>4114</v>
      </c>
      <c r="D158" s="3" t="s">
        <v>3522</v>
      </c>
      <c r="E158" s="7"/>
    </row>
    <row r="159" spans="1:11" x14ac:dyDescent="0.25">
      <c r="B159" t="s">
        <v>4502</v>
      </c>
      <c r="C159" s="17">
        <v>4153</v>
      </c>
      <c r="D159" s="3" t="s">
        <v>3566</v>
      </c>
      <c r="E159" s="7"/>
    </row>
    <row r="160" spans="1:11" x14ac:dyDescent="0.25">
      <c r="B160" t="s">
        <v>4502</v>
      </c>
      <c r="C160" s="18">
        <v>90103</v>
      </c>
      <c r="D160" s="3" t="s">
        <v>4204</v>
      </c>
      <c r="E160" s="7">
        <v>6</v>
      </c>
    </row>
    <row r="161" spans="1:6" x14ac:dyDescent="0.25">
      <c r="B161" t="s">
        <v>4502</v>
      </c>
      <c r="C161" s="16">
        <v>4113</v>
      </c>
      <c r="D161" s="3" t="s">
        <v>3520</v>
      </c>
      <c r="E161" s="7"/>
    </row>
    <row r="162" spans="1:6" x14ac:dyDescent="0.25">
      <c r="B162" t="s">
        <v>4502</v>
      </c>
      <c r="C162" s="17">
        <v>4152</v>
      </c>
      <c r="D162" s="3" t="s">
        <v>3564</v>
      </c>
      <c r="E162" s="7"/>
    </row>
    <row r="163" spans="1:6" x14ac:dyDescent="0.25">
      <c r="B163" t="s">
        <v>4502</v>
      </c>
      <c r="C163" s="18">
        <v>90102</v>
      </c>
      <c r="D163" s="3" t="s">
        <v>4202</v>
      </c>
      <c r="E163" s="7">
        <v>19</v>
      </c>
    </row>
    <row r="164" spans="1:6" x14ac:dyDescent="0.25">
      <c r="B164" t="s">
        <v>4502</v>
      </c>
      <c r="C164" s="16">
        <v>4111</v>
      </c>
      <c r="D164" s="3" t="s">
        <v>3516</v>
      </c>
      <c r="E164" s="7"/>
    </row>
    <row r="165" spans="1:6" x14ac:dyDescent="0.25">
      <c r="B165" t="s">
        <v>4502</v>
      </c>
      <c r="C165" s="17">
        <v>4150</v>
      </c>
      <c r="D165" s="3" t="s">
        <v>3560</v>
      </c>
      <c r="E165" s="7"/>
    </row>
    <row r="166" spans="1:6" x14ac:dyDescent="0.25">
      <c r="B166" t="s">
        <v>4502</v>
      </c>
      <c r="C166" s="18">
        <v>90100</v>
      </c>
      <c r="D166" s="3" t="s">
        <v>4198</v>
      </c>
      <c r="E166" s="7">
        <v>9</v>
      </c>
      <c r="F166">
        <v>10</v>
      </c>
    </row>
    <row r="167" spans="1:6" x14ac:dyDescent="0.25">
      <c r="B167" t="s">
        <v>4502</v>
      </c>
      <c r="C167" s="16">
        <v>4102</v>
      </c>
      <c r="D167" s="3" t="s">
        <v>3498</v>
      </c>
      <c r="E167" s="7"/>
    </row>
    <row r="168" spans="1:6" x14ac:dyDescent="0.25">
      <c r="B168" t="s">
        <v>4502</v>
      </c>
      <c r="C168" s="18">
        <v>4142</v>
      </c>
      <c r="D168" s="3" t="s">
        <v>3544</v>
      </c>
      <c r="E168" s="7">
        <v>26</v>
      </c>
    </row>
    <row r="169" spans="1:6" x14ac:dyDescent="0.25">
      <c r="B169" t="s">
        <v>4502</v>
      </c>
      <c r="C169" s="16">
        <v>4141</v>
      </c>
      <c r="D169" s="3" t="s">
        <v>3542</v>
      </c>
      <c r="E169" s="7"/>
    </row>
    <row r="170" spans="1:6" x14ac:dyDescent="0.25">
      <c r="B170" t="s">
        <v>4502</v>
      </c>
      <c r="C170" s="17">
        <v>4101</v>
      </c>
      <c r="D170" s="3" t="s">
        <v>3496</v>
      </c>
      <c r="E170" s="7"/>
    </row>
    <row r="171" spans="1:6" x14ac:dyDescent="0.25">
      <c r="B171" t="s">
        <v>4502</v>
      </c>
      <c r="C171" s="18">
        <v>90108</v>
      </c>
      <c r="D171" s="3" t="s">
        <v>4214</v>
      </c>
      <c r="E171" s="7" t="s">
        <v>4511</v>
      </c>
      <c r="F171">
        <v>1</v>
      </c>
    </row>
    <row r="172" spans="1:6" x14ac:dyDescent="0.25">
      <c r="B172" t="s">
        <v>4502</v>
      </c>
      <c r="C172" s="16">
        <v>4100</v>
      </c>
      <c r="D172" s="3" t="s">
        <v>3494</v>
      </c>
      <c r="E172" s="7"/>
    </row>
    <row r="173" spans="1:6" x14ac:dyDescent="0.25">
      <c r="B173" t="s">
        <v>4502</v>
      </c>
      <c r="C173" s="17">
        <v>4140</v>
      </c>
      <c r="D173" s="3" t="s">
        <v>3540</v>
      </c>
      <c r="E173" s="7"/>
    </row>
    <row r="174" spans="1:6" x14ac:dyDescent="0.25">
      <c r="B174" t="s">
        <v>4502</v>
      </c>
      <c r="C174" s="18">
        <v>90109</v>
      </c>
      <c r="D174" s="3" t="s">
        <v>4216</v>
      </c>
      <c r="E174" s="7">
        <v>2</v>
      </c>
    </row>
    <row r="176" spans="1:6" x14ac:dyDescent="0.25">
      <c r="A176" t="s">
        <v>4512</v>
      </c>
      <c r="B176" t="s">
        <v>4502</v>
      </c>
      <c r="C176" s="16">
        <v>4104</v>
      </c>
      <c r="D176" s="3" t="s">
        <v>3502</v>
      </c>
    </row>
    <row r="177" spans="1:11" x14ac:dyDescent="0.25">
      <c r="A177" t="s">
        <v>4512</v>
      </c>
      <c r="B177" t="s">
        <v>4502</v>
      </c>
      <c r="C177" s="17">
        <v>4143</v>
      </c>
      <c r="D177" s="3" t="s">
        <v>3546</v>
      </c>
    </row>
    <row r="178" spans="1:11" x14ac:dyDescent="0.25">
      <c r="A178" t="s">
        <v>4512</v>
      </c>
      <c r="B178" t="s">
        <v>4502</v>
      </c>
      <c r="C178" s="18">
        <v>90107</v>
      </c>
      <c r="D178" s="3" t="s">
        <v>4212</v>
      </c>
      <c r="E178">
        <v>13</v>
      </c>
      <c r="F178">
        <v>1</v>
      </c>
    </row>
    <row r="179" spans="1:11" x14ac:dyDescent="0.25">
      <c r="A179" t="s">
        <v>4512</v>
      </c>
      <c r="B179" t="s">
        <v>4502</v>
      </c>
      <c r="C179" s="16">
        <v>4117</v>
      </c>
      <c r="D179" s="3" t="s">
        <v>3528</v>
      </c>
    </row>
    <row r="180" spans="1:11" x14ac:dyDescent="0.25">
      <c r="A180" t="s">
        <v>4512</v>
      </c>
      <c r="B180" t="s">
        <v>4502</v>
      </c>
      <c r="C180" s="18">
        <v>4155</v>
      </c>
      <c r="D180" s="3" t="s">
        <v>3570</v>
      </c>
      <c r="E180">
        <v>1</v>
      </c>
    </row>
    <row r="181" spans="1:11" x14ac:dyDescent="0.25">
      <c r="A181" t="s">
        <v>4512</v>
      </c>
      <c r="B181" t="s">
        <v>4502</v>
      </c>
      <c r="C181" s="16">
        <v>4110</v>
      </c>
      <c r="D181" s="3" t="s">
        <v>3514</v>
      </c>
    </row>
    <row r="182" spans="1:11" x14ac:dyDescent="0.25">
      <c r="A182" t="s">
        <v>4512</v>
      </c>
      <c r="B182" t="s">
        <v>4502</v>
      </c>
      <c r="C182" s="17">
        <v>4149</v>
      </c>
      <c r="D182" s="3" t="s">
        <v>3558</v>
      </c>
    </row>
    <row r="183" spans="1:11" x14ac:dyDescent="0.25">
      <c r="A183" t="s">
        <v>4512</v>
      </c>
      <c r="B183" t="s">
        <v>4502</v>
      </c>
      <c r="C183" s="18">
        <v>90110</v>
      </c>
      <c r="D183" s="3" t="s">
        <v>4218</v>
      </c>
      <c r="E183">
        <v>5</v>
      </c>
      <c r="F183">
        <v>7</v>
      </c>
    </row>
    <row r="184" spans="1:11" x14ac:dyDescent="0.25">
      <c r="A184" t="s">
        <v>4512</v>
      </c>
      <c r="B184" t="s">
        <v>4502</v>
      </c>
      <c r="C184" s="16">
        <v>4107</v>
      </c>
      <c r="D184" s="3" t="s">
        <v>3508</v>
      </c>
    </row>
    <row r="185" spans="1:11" x14ac:dyDescent="0.25">
      <c r="A185" t="s">
        <v>4512</v>
      </c>
      <c r="B185" t="s">
        <v>4502</v>
      </c>
      <c r="C185" s="18">
        <v>4146</v>
      </c>
      <c r="D185" s="3" t="s">
        <v>3552</v>
      </c>
      <c r="F185">
        <v>14</v>
      </c>
    </row>
    <row r="188" spans="1:11" ht="24" x14ac:dyDescent="0.4">
      <c r="B188" s="35" t="s">
        <v>4525</v>
      </c>
      <c r="C188" s="36"/>
      <c r="D188" s="36"/>
      <c r="E188" s="36"/>
      <c r="F188" s="36"/>
      <c r="G188" s="36"/>
      <c r="H188" s="37"/>
      <c r="I188" s="38" t="s">
        <v>4459</v>
      </c>
      <c r="J188" s="13" t="s">
        <v>4432</v>
      </c>
      <c r="K188" s="46" t="s">
        <v>4460</v>
      </c>
    </row>
    <row r="189" spans="1:11" ht="18.75" x14ac:dyDescent="0.3">
      <c r="B189" s="11" t="s">
        <v>4445</v>
      </c>
      <c r="C189" s="11" t="s">
        <v>4433</v>
      </c>
      <c r="D189" s="11" t="s">
        <v>4434</v>
      </c>
      <c r="E189" s="11" t="s">
        <v>4435</v>
      </c>
      <c r="F189" s="11" t="s">
        <v>4436</v>
      </c>
      <c r="G189" s="11" t="s">
        <v>4444</v>
      </c>
      <c r="H189" s="11" t="s">
        <v>4436</v>
      </c>
      <c r="I189" s="39"/>
      <c r="J189" s="11" t="s">
        <v>4447</v>
      </c>
      <c r="K189" s="46"/>
    </row>
    <row r="190" spans="1:11" x14ac:dyDescent="0.25">
      <c r="A190" t="s">
        <v>4522</v>
      </c>
      <c r="B190" t="s">
        <v>4502</v>
      </c>
      <c r="C190" s="8"/>
      <c r="D190" t="s">
        <v>4527</v>
      </c>
      <c r="E190">
        <v>16</v>
      </c>
    </row>
    <row r="191" spans="1:11" x14ac:dyDescent="0.25">
      <c r="B191" t="s">
        <v>4502</v>
      </c>
      <c r="C191">
        <v>7132</v>
      </c>
      <c r="D191" s="3" t="s">
        <v>3942</v>
      </c>
      <c r="E191">
        <v>4</v>
      </c>
      <c r="F191">
        <v>10</v>
      </c>
    </row>
    <row r="194" spans="1:11" ht="24" x14ac:dyDescent="0.4">
      <c r="B194" s="35" t="s">
        <v>4526</v>
      </c>
      <c r="C194" s="36"/>
      <c r="D194" s="36"/>
      <c r="E194" s="36"/>
      <c r="F194" s="36"/>
      <c r="G194" s="36"/>
      <c r="H194" s="37"/>
      <c r="I194" s="38" t="s">
        <v>4459</v>
      </c>
      <c r="J194" s="13" t="s">
        <v>4432</v>
      </c>
      <c r="K194" s="46" t="s">
        <v>4460</v>
      </c>
    </row>
    <row r="195" spans="1:11" ht="18.75" x14ac:dyDescent="0.3">
      <c r="B195" s="11" t="s">
        <v>4445</v>
      </c>
      <c r="C195" s="11" t="s">
        <v>4433</v>
      </c>
      <c r="D195" s="11" t="s">
        <v>4434</v>
      </c>
      <c r="E195" s="11" t="s">
        <v>4435</v>
      </c>
      <c r="F195" s="11" t="s">
        <v>4436</v>
      </c>
      <c r="G195" s="11" t="s">
        <v>4444</v>
      </c>
      <c r="H195" s="11" t="s">
        <v>4436</v>
      </c>
      <c r="I195" s="39"/>
      <c r="J195" s="11" t="s">
        <v>4447</v>
      </c>
      <c r="K195" s="46"/>
    </row>
    <row r="196" spans="1:11" x14ac:dyDescent="0.25">
      <c r="A196" t="s">
        <v>4522</v>
      </c>
      <c r="B196" t="s">
        <v>4502</v>
      </c>
      <c r="C196" s="8"/>
      <c r="D196" t="s">
        <v>4528</v>
      </c>
      <c r="E196">
        <v>9</v>
      </c>
    </row>
  </sheetData>
  <mergeCells count="48">
    <mergeCell ref="B1:I1"/>
    <mergeCell ref="B2:H2"/>
    <mergeCell ref="I2:I3"/>
    <mergeCell ref="K2:K3"/>
    <mergeCell ref="B7:H7"/>
    <mergeCell ref="I7:I8"/>
    <mergeCell ref="K7:K8"/>
    <mergeCell ref="B12:H12"/>
    <mergeCell ref="I12:I13"/>
    <mergeCell ref="K12:K13"/>
    <mergeCell ref="B17:H17"/>
    <mergeCell ref="I17:I18"/>
    <mergeCell ref="K17:K18"/>
    <mergeCell ref="E113:E115"/>
    <mergeCell ref="F113:F115"/>
    <mergeCell ref="B22:H22"/>
    <mergeCell ref="I22:I23"/>
    <mergeCell ref="K22:K23"/>
    <mergeCell ref="B34:H34"/>
    <mergeCell ref="I34:I35"/>
    <mergeCell ref="K34:K35"/>
    <mergeCell ref="E98:E99"/>
    <mergeCell ref="E94:E95"/>
    <mergeCell ref="F98:F99"/>
    <mergeCell ref="E111:E112"/>
    <mergeCell ref="F111:F112"/>
    <mergeCell ref="E70:E71"/>
    <mergeCell ref="B84:H84"/>
    <mergeCell ref="I84:I85"/>
    <mergeCell ref="K84:K85"/>
    <mergeCell ref="I92:I93"/>
    <mergeCell ref="K92:K93"/>
    <mergeCell ref="B92:H92"/>
    <mergeCell ref="B39:H39"/>
    <mergeCell ref="I39:I40"/>
    <mergeCell ref="K39:K40"/>
    <mergeCell ref="B47:H47"/>
    <mergeCell ref="I47:I48"/>
    <mergeCell ref="K47:K48"/>
    <mergeCell ref="B194:H194"/>
    <mergeCell ref="I194:I195"/>
    <mergeCell ref="K194:K195"/>
    <mergeCell ref="B154:H154"/>
    <mergeCell ref="I154:I155"/>
    <mergeCell ref="K154:K155"/>
    <mergeCell ref="B188:H188"/>
    <mergeCell ref="I188:I189"/>
    <mergeCell ref="K188:K189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B7623-2E34-4AC7-82F5-31A6222A150B}">
  <dimension ref="A1:G4"/>
  <sheetViews>
    <sheetView workbookViewId="0">
      <selection activeCell="G3" sqref="A1:G3"/>
    </sheetView>
  </sheetViews>
  <sheetFormatPr defaultColWidth="9.28515625" defaultRowHeight="15" x14ac:dyDescent="0.25"/>
  <cols>
    <col min="1" max="1" width="8.42578125" bestFit="1" customWidth="1"/>
    <col min="2" max="2" width="9.140625" bestFit="1" customWidth="1"/>
    <col min="3" max="3" width="28.42578125" bestFit="1" customWidth="1"/>
    <col min="4" max="4" width="7.28515625" bestFit="1" customWidth="1"/>
    <col min="5" max="5" width="9.5703125" bestFit="1" customWidth="1"/>
    <col min="6" max="6" width="11.5703125" bestFit="1" customWidth="1"/>
    <col min="7" max="7" width="20.140625" bestFit="1" customWidth="1"/>
  </cols>
  <sheetData>
    <row r="1" spans="1:7" ht="24" x14ac:dyDescent="0.4">
      <c r="A1" s="42" t="s">
        <v>4514</v>
      </c>
      <c r="B1" s="42"/>
      <c r="C1" s="42"/>
      <c r="D1" s="42"/>
      <c r="E1" s="42"/>
      <c r="F1" s="13" t="s">
        <v>4432</v>
      </c>
      <c r="G1" s="44" t="s">
        <v>4460</v>
      </c>
    </row>
    <row r="2" spans="1:7" ht="18.75" customHeight="1" x14ac:dyDescent="0.3">
      <c r="A2" s="11" t="s">
        <v>4445</v>
      </c>
      <c r="B2" s="11" t="s">
        <v>4433</v>
      </c>
      <c r="C2" s="11" t="s">
        <v>4434</v>
      </c>
      <c r="D2" s="11" t="s">
        <v>4435</v>
      </c>
      <c r="E2" s="11" t="s">
        <v>4436</v>
      </c>
      <c r="F2" s="11" t="s">
        <v>4447</v>
      </c>
      <c r="G2" s="44"/>
    </row>
    <row r="3" spans="1:7" x14ac:dyDescent="0.25">
      <c r="A3" s="57" t="s">
        <v>4502</v>
      </c>
      <c r="B3" s="58" t="s">
        <v>4519</v>
      </c>
      <c r="C3" s="59" t="s">
        <v>8</v>
      </c>
      <c r="D3" s="57">
        <v>489</v>
      </c>
      <c r="E3" s="57"/>
      <c r="F3" s="57"/>
      <c r="G3" s="57"/>
    </row>
    <row r="4" spans="1:7" x14ac:dyDescent="0.25">
      <c r="C4" s="3"/>
    </row>
  </sheetData>
  <mergeCells count="2">
    <mergeCell ref="G1:G2"/>
    <mergeCell ref="A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CC187-3115-4E18-8A91-4180A064E1E8}">
  <dimension ref="A1:K131"/>
  <sheetViews>
    <sheetView workbookViewId="0"/>
  </sheetViews>
  <sheetFormatPr defaultColWidth="11.42578125" defaultRowHeight="15" x14ac:dyDescent="0.25"/>
  <cols>
    <col min="1" max="1" width="12.42578125" customWidth="1"/>
    <col min="2" max="2" width="16.42578125" customWidth="1"/>
    <col min="4" max="4" width="38.140625" customWidth="1"/>
    <col min="11" max="11" width="36.42578125" customWidth="1"/>
  </cols>
  <sheetData>
    <row r="1" spans="2:11" ht="30" customHeight="1" x14ac:dyDescent="0.4">
      <c r="B1" s="34" t="s">
        <v>4446</v>
      </c>
      <c r="C1" s="34"/>
      <c r="D1" s="34"/>
      <c r="E1" s="34"/>
      <c r="F1" s="34"/>
      <c r="G1" s="34"/>
      <c r="H1" s="34"/>
      <c r="I1" s="34"/>
      <c r="J1" s="34"/>
    </row>
    <row r="2" spans="2:11" ht="24" x14ac:dyDescent="0.4">
      <c r="B2" s="35" t="s">
        <v>4456</v>
      </c>
      <c r="C2" s="36"/>
      <c r="D2" s="36"/>
      <c r="E2" s="36"/>
      <c r="F2" s="36"/>
      <c r="G2" s="36"/>
      <c r="H2" s="37"/>
      <c r="I2" s="38" t="s">
        <v>4459</v>
      </c>
      <c r="J2" s="13" t="s">
        <v>4432</v>
      </c>
      <c r="K2" s="46" t="s">
        <v>4460</v>
      </c>
    </row>
    <row r="3" spans="2:11" s="9" customFormat="1" ht="18.75" x14ac:dyDescent="0.3">
      <c r="B3" s="11" t="s">
        <v>4445</v>
      </c>
      <c r="C3" s="11" t="s">
        <v>4433</v>
      </c>
      <c r="D3" s="11" t="s">
        <v>4434</v>
      </c>
      <c r="E3" s="11" t="s">
        <v>4435</v>
      </c>
      <c r="F3" s="11" t="s">
        <v>4436</v>
      </c>
      <c r="G3" s="11" t="s">
        <v>4444</v>
      </c>
      <c r="H3" s="11" t="s">
        <v>4436</v>
      </c>
      <c r="I3" s="39"/>
      <c r="J3" s="11" t="s">
        <v>4447</v>
      </c>
      <c r="K3" s="46"/>
    </row>
    <row r="4" spans="2:11" x14ac:dyDescent="0.25">
      <c r="B4" t="s">
        <v>4457</v>
      </c>
      <c r="C4">
        <v>1769</v>
      </c>
      <c r="D4" s="3" t="s">
        <v>2281</v>
      </c>
      <c r="E4">
        <v>28</v>
      </c>
    </row>
    <row r="5" spans="2:11" x14ac:dyDescent="0.25">
      <c r="B5" t="s">
        <v>4457</v>
      </c>
      <c r="C5">
        <v>1742</v>
      </c>
      <c r="D5" s="3" t="s">
        <v>2227</v>
      </c>
      <c r="E5" s="7" t="s">
        <v>4458</v>
      </c>
    </row>
    <row r="6" spans="2:11" x14ac:dyDescent="0.25">
      <c r="B6" t="s">
        <v>4457</v>
      </c>
      <c r="C6">
        <v>1715</v>
      </c>
      <c r="D6" s="3" t="s">
        <v>2173</v>
      </c>
      <c r="E6">
        <v>4</v>
      </c>
    </row>
    <row r="7" spans="2:11" x14ac:dyDescent="0.25">
      <c r="B7" t="s">
        <v>4457</v>
      </c>
      <c r="C7">
        <v>1713</v>
      </c>
      <c r="D7" s="3" t="s">
        <v>2169</v>
      </c>
      <c r="E7">
        <v>10</v>
      </c>
    </row>
    <row r="8" spans="2:11" x14ac:dyDescent="0.25">
      <c r="B8" t="s">
        <v>4457</v>
      </c>
      <c r="C8">
        <v>1712</v>
      </c>
      <c r="D8" s="3" t="s">
        <v>2167</v>
      </c>
      <c r="E8">
        <v>10</v>
      </c>
      <c r="F8">
        <v>10</v>
      </c>
    </row>
    <row r="9" spans="2:11" x14ac:dyDescent="0.25">
      <c r="B9" t="s">
        <v>4457</v>
      </c>
      <c r="C9">
        <v>1711</v>
      </c>
      <c r="D9" s="3" t="s">
        <v>2165</v>
      </c>
    </row>
    <row r="10" spans="2:11" x14ac:dyDescent="0.25">
      <c r="B10" t="s">
        <v>4457</v>
      </c>
      <c r="C10">
        <v>1737</v>
      </c>
      <c r="D10" s="3" t="s">
        <v>2217</v>
      </c>
      <c r="E10">
        <v>2</v>
      </c>
    </row>
    <row r="11" spans="2:11" x14ac:dyDescent="0.25">
      <c r="B11" t="s">
        <v>4457</v>
      </c>
      <c r="C11">
        <v>1709</v>
      </c>
      <c r="D11" s="3" t="s">
        <v>2161</v>
      </c>
      <c r="E11" s="7">
        <v>1</v>
      </c>
      <c r="F11">
        <v>5</v>
      </c>
    </row>
    <row r="12" spans="2:11" x14ac:dyDescent="0.25">
      <c r="B12" t="s">
        <v>4457</v>
      </c>
      <c r="C12">
        <v>8031</v>
      </c>
      <c r="D12" s="3" t="s">
        <v>4116</v>
      </c>
      <c r="E12">
        <v>19</v>
      </c>
    </row>
    <row r="13" spans="2:11" x14ac:dyDescent="0.25">
      <c r="B13" t="s">
        <v>4457</v>
      </c>
      <c r="C13">
        <v>1711</v>
      </c>
      <c r="D13" s="3" t="s">
        <v>2165</v>
      </c>
      <c r="E13">
        <v>22</v>
      </c>
    </row>
    <row r="14" spans="2:11" x14ac:dyDescent="0.25">
      <c r="B14" t="s">
        <v>4457</v>
      </c>
      <c r="C14">
        <v>1710</v>
      </c>
      <c r="D14" s="3" t="s">
        <v>2163</v>
      </c>
      <c r="E14">
        <v>44</v>
      </c>
      <c r="F14">
        <v>6</v>
      </c>
    </row>
    <row r="15" spans="2:11" x14ac:dyDescent="0.25">
      <c r="D15" s="3"/>
    </row>
    <row r="16" spans="2:11" x14ac:dyDescent="0.25">
      <c r="B16" t="s">
        <v>4451</v>
      </c>
      <c r="C16">
        <v>1972</v>
      </c>
      <c r="D16" s="3" t="s">
        <v>2702</v>
      </c>
      <c r="E16">
        <v>1</v>
      </c>
    </row>
    <row r="17" spans="2:11" x14ac:dyDescent="0.25">
      <c r="B17" t="s">
        <v>4452</v>
      </c>
      <c r="C17">
        <v>1995</v>
      </c>
      <c r="D17" s="3" t="s">
        <v>2748</v>
      </c>
      <c r="E17">
        <v>5</v>
      </c>
    </row>
    <row r="18" spans="2:11" x14ac:dyDescent="0.25">
      <c r="B18" t="s">
        <v>4453</v>
      </c>
      <c r="C18">
        <v>1954</v>
      </c>
      <c r="D18" s="3" t="s">
        <v>2666</v>
      </c>
      <c r="E18">
        <v>13</v>
      </c>
    </row>
    <row r="19" spans="2:11" x14ac:dyDescent="0.25">
      <c r="B19" t="s">
        <v>4454</v>
      </c>
      <c r="C19">
        <v>1958</v>
      </c>
      <c r="D19" s="3" t="s">
        <v>2674</v>
      </c>
      <c r="E19">
        <v>7</v>
      </c>
    </row>
    <row r="20" spans="2:11" x14ac:dyDescent="0.25">
      <c r="B20" t="s">
        <v>4455</v>
      </c>
      <c r="C20">
        <v>1937</v>
      </c>
      <c r="D20" s="3" t="s">
        <v>2633</v>
      </c>
      <c r="E20">
        <v>7</v>
      </c>
    </row>
    <row r="21" spans="2:11" x14ac:dyDescent="0.25">
      <c r="D21" s="14"/>
    </row>
    <row r="23" spans="2:11" ht="24" x14ac:dyDescent="0.4">
      <c r="B23" s="35" t="s">
        <v>4475</v>
      </c>
      <c r="C23" s="36"/>
      <c r="D23" s="36"/>
      <c r="E23" s="36"/>
      <c r="F23" s="36"/>
      <c r="G23" s="36"/>
      <c r="H23" s="37"/>
      <c r="I23" s="38" t="s">
        <v>4459</v>
      </c>
      <c r="J23" s="13" t="s">
        <v>4432</v>
      </c>
      <c r="K23" s="46" t="s">
        <v>4460</v>
      </c>
    </row>
    <row r="24" spans="2:11" ht="18.75" x14ac:dyDescent="0.3">
      <c r="B24" s="11" t="s">
        <v>4445</v>
      </c>
      <c r="C24" s="11" t="s">
        <v>4433</v>
      </c>
      <c r="D24" s="11" t="s">
        <v>4434</v>
      </c>
      <c r="E24" s="11" t="s">
        <v>4435</v>
      </c>
      <c r="F24" s="11" t="s">
        <v>4436</v>
      </c>
      <c r="G24" s="11" t="s">
        <v>4444</v>
      </c>
      <c r="H24" s="11" t="s">
        <v>4436</v>
      </c>
      <c r="I24" s="39"/>
      <c r="J24" s="11" t="s">
        <v>4447</v>
      </c>
      <c r="K24" s="46"/>
    </row>
    <row r="25" spans="2:11" x14ac:dyDescent="0.25">
      <c r="B25" t="s">
        <v>4457</v>
      </c>
      <c r="C25">
        <v>7038</v>
      </c>
      <c r="D25" s="3" t="s">
        <v>3832</v>
      </c>
      <c r="E25">
        <v>15</v>
      </c>
    </row>
    <row r="26" spans="2:11" x14ac:dyDescent="0.25">
      <c r="B26" t="s">
        <v>4457</v>
      </c>
      <c r="C26">
        <v>7037</v>
      </c>
      <c r="D26" s="3" t="s">
        <v>3830</v>
      </c>
      <c r="E26" s="7">
        <v>11</v>
      </c>
    </row>
    <row r="27" spans="2:11" x14ac:dyDescent="0.25">
      <c r="B27" t="s">
        <v>4457</v>
      </c>
      <c r="C27">
        <v>1738</v>
      </c>
      <c r="D27" s="3" t="s">
        <v>2219</v>
      </c>
      <c r="E27">
        <v>1</v>
      </c>
      <c r="F27">
        <v>2</v>
      </c>
    </row>
    <row r="28" spans="2:11" x14ac:dyDescent="0.25">
      <c r="B28" t="s">
        <v>4457</v>
      </c>
      <c r="C28">
        <v>1728</v>
      </c>
      <c r="D28" s="3" t="s">
        <v>2199</v>
      </c>
      <c r="E28">
        <v>29</v>
      </c>
      <c r="F28">
        <v>2</v>
      </c>
    </row>
    <row r="29" spans="2:11" x14ac:dyDescent="0.25">
      <c r="B29" t="s">
        <v>4457</v>
      </c>
      <c r="C29">
        <v>1740</v>
      </c>
      <c r="D29" s="3" t="s">
        <v>2223</v>
      </c>
      <c r="E29">
        <v>6</v>
      </c>
      <c r="F29">
        <v>5</v>
      </c>
    </row>
    <row r="30" spans="2:11" x14ac:dyDescent="0.25">
      <c r="B30" t="s">
        <v>4457</v>
      </c>
      <c r="C30">
        <v>1739</v>
      </c>
      <c r="D30" s="3" t="s">
        <v>2221</v>
      </c>
      <c r="E30">
        <v>7</v>
      </c>
      <c r="F30">
        <v>1</v>
      </c>
    </row>
    <row r="31" spans="2:11" x14ac:dyDescent="0.25">
      <c r="B31" t="s">
        <v>4457</v>
      </c>
      <c r="C31">
        <v>1719</v>
      </c>
      <c r="D31" s="3" t="s">
        <v>2181</v>
      </c>
      <c r="E31">
        <v>10</v>
      </c>
    </row>
    <row r="32" spans="2:11" x14ac:dyDescent="0.25">
      <c r="B32" t="s">
        <v>4457</v>
      </c>
      <c r="C32">
        <v>1718</v>
      </c>
      <c r="D32" s="3" t="s">
        <v>2179</v>
      </c>
      <c r="E32" s="7">
        <v>3</v>
      </c>
      <c r="F32">
        <v>5</v>
      </c>
    </row>
    <row r="33" spans="2:6" x14ac:dyDescent="0.25">
      <c r="D33" s="4"/>
    </row>
    <row r="34" spans="2:6" x14ac:dyDescent="0.25">
      <c r="B34" t="s">
        <v>4457</v>
      </c>
      <c r="C34">
        <v>1727</v>
      </c>
      <c r="D34" s="3" t="s">
        <v>2197</v>
      </c>
      <c r="E34">
        <v>2</v>
      </c>
    </row>
    <row r="35" spans="2:6" x14ac:dyDescent="0.25">
      <c r="B35" t="s">
        <v>4457</v>
      </c>
      <c r="C35">
        <v>1717</v>
      </c>
      <c r="D35" s="3" t="s">
        <v>2177</v>
      </c>
      <c r="E35">
        <v>20</v>
      </c>
    </row>
    <row r="36" spans="2:6" x14ac:dyDescent="0.25">
      <c r="B36" t="s">
        <v>4457</v>
      </c>
      <c r="C36">
        <v>1788</v>
      </c>
      <c r="D36" s="3" t="s">
        <v>2313</v>
      </c>
      <c r="E36">
        <v>2</v>
      </c>
    </row>
    <row r="37" spans="2:6" x14ac:dyDescent="0.25">
      <c r="D37" s="3"/>
    </row>
    <row r="38" spans="2:6" x14ac:dyDescent="0.25">
      <c r="B38" t="s">
        <v>4451</v>
      </c>
      <c r="C38" s="15" t="s">
        <v>4464</v>
      </c>
      <c r="D38" s="3"/>
      <c r="F38">
        <v>1</v>
      </c>
    </row>
    <row r="39" spans="2:6" x14ac:dyDescent="0.25">
      <c r="B39" t="s">
        <v>4451</v>
      </c>
      <c r="C39">
        <v>1574</v>
      </c>
      <c r="D39" s="3" t="s">
        <v>1888</v>
      </c>
      <c r="E39" s="7" t="s">
        <v>4465</v>
      </c>
    </row>
    <row r="40" spans="2:6" x14ac:dyDescent="0.25">
      <c r="B40" t="s">
        <v>4451</v>
      </c>
      <c r="C40">
        <v>1571</v>
      </c>
      <c r="D40" s="3" t="s">
        <v>1882</v>
      </c>
      <c r="E40" s="7" t="s">
        <v>4466</v>
      </c>
    </row>
    <row r="41" spans="2:6" x14ac:dyDescent="0.25">
      <c r="B41" t="s">
        <v>4451</v>
      </c>
      <c r="C41">
        <v>1570</v>
      </c>
      <c r="D41" s="3" t="s">
        <v>1880</v>
      </c>
      <c r="E41" s="7" t="s">
        <v>4467</v>
      </c>
      <c r="F41">
        <v>2</v>
      </c>
    </row>
    <row r="42" spans="2:6" x14ac:dyDescent="0.25">
      <c r="B42" t="s">
        <v>4451</v>
      </c>
      <c r="C42">
        <v>1569</v>
      </c>
      <c r="D42" s="3" t="s">
        <v>1878</v>
      </c>
      <c r="E42" s="7" t="s">
        <v>4468</v>
      </c>
      <c r="F42">
        <v>2</v>
      </c>
    </row>
    <row r="43" spans="2:6" x14ac:dyDescent="0.25">
      <c r="B43" t="s">
        <v>4451</v>
      </c>
      <c r="C43">
        <v>1577</v>
      </c>
      <c r="D43" s="3" t="s">
        <v>1894</v>
      </c>
      <c r="E43" s="7" t="s">
        <v>4469</v>
      </c>
    </row>
    <row r="44" spans="2:6" x14ac:dyDescent="0.25">
      <c r="B44" t="s">
        <v>4451</v>
      </c>
      <c r="C44" s="6">
        <v>1523</v>
      </c>
      <c r="D44" s="3" t="s">
        <v>1792</v>
      </c>
      <c r="E44" s="7" t="s">
        <v>4470</v>
      </c>
      <c r="F44">
        <v>3</v>
      </c>
    </row>
    <row r="45" spans="2:6" x14ac:dyDescent="0.25">
      <c r="B45" t="s">
        <v>4451</v>
      </c>
      <c r="C45">
        <v>1576</v>
      </c>
      <c r="D45" s="3" t="s">
        <v>1892</v>
      </c>
      <c r="E45" s="7" t="s">
        <v>4468</v>
      </c>
      <c r="F45">
        <v>1</v>
      </c>
    </row>
    <row r="46" spans="2:6" x14ac:dyDescent="0.25">
      <c r="B46" t="s">
        <v>4451</v>
      </c>
      <c r="C46">
        <v>1567</v>
      </c>
      <c r="D46" s="3" t="s">
        <v>1874</v>
      </c>
      <c r="E46" s="7" t="s">
        <v>4471</v>
      </c>
    </row>
    <row r="47" spans="2:6" x14ac:dyDescent="0.25">
      <c r="B47" t="s">
        <v>4451</v>
      </c>
      <c r="C47">
        <v>1566</v>
      </c>
      <c r="D47" s="3" t="s">
        <v>1872</v>
      </c>
      <c r="E47" s="7" t="s">
        <v>4472</v>
      </c>
      <c r="F47">
        <v>3</v>
      </c>
    </row>
    <row r="48" spans="2:6" x14ac:dyDescent="0.25">
      <c r="B48" t="s">
        <v>4451</v>
      </c>
      <c r="C48">
        <v>1565</v>
      </c>
      <c r="D48" s="3" t="s">
        <v>1870</v>
      </c>
      <c r="E48" s="7" t="s">
        <v>4473</v>
      </c>
    </row>
    <row r="49" spans="2:11" x14ac:dyDescent="0.25">
      <c r="B49" t="s">
        <v>4451</v>
      </c>
      <c r="C49">
        <v>1564</v>
      </c>
      <c r="D49" s="3" t="s">
        <v>1868</v>
      </c>
      <c r="E49" s="7" t="s">
        <v>4474</v>
      </c>
      <c r="F49">
        <v>1</v>
      </c>
    </row>
    <row r="50" spans="2:11" x14ac:dyDescent="0.25">
      <c r="B50" t="s">
        <v>4451</v>
      </c>
      <c r="C50">
        <v>1522</v>
      </c>
      <c r="D50" s="3" t="s">
        <v>1790</v>
      </c>
      <c r="E50">
        <v>6</v>
      </c>
    </row>
    <row r="53" spans="2:11" ht="24" x14ac:dyDescent="0.4">
      <c r="B53" s="35" t="s">
        <v>4482</v>
      </c>
      <c r="C53" s="36"/>
      <c r="D53" s="36"/>
      <c r="E53" s="36"/>
      <c r="F53" s="36"/>
      <c r="G53" s="36"/>
      <c r="H53" s="37"/>
      <c r="I53" s="38" t="s">
        <v>4459</v>
      </c>
      <c r="J53" s="13" t="s">
        <v>4432</v>
      </c>
      <c r="K53" s="44" t="s">
        <v>4460</v>
      </c>
    </row>
    <row r="54" spans="2:11" ht="18.75" x14ac:dyDescent="0.3">
      <c r="B54" s="11" t="s">
        <v>4445</v>
      </c>
      <c r="C54" s="11" t="s">
        <v>4433</v>
      </c>
      <c r="D54" s="11" t="s">
        <v>4434</v>
      </c>
      <c r="E54" s="11" t="s">
        <v>4435</v>
      </c>
      <c r="F54" s="11" t="s">
        <v>4436</v>
      </c>
      <c r="G54" s="11" t="s">
        <v>4444</v>
      </c>
      <c r="H54" s="11" t="s">
        <v>4436</v>
      </c>
      <c r="I54" s="39"/>
      <c r="J54" s="11" t="s">
        <v>4447</v>
      </c>
      <c r="K54" s="44"/>
    </row>
    <row r="55" spans="2:11" x14ac:dyDescent="0.25">
      <c r="B55" t="s">
        <v>4457</v>
      </c>
      <c r="C55">
        <v>1714</v>
      </c>
      <c r="D55" s="3" t="s">
        <v>2171</v>
      </c>
      <c r="E55">
        <v>8</v>
      </c>
    </row>
    <row r="56" spans="2:11" x14ac:dyDescent="0.25">
      <c r="B56" t="s">
        <v>4457</v>
      </c>
      <c r="C56">
        <v>1726</v>
      </c>
      <c r="D56" s="3" t="s">
        <v>2195</v>
      </c>
      <c r="E56">
        <v>8</v>
      </c>
      <c r="F56">
        <v>1</v>
      </c>
    </row>
    <row r="57" spans="2:11" x14ac:dyDescent="0.25">
      <c r="B57" t="s">
        <v>4457</v>
      </c>
      <c r="C57">
        <v>1725</v>
      </c>
      <c r="D57" s="3" t="s">
        <v>2193</v>
      </c>
      <c r="E57">
        <v>6</v>
      </c>
      <c r="F57">
        <v>1</v>
      </c>
    </row>
    <row r="58" spans="2:11" x14ac:dyDescent="0.25">
      <c r="B58" t="s">
        <v>4457</v>
      </c>
      <c r="C58">
        <v>1724</v>
      </c>
      <c r="D58" s="3" t="s">
        <v>2191</v>
      </c>
      <c r="E58">
        <v>4</v>
      </c>
      <c r="F58">
        <v>3</v>
      </c>
    </row>
    <row r="59" spans="2:11" x14ac:dyDescent="0.25">
      <c r="B59" t="s">
        <v>4457</v>
      </c>
      <c r="C59">
        <v>1723</v>
      </c>
      <c r="D59" s="3" t="s">
        <v>2189</v>
      </c>
      <c r="E59">
        <v>6</v>
      </c>
    </row>
    <row r="60" spans="2:11" x14ac:dyDescent="0.25">
      <c r="B60" t="s">
        <v>4457</v>
      </c>
      <c r="C60">
        <v>1722</v>
      </c>
      <c r="D60" s="3" t="s">
        <v>2187</v>
      </c>
      <c r="E60">
        <v>3</v>
      </c>
      <c r="F60">
        <v>2</v>
      </c>
    </row>
    <row r="61" spans="2:11" x14ac:dyDescent="0.25">
      <c r="B61" t="s">
        <v>4457</v>
      </c>
      <c r="C61">
        <v>1721</v>
      </c>
      <c r="D61" s="3" t="s">
        <v>2185</v>
      </c>
      <c r="E61">
        <v>6</v>
      </c>
      <c r="F61">
        <v>3</v>
      </c>
    </row>
    <row r="62" spans="2:11" x14ac:dyDescent="0.25">
      <c r="B62" t="s">
        <v>4457</v>
      </c>
      <c r="C62">
        <v>1720</v>
      </c>
      <c r="D62" s="3" t="s">
        <v>2183</v>
      </c>
      <c r="E62">
        <v>9</v>
      </c>
      <c r="F62">
        <v>3</v>
      </c>
    </row>
    <row r="63" spans="2:11" x14ac:dyDescent="0.25">
      <c r="B63" t="s">
        <v>4457</v>
      </c>
      <c r="C63">
        <v>1733</v>
      </c>
      <c r="D63" s="3" t="s">
        <v>2209</v>
      </c>
      <c r="E63">
        <v>17</v>
      </c>
      <c r="F63">
        <v>1</v>
      </c>
    </row>
    <row r="64" spans="2:11" x14ac:dyDescent="0.25">
      <c r="B64" t="s">
        <v>4457</v>
      </c>
      <c r="C64">
        <v>1732</v>
      </c>
      <c r="D64" s="3" t="s">
        <v>2207</v>
      </c>
      <c r="E64">
        <v>9</v>
      </c>
    </row>
    <row r="65" spans="1:6" x14ac:dyDescent="0.25">
      <c r="B65" t="s">
        <v>4457</v>
      </c>
      <c r="C65">
        <v>1731</v>
      </c>
      <c r="D65" s="3" t="s">
        <v>2205</v>
      </c>
      <c r="E65">
        <v>6</v>
      </c>
      <c r="F65">
        <v>1</v>
      </c>
    </row>
    <row r="66" spans="1:6" x14ac:dyDescent="0.25">
      <c r="B66" t="s">
        <v>4457</v>
      </c>
      <c r="C66">
        <v>1730</v>
      </c>
      <c r="D66" s="3" t="s">
        <v>2203</v>
      </c>
      <c r="E66">
        <v>2</v>
      </c>
    </row>
    <row r="67" spans="1:6" x14ac:dyDescent="0.25">
      <c r="B67" t="s">
        <v>4457</v>
      </c>
      <c r="C67">
        <v>1659</v>
      </c>
      <c r="D67" s="3" t="s">
        <v>2123</v>
      </c>
      <c r="F67">
        <v>1</v>
      </c>
    </row>
    <row r="68" spans="1:6" x14ac:dyDescent="0.25">
      <c r="B68" t="s">
        <v>4457</v>
      </c>
      <c r="C68">
        <v>1931</v>
      </c>
      <c r="D68" s="3" t="s">
        <v>2621</v>
      </c>
      <c r="E68">
        <v>2</v>
      </c>
    </row>
    <row r="69" spans="1:6" x14ac:dyDescent="0.25">
      <c r="B69" t="s">
        <v>4457</v>
      </c>
      <c r="C69">
        <v>1699</v>
      </c>
      <c r="D69" s="3" t="s">
        <v>2141</v>
      </c>
      <c r="E69" s="7" t="s">
        <v>4476</v>
      </c>
    </row>
    <row r="70" spans="1:6" x14ac:dyDescent="0.25">
      <c r="B70" t="s">
        <v>4457</v>
      </c>
      <c r="C70">
        <v>2006</v>
      </c>
      <c r="D70" s="3" t="s">
        <v>2770</v>
      </c>
      <c r="E70">
        <v>100</v>
      </c>
    </row>
    <row r="72" spans="1:6" x14ac:dyDescent="0.25">
      <c r="A72" t="s">
        <v>4479</v>
      </c>
      <c r="B72" t="s">
        <v>4451</v>
      </c>
      <c r="C72">
        <v>1562</v>
      </c>
      <c r="D72" s="3" t="s">
        <v>1864</v>
      </c>
      <c r="E72" t="s">
        <v>4472</v>
      </c>
    </row>
    <row r="73" spans="1:6" x14ac:dyDescent="0.25">
      <c r="A73" t="s">
        <v>4479</v>
      </c>
      <c r="B73" t="s">
        <v>4451</v>
      </c>
      <c r="C73">
        <v>1521</v>
      </c>
      <c r="D73" s="3" t="s">
        <v>1788</v>
      </c>
      <c r="E73" t="s">
        <v>4477</v>
      </c>
    </row>
    <row r="74" spans="1:6" x14ac:dyDescent="0.25">
      <c r="A74" t="s">
        <v>4479</v>
      </c>
      <c r="B74" t="s">
        <v>4451</v>
      </c>
      <c r="C74">
        <v>1561</v>
      </c>
      <c r="D74" s="3" t="s">
        <v>1862</v>
      </c>
      <c r="E74">
        <v>5</v>
      </c>
    </row>
    <row r="75" spans="1:6" x14ac:dyDescent="0.25">
      <c r="A75" t="s">
        <v>4479</v>
      </c>
      <c r="B75" t="s">
        <v>4451</v>
      </c>
      <c r="C75">
        <v>1520</v>
      </c>
      <c r="D75" s="3" t="s">
        <v>1786</v>
      </c>
      <c r="E75">
        <v>6</v>
      </c>
    </row>
    <row r="77" spans="1:6" x14ac:dyDescent="0.25">
      <c r="B77" t="s">
        <v>4451</v>
      </c>
      <c r="C77">
        <v>1974</v>
      </c>
      <c r="D77" s="3" t="s">
        <v>2706</v>
      </c>
      <c r="F77">
        <v>3</v>
      </c>
    </row>
    <row r="78" spans="1:6" x14ac:dyDescent="0.25">
      <c r="B78" t="s">
        <v>4451</v>
      </c>
      <c r="C78">
        <v>1942</v>
      </c>
      <c r="D78" s="3" t="s">
        <v>2643</v>
      </c>
      <c r="F78">
        <v>22</v>
      </c>
    </row>
    <row r="79" spans="1:6" x14ac:dyDescent="0.25">
      <c r="B79" t="s">
        <v>4451</v>
      </c>
      <c r="C79">
        <v>1941</v>
      </c>
      <c r="D79" s="3" t="s">
        <v>2641</v>
      </c>
      <c r="F79">
        <v>12</v>
      </c>
    </row>
    <row r="80" spans="1:6" x14ac:dyDescent="0.25">
      <c r="B80" t="s">
        <v>4451</v>
      </c>
      <c r="C80">
        <v>1962</v>
      </c>
      <c r="D80" s="3" t="s">
        <v>2682</v>
      </c>
      <c r="F80">
        <v>10</v>
      </c>
    </row>
    <row r="81" spans="1:6" x14ac:dyDescent="0.25">
      <c r="B81" t="s">
        <v>4451</v>
      </c>
      <c r="C81">
        <v>1966</v>
      </c>
      <c r="D81" s="3" t="s">
        <v>2690</v>
      </c>
      <c r="F81">
        <v>4</v>
      </c>
    </row>
    <row r="82" spans="1:6" x14ac:dyDescent="0.25">
      <c r="B82" t="s">
        <v>4451</v>
      </c>
      <c r="C82">
        <v>1943</v>
      </c>
      <c r="D82" s="3" t="s">
        <v>2645</v>
      </c>
      <c r="F82">
        <v>1</v>
      </c>
    </row>
    <row r="83" spans="1:6" x14ac:dyDescent="0.25">
      <c r="B83" t="s">
        <v>4451</v>
      </c>
      <c r="C83">
        <v>1965</v>
      </c>
      <c r="D83" s="3" t="s">
        <v>2688</v>
      </c>
      <c r="F83">
        <v>3</v>
      </c>
    </row>
    <row r="84" spans="1:6" x14ac:dyDescent="0.25">
      <c r="B84" t="s">
        <v>4451</v>
      </c>
      <c r="C84">
        <v>1951</v>
      </c>
      <c r="D84" s="3" t="s">
        <v>2660</v>
      </c>
      <c r="F84">
        <v>8</v>
      </c>
    </row>
    <row r="85" spans="1:6" x14ac:dyDescent="0.25">
      <c r="B85" t="s">
        <v>4451</v>
      </c>
      <c r="C85">
        <v>1944</v>
      </c>
      <c r="D85" s="3" t="s">
        <v>2647</v>
      </c>
      <c r="F85">
        <v>8</v>
      </c>
    </row>
    <row r="86" spans="1:6" x14ac:dyDescent="0.25">
      <c r="B86" t="s">
        <v>4451</v>
      </c>
      <c r="C86">
        <v>1946</v>
      </c>
      <c r="D86" s="3" t="s">
        <v>2651</v>
      </c>
      <c r="F86">
        <v>15</v>
      </c>
    </row>
    <row r="87" spans="1:6" x14ac:dyDescent="0.25">
      <c r="B87" t="s">
        <v>4451</v>
      </c>
      <c r="C87">
        <v>1961</v>
      </c>
      <c r="D87" s="3" t="s">
        <v>2680</v>
      </c>
      <c r="F87">
        <v>34</v>
      </c>
    </row>
    <row r="88" spans="1:6" x14ac:dyDescent="0.25">
      <c r="B88" t="s">
        <v>4451</v>
      </c>
      <c r="C88">
        <v>1973</v>
      </c>
      <c r="D88" s="3" t="s">
        <v>2704</v>
      </c>
      <c r="F88">
        <v>26</v>
      </c>
    </row>
    <row r="89" spans="1:6" x14ac:dyDescent="0.25">
      <c r="B89" t="s">
        <v>4451</v>
      </c>
      <c r="D89" t="s">
        <v>4478</v>
      </c>
      <c r="F89">
        <v>19</v>
      </c>
    </row>
    <row r="90" spans="1:6" x14ac:dyDescent="0.25">
      <c r="B90" t="s">
        <v>4451</v>
      </c>
      <c r="C90">
        <v>1950</v>
      </c>
      <c r="D90" s="3" t="s">
        <v>2658</v>
      </c>
      <c r="F90">
        <v>9</v>
      </c>
    </row>
    <row r="92" spans="1:6" x14ac:dyDescent="0.25">
      <c r="A92" t="s">
        <v>4479</v>
      </c>
      <c r="B92" t="s">
        <v>4451</v>
      </c>
      <c r="C92">
        <v>1964</v>
      </c>
      <c r="D92" s="3" t="s">
        <v>2686</v>
      </c>
      <c r="F92" s="7" t="s">
        <v>4480</v>
      </c>
    </row>
    <row r="93" spans="1:6" x14ac:dyDescent="0.25">
      <c r="A93" t="s">
        <v>4479</v>
      </c>
      <c r="B93" t="s">
        <v>4451</v>
      </c>
      <c r="C93">
        <v>1943</v>
      </c>
      <c r="D93" s="3" t="s">
        <v>2645</v>
      </c>
      <c r="F93">
        <v>12</v>
      </c>
    </row>
    <row r="97" spans="2:11" ht="24" x14ac:dyDescent="0.4">
      <c r="B97" s="35" t="s">
        <v>4439</v>
      </c>
      <c r="C97" s="36"/>
      <c r="D97" s="36"/>
      <c r="E97" s="36"/>
      <c r="F97" s="36"/>
      <c r="G97" s="36"/>
      <c r="H97" s="37"/>
      <c r="I97" s="38" t="s">
        <v>4459</v>
      </c>
      <c r="J97" s="13" t="s">
        <v>4432</v>
      </c>
      <c r="K97" s="46" t="s">
        <v>4460</v>
      </c>
    </row>
    <row r="98" spans="2:11" ht="18.75" x14ac:dyDescent="0.3">
      <c r="B98" s="11" t="s">
        <v>4445</v>
      </c>
      <c r="C98" s="11" t="s">
        <v>4433</v>
      </c>
      <c r="D98" s="11" t="s">
        <v>4434</v>
      </c>
      <c r="E98" s="11" t="s">
        <v>4435</v>
      </c>
      <c r="F98" s="11" t="s">
        <v>4436</v>
      </c>
      <c r="G98" s="11" t="s">
        <v>4444</v>
      </c>
      <c r="H98" s="11" t="s">
        <v>4436</v>
      </c>
      <c r="I98" s="39"/>
      <c r="J98" s="11" t="s">
        <v>4447</v>
      </c>
      <c r="K98" s="46"/>
    </row>
    <row r="99" spans="2:11" x14ac:dyDescent="0.25">
      <c r="B99" t="s">
        <v>4451</v>
      </c>
      <c r="C99">
        <v>1202</v>
      </c>
      <c r="D99" s="3" t="s">
        <v>1247</v>
      </c>
      <c r="F99">
        <v>8</v>
      </c>
    </row>
    <row r="100" spans="2:11" x14ac:dyDescent="0.25">
      <c r="B100" t="s">
        <v>4451</v>
      </c>
      <c r="C100">
        <v>1428</v>
      </c>
      <c r="D100" s="3" t="s">
        <v>1677</v>
      </c>
      <c r="E100">
        <v>4</v>
      </c>
    </row>
    <row r="101" spans="2:11" x14ac:dyDescent="0.25">
      <c r="B101" t="s">
        <v>4451</v>
      </c>
      <c r="C101">
        <v>119801</v>
      </c>
      <c r="D101" s="3" t="s">
        <v>1239</v>
      </c>
      <c r="E101">
        <v>1</v>
      </c>
    </row>
    <row r="102" spans="2:11" x14ac:dyDescent="0.25">
      <c r="B102" t="s">
        <v>4451</v>
      </c>
      <c r="C102">
        <v>1405</v>
      </c>
      <c r="D102" s="3" t="s">
        <v>1631</v>
      </c>
      <c r="E102">
        <v>10</v>
      </c>
    </row>
    <row r="103" spans="2:11" x14ac:dyDescent="0.25">
      <c r="B103" t="s">
        <v>4451</v>
      </c>
      <c r="C103">
        <v>1195</v>
      </c>
      <c r="D103" s="3" t="s">
        <v>4441</v>
      </c>
      <c r="E103" s="33">
        <v>7</v>
      </c>
    </row>
    <row r="104" spans="2:11" x14ac:dyDescent="0.25">
      <c r="B104" t="s">
        <v>4451</v>
      </c>
      <c r="C104">
        <v>1480</v>
      </c>
      <c r="D104" s="3" t="s">
        <v>4441</v>
      </c>
      <c r="E104" s="33"/>
    </row>
    <row r="105" spans="2:11" x14ac:dyDescent="0.25">
      <c r="B105" t="s">
        <v>4451</v>
      </c>
      <c r="C105">
        <v>1420</v>
      </c>
      <c r="D105" s="3" t="s">
        <v>1665</v>
      </c>
      <c r="E105">
        <v>1</v>
      </c>
    </row>
    <row r="106" spans="2:11" x14ac:dyDescent="0.25">
      <c r="B106" t="s">
        <v>4451</v>
      </c>
      <c r="C106">
        <v>1412</v>
      </c>
      <c r="D106" s="3" t="s">
        <v>1645</v>
      </c>
      <c r="E106" s="7" t="s">
        <v>4438</v>
      </c>
    </row>
    <row r="107" spans="2:11" x14ac:dyDescent="0.25">
      <c r="B107" t="s">
        <v>4451</v>
      </c>
      <c r="C107">
        <v>1413</v>
      </c>
      <c r="D107" s="3" t="s">
        <v>1647</v>
      </c>
      <c r="E107">
        <v>3</v>
      </c>
    </row>
    <row r="108" spans="2:11" x14ac:dyDescent="0.25">
      <c r="B108" t="s">
        <v>4451</v>
      </c>
      <c r="C108">
        <v>1414</v>
      </c>
      <c r="D108" s="3" t="s">
        <v>1649</v>
      </c>
      <c r="E108">
        <v>6</v>
      </c>
    </row>
    <row r="109" spans="2:11" x14ac:dyDescent="0.25">
      <c r="B109" t="s">
        <v>4451</v>
      </c>
      <c r="C109">
        <v>1418</v>
      </c>
      <c r="D109" s="3" t="s">
        <v>4442</v>
      </c>
      <c r="E109" s="33">
        <v>9</v>
      </c>
    </row>
    <row r="110" spans="2:11" x14ac:dyDescent="0.25">
      <c r="B110" t="s">
        <v>4451</v>
      </c>
      <c r="C110">
        <v>14181</v>
      </c>
      <c r="D110" s="3" t="s">
        <v>4443</v>
      </c>
      <c r="E110" s="33"/>
    </row>
    <row r="111" spans="2:11" x14ac:dyDescent="0.25">
      <c r="B111" t="s">
        <v>4451</v>
      </c>
      <c r="C111">
        <v>1415</v>
      </c>
      <c r="D111" s="3" t="s">
        <v>1651</v>
      </c>
      <c r="E111" s="8">
        <v>64</v>
      </c>
      <c r="K111" t="s">
        <v>4462</v>
      </c>
    </row>
    <row r="112" spans="2:11" x14ac:dyDescent="0.25">
      <c r="B112" t="s">
        <v>4451</v>
      </c>
      <c r="C112">
        <v>1399</v>
      </c>
      <c r="D112" s="3" t="s">
        <v>1619</v>
      </c>
      <c r="E112">
        <v>7</v>
      </c>
    </row>
    <row r="113" spans="2:11" x14ac:dyDescent="0.25">
      <c r="B113" t="s">
        <v>4451</v>
      </c>
      <c r="C113">
        <v>1404</v>
      </c>
      <c r="D113" s="3" t="s">
        <v>1629</v>
      </c>
      <c r="E113">
        <v>6</v>
      </c>
    </row>
    <row r="114" spans="2:11" x14ac:dyDescent="0.25">
      <c r="B114" t="s">
        <v>4451</v>
      </c>
      <c r="C114">
        <v>1408</v>
      </c>
      <c r="D114" s="3" t="s">
        <v>1637</v>
      </c>
      <c r="E114">
        <v>9</v>
      </c>
    </row>
    <row r="115" spans="2:11" x14ac:dyDescent="0.25">
      <c r="B115" t="s">
        <v>4451</v>
      </c>
      <c r="C115">
        <v>1407</v>
      </c>
      <c r="D115" s="3" t="s">
        <v>1635</v>
      </c>
      <c r="E115">
        <v>20</v>
      </c>
    </row>
    <row r="116" spans="2:11" x14ac:dyDescent="0.25">
      <c r="B116" t="s">
        <v>4451</v>
      </c>
      <c r="C116">
        <v>1406</v>
      </c>
      <c r="D116" s="3" t="s">
        <v>1633</v>
      </c>
      <c r="E116">
        <v>15</v>
      </c>
    </row>
    <row r="118" spans="2:11" x14ac:dyDescent="0.25">
      <c r="B118" t="s">
        <v>4451</v>
      </c>
      <c r="C118" s="6" t="s">
        <v>4437</v>
      </c>
      <c r="D118" s="12" t="s">
        <v>507</v>
      </c>
      <c r="E118" s="33">
        <v>9</v>
      </c>
      <c r="K118" s="31" t="s">
        <v>4463</v>
      </c>
    </row>
    <row r="119" spans="2:11" x14ac:dyDescent="0.25">
      <c r="B119" t="s">
        <v>4451</v>
      </c>
      <c r="C119">
        <v>1403</v>
      </c>
      <c r="D119" s="12" t="s">
        <v>1627</v>
      </c>
      <c r="E119" s="33"/>
      <c r="K119" s="31"/>
    </row>
    <row r="120" spans="2:11" x14ac:dyDescent="0.25">
      <c r="B120" t="s">
        <v>4451</v>
      </c>
      <c r="C120">
        <v>1478</v>
      </c>
      <c r="D120" s="3" t="s">
        <v>1705</v>
      </c>
      <c r="E120">
        <v>4</v>
      </c>
    </row>
    <row r="121" spans="2:11" x14ac:dyDescent="0.25">
      <c r="B121" t="s">
        <v>4451</v>
      </c>
      <c r="C121">
        <v>1416</v>
      </c>
      <c r="D121" s="3" t="s">
        <v>1653</v>
      </c>
      <c r="E121">
        <v>3</v>
      </c>
    </row>
    <row r="122" spans="2:11" x14ac:dyDescent="0.25">
      <c r="B122" t="s">
        <v>4451</v>
      </c>
      <c r="C122">
        <v>14180</v>
      </c>
      <c r="D122" s="3" t="s">
        <v>1659</v>
      </c>
      <c r="E122">
        <v>3</v>
      </c>
    </row>
    <row r="123" spans="2:11" x14ac:dyDescent="0.25">
      <c r="B123" t="s">
        <v>4451</v>
      </c>
      <c r="C123">
        <v>1427</v>
      </c>
      <c r="D123" s="3" t="s">
        <v>1675</v>
      </c>
      <c r="E123">
        <v>13</v>
      </c>
    </row>
    <row r="124" spans="2:11" x14ac:dyDescent="0.25">
      <c r="B124" t="s">
        <v>4451</v>
      </c>
      <c r="C124">
        <v>1419</v>
      </c>
      <c r="D124" s="3" t="s">
        <v>1663</v>
      </c>
      <c r="E124">
        <v>1</v>
      </c>
    </row>
    <row r="125" spans="2:11" x14ac:dyDescent="0.25">
      <c r="B125" t="s">
        <v>4451</v>
      </c>
      <c r="C125">
        <v>1429</v>
      </c>
      <c r="D125" s="3" t="s">
        <v>1679</v>
      </c>
      <c r="E125">
        <v>4</v>
      </c>
    </row>
    <row r="126" spans="2:11" x14ac:dyDescent="0.25">
      <c r="B126" t="s">
        <v>4451</v>
      </c>
      <c r="C126">
        <v>1410</v>
      </c>
      <c r="D126" s="3" t="s">
        <v>1641</v>
      </c>
      <c r="E126">
        <v>44</v>
      </c>
    </row>
    <row r="127" spans="2:11" x14ac:dyDescent="0.25">
      <c r="B127" t="s">
        <v>4451</v>
      </c>
      <c r="C127">
        <v>1409</v>
      </c>
      <c r="D127" s="3" t="s">
        <v>1639</v>
      </c>
      <c r="E127">
        <v>3</v>
      </c>
    </row>
    <row r="128" spans="2:11" x14ac:dyDescent="0.25">
      <c r="B128" t="s">
        <v>4451</v>
      </c>
      <c r="C128">
        <v>1425</v>
      </c>
      <c r="D128" s="3" t="s">
        <v>1671</v>
      </c>
      <c r="E128">
        <v>16</v>
      </c>
    </row>
    <row r="129" spans="2:8" x14ac:dyDescent="0.25">
      <c r="B129" t="s">
        <v>4451</v>
      </c>
      <c r="C129">
        <v>1430</v>
      </c>
      <c r="D129" s="3" t="s">
        <v>1681</v>
      </c>
      <c r="E129">
        <v>16</v>
      </c>
    </row>
    <row r="130" spans="2:8" x14ac:dyDescent="0.25">
      <c r="B130" t="s">
        <v>4450</v>
      </c>
      <c r="C130">
        <v>7006</v>
      </c>
      <c r="D130" s="3" t="s">
        <v>3772</v>
      </c>
      <c r="G130" t="s">
        <v>4448</v>
      </c>
      <c r="H130">
        <v>18</v>
      </c>
    </row>
    <row r="131" spans="2:8" x14ac:dyDescent="0.25">
      <c r="B131" t="s">
        <v>4450</v>
      </c>
      <c r="C131">
        <v>7039</v>
      </c>
      <c r="D131" s="3" t="s">
        <v>3834</v>
      </c>
      <c r="G131" t="s">
        <v>4449</v>
      </c>
      <c r="H131">
        <v>5</v>
      </c>
    </row>
  </sheetData>
  <mergeCells count="17">
    <mergeCell ref="B1:J1"/>
    <mergeCell ref="B2:H2"/>
    <mergeCell ref="I2:I3"/>
    <mergeCell ref="K2:K3"/>
    <mergeCell ref="B23:H23"/>
    <mergeCell ref="I23:I24"/>
    <mergeCell ref="K23:K24"/>
    <mergeCell ref="B53:H53"/>
    <mergeCell ref="I53:I54"/>
    <mergeCell ref="K53:K54"/>
    <mergeCell ref="K118:K119"/>
    <mergeCell ref="E118:E119"/>
    <mergeCell ref="E109:E110"/>
    <mergeCell ref="E103:E104"/>
    <mergeCell ref="B97:H97"/>
    <mergeCell ref="I97:I98"/>
    <mergeCell ref="K97:K98"/>
  </mergeCells>
  <phoneticPr fontId="9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8A67B-EF7F-499D-9A95-F5C61D054A33}">
  <dimension ref="B1:K232"/>
  <sheetViews>
    <sheetView topLeftCell="A213" workbookViewId="0">
      <selection activeCell="D4" sqref="D4"/>
    </sheetView>
  </sheetViews>
  <sheetFormatPr defaultColWidth="11.42578125" defaultRowHeight="15" x14ac:dyDescent="0.25"/>
  <cols>
    <col min="2" max="2" width="12.5703125" customWidth="1"/>
    <col min="3" max="3" width="10.85546875" customWidth="1"/>
    <col min="4" max="4" width="43.140625" customWidth="1"/>
    <col min="11" max="11" width="28.5703125" customWidth="1"/>
  </cols>
  <sheetData>
    <row r="1" spans="2:11" ht="30" customHeight="1" x14ac:dyDescent="0.4">
      <c r="B1" s="45" t="s">
        <v>4559</v>
      </c>
      <c r="C1" s="45"/>
      <c r="D1" s="45"/>
      <c r="E1" s="45"/>
      <c r="F1" s="45"/>
      <c r="G1" s="45"/>
      <c r="H1" s="45"/>
      <c r="I1" s="45"/>
    </row>
    <row r="2" spans="2:11" ht="24" x14ac:dyDescent="0.4">
      <c r="B2" s="42" t="s">
        <v>4560</v>
      </c>
      <c r="C2" s="42"/>
      <c r="D2" s="42"/>
      <c r="E2" s="42"/>
      <c r="F2" s="42"/>
      <c r="G2" s="42"/>
      <c r="H2" s="42"/>
      <c r="I2" s="43" t="s">
        <v>4459</v>
      </c>
      <c r="J2" s="13" t="s">
        <v>4432</v>
      </c>
      <c r="K2" s="44" t="s">
        <v>4460</v>
      </c>
    </row>
    <row r="3" spans="2:11" ht="18.75" x14ac:dyDescent="0.3">
      <c r="B3" s="11" t="s">
        <v>4445</v>
      </c>
      <c r="C3" s="11" t="s">
        <v>4433</v>
      </c>
      <c r="D3" s="11" t="s">
        <v>4434</v>
      </c>
      <c r="E3" s="11" t="s">
        <v>4435</v>
      </c>
      <c r="F3" s="11" t="s">
        <v>4436</v>
      </c>
      <c r="G3" s="11" t="s">
        <v>4444</v>
      </c>
      <c r="H3" s="11" t="s">
        <v>4436</v>
      </c>
      <c r="I3" s="43"/>
      <c r="J3" s="11" t="s">
        <v>4447</v>
      </c>
      <c r="K3" s="44"/>
    </row>
    <row r="4" spans="2:11" x14ac:dyDescent="0.25">
      <c r="B4" t="s">
        <v>4561</v>
      </c>
      <c r="C4">
        <v>1236</v>
      </c>
      <c r="D4" s="3" t="str" cm="1">
        <f t="array" ref="D4">IFERROR(_xlfn.XLOOKUP(TEXT(C4,"0000"),TEXT(Catalog!A:A,"0000"),Catalog!B:B),"")</f>
        <v>CONTRA STEK R/A RUBBER HSKP16G</v>
      </c>
      <c r="E4">
        <v>6</v>
      </c>
    </row>
    <row r="5" spans="2:11" x14ac:dyDescent="0.25">
      <c r="B5" t="s">
        <v>4561</v>
      </c>
      <c r="C5">
        <v>1196</v>
      </c>
      <c r="D5" s="3" t="str" cm="1">
        <f t="array" ref="D5">IFERROR(_xlfn.XLOOKUP(TEXT(C5,"0000"),TEXT(Catalog!A:A,"0000"),Catalog!B:B),"")</f>
        <v xml:space="preserve">WCD EUR ENK R/A OPB WD KOPP   </v>
      </c>
      <c r="E5">
        <v>11</v>
      </c>
    </row>
    <row r="6" spans="2:11" x14ac:dyDescent="0.25">
      <c r="B6" t="s">
        <v>4561</v>
      </c>
      <c r="C6">
        <v>7158</v>
      </c>
      <c r="D6" s="3" t="str" cm="1">
        <f t="array" ref="D6">IFERROR(_xlfn.XLOOKUP(TEXT(C6,"0000"),TEXT(Catalog!A:A,"0000"),Catalog!B:B),"")</f>
        <v xml:space="preserve">OPB.STOPCONTACT WD 3160       </v>
      </c>
      <c r="E6">
        <v>17</v>
      </c>
      <c r="J6">
        <v>24</v>
      </c>
    </row>
    <row r="7" spans="2:11" x14ac:dyDescent="0.25">
      <c r="B7" t="s">
        <v>4561</v>
      </c>
      <c r="C7">
        <v>3252</v>
      </c>
      <c r="D7" s="3" t="str" cm="1">
        <f t="array" ref="D7">IFERROR(_xlfn.XLOOKUP(TEXT(C7,"0000"),TEXT(Catalog!A:A,"0000"),Catalog!B:B),"")</f>
        <v xml:space="preserve"> U-BUIS   40W DL              </v>
      </c>
      <c r="E7" s="7" t="s">
        <v>4562</v>
      </c>
      <c r="F7">
        <v>4</v>
      </c>
    </row>
    <row r="8" spans="2:11" x14ac:dyDescent="0.25">
      <c r="B8" t="s">
        <v>4561</v>
      </c>
      <c r="C8">
        <v>493</v>
      </c>
      <c r="D8" s="3" t="str" cm="1">
        <f t="array" ref="D8">IFERROR(_xlfn.XLOOKUP(TEXT(C8,"0000"),TEXT(Catalog!A:A,"0000"),Catalog!B:B),"")</f>
        <v xml:space="preserve">KABELDOOS EP088 (18100)       </v>
      </c>
      <c r="E8">
        <v>184</v>
      </c>
    </row>
    <row r="9" spans="2:11" x14ac:dyDescent="0.25">
      <c r="B9" t="s">
        <v>4561</v>
      </c>
      <c r="C9">
        <v>15141</v>
      </c>
      <c r="D9" s="3" t="str" cm="1">
        <f t="array" ref="D9">IFERROR(_xlfn.XLOOKUP(TEXT(C9,"0000"),TEXT(Catalog!A:A,"0000"),Catalog!B:B),"")</f>
        <v xml:space="preserve">OPBOUW KAST WD CS13PT/RR      </v>
      </c>
      <c r="E9">
        <v>4</v>
      </c>
    </row>
    <row r="10" spans="2:11" x14ac:dyDescent="0.25">
      <c r="B10" t="s">
        <v>4561</v>
      </c>
      <c r="C10">
        <v>7163</v>
      </c>
      <c r="D10" s="3" t="str" cm="1">
        <f t="array" ref="D10">IFERROR(_xlfn.XLOOKUP(TEXT(C10,"0000"),TEXT(Catalog!A:A,"0000"),Catalog!B:B),"")</f>
        <v xml:space="preserve">TERMOPLASTIC STEKKER 6428 WIT </v>
      </c>
      <c r="E10">
        <v>405</v>
      </c>
    </row>
    <row r="11" spans="2:11" x14ac:dyDescent="0.25">
      <c r="B11" t="s">
        <v>4561</v>
      </c>
      <c r="C11">
        <v>7164</v>
      </c>
      <c r="D11" s="3" t="str" cm="1">
        <f t="array" ref="D11">IFERROR(_xlfn.XLOOKUP(TEXT(C11,"0000"),TEXT(Catalog!A:A,"0000"),Catalog!B:B),"")</f>
        <v xml:space="preserve">TERMOPLASTIC CONTRA 6707B WIT </v>
      </c>
      <c r="E11">
        <v>31</v>
      </c>
    </row>
    <row r="12" spans="2:11" x14ac:dyDescent="0.25">
      <c r="B12" t="s">
        <v>4561</v>
      </c>
      <c r="C12">
        <v>7165</v>
      </c>
      <c r="D12" s="3" t="str" cm="1">
        <f t="array" ref="D12">IFERROR(_xlfn.XLOOKUP(TEXT(C12,"0000"),TEXT(Catalog!A:A,"0000"),Catalog!B:B),"")</f>
        <v xml:space="preserve">TERMOPLASTIC CONTRA 6707CN    </v>
      </c>
      <c r="E12">
        <v>31</v>
      </c>
    </row>
    <row r="13" spans="2:11" x14ac:dyDescent="0.25">
      <c r="B13" t="s">
        <v>4561</v>
      </c>
      <c r="C13">
        <v>7160</v>
      </c>
      <c r="D13" s="3" t="str" cm="1">
        <f t="array" ref="D13">IFERROR(_xlfn.XLOOKUP(TEXT(C13,"0000"),TEXT(Catalog!A:A,"0000"),Catalog!B:B),"")</f>
        <v xml:space="preserve">RUBBER STEKKER 5706C          </v>
      </c>
      <c r="E13">
        <v>17</v>
      </c>
    </row>
    <row r="14" spans="2:11" x14ac:dyDescent="0.25">
      <c r="B14" t="s">
        <v>4561</v>
      </c>
      <c r="C14">
        <v>7166</v>
      </c>
      <c r="D14" s="3" t="str" cm="1">
        <f t="array" ref="D14">IFERROR(_xlfn.XLOOKUP(TEXT(C14,"0000"),TEXT(Catalog!A:A,"0000"),Catalog!B:B),"")</f>
        <v xml:space="preserve">TERMOPLASTIC CONTRA 5019      </v>
      </c>
      <c r="E14">
        <v>9</v>
      </c>
    </row>
    <row r="15" spans="2:11" x14ac:dyDescent="0.25">
      <c r="B15" t="s">
        <v>4561</v>
      </c>
      <c r="C15">
        <v>7173</v>
      </c>
      <c r="D15" s="3" t="str" cm="1">
        <f t="array" ref="D15">IFERROR(_xlfn.XLOOKUP(TEXT(C15,"0000"),TEXT(Catalog!A:A,"0000"),Catalog!B:B),"")</f>
        <v>TERMOPLASTIC ZIJK STEKKER 6566</v>
      </c>
      <c r="E15">
        <v>15</v>
      </c>
    </row>
    <row r="16" spans="2:11" x14ac:dyDescent="0.25">
      <c r="B16" t="s">
        <v>4561</v>
      </c>
      <c r="C16" s="6" t="s">
        <v>4563</v>
      </c>
      <c r="D16" s="3" t="str" cm="1">
        <f t="array" ref="D16">IFERROR(_xlfn.XLOOKUP(TEXT(C16,"0000"),TEXT(Catalog!A:A,"0000"),Catalog!B:B),"")</f>
        <v xml:space="preserve">KABELDOOS EV111(18300)        </v>
      </c>
      <c r="E16" s="7" t="s">
        <v>4564</v>
      </c>
      <c r="F16">
        <v>44</v>
      </c>
    </row>
    <row r="19" spans="2:11" ht="24" x14ac:dyDescent="0.4">
      <c r="B19" s="42" t="s">
        <v>4565</v>
      </c>
      <c r="C19" s="42"/>
      <c r="D19" s="42"/>
      <c r="E19" s="42"/>
      <c r="F19" s="42"/>
      <c r="G19" s="42"/>
      <c r="H19" s="42"/>
      <c r="I19" s="43" t="s">
        <v>4459</v>
      </c>
      <c r="J19" s="13" t="s">
        <v>4432</v>
      </c>
      <c r="K19" s="44" t="s">
        <v>4460</v>
      </c>
    </row>
    <row r="20" spans="2:11" ht="18.75" x14ac:dyDescent="0.3">
      <c r="B20" s="11" t="s">
        <v>4445</v>
      </c>
      <c r="C20" s="11" t="s">
        <v>4433</v>
      </c>
      <c r="D20" s="11" t="s">
        <v>4434</v>
      </c>
      <c r="E20" s="11" t="s">
        <v>4435</v>
      </c>
      <c r="F20" s="11" t="s">
        <v>4436</v>
      </c>
      <c r="G20" s="11" t="s">
        <v>4444</v>
      </c>
      <c r="H20" s="11" t="s">
        <v>4436</v>
      </c>
      <c r="I20" s="43"/>
      <c r="J20" s="11" t="s">
        <v>4447</v>
      </c>
      <c r="K20" s="44"/>
    </row>
    <row r="21" spans="2:11" x14ac:dyDescent="0.25">
      <c r="B21" t="s">
        <v>4561</v>
      </c>
      <c r="C21">
        <v>1223</v>
      </c>
      <c r="D21" s="3" t="str" cm="1">
        <f t="array" ref="D21">IFERROR(_xlfn.XLOOKUP(TEXT(C21,"0000"),TEXT(Catalog!A:A,"0000"),Catalog!B:B),"")</f>
        <v xml:space="preserve">KOPP WCD EUR DUB R/AOPB 74108 </v>
      </c>
      <c r="E21" t="s">
        <v>4566</v>
      </c>
    </row>
    <row r="22" spans="2:11" x14ac:dyDescent="0.25">
      <c r="B22" t="s">
        <v>4561</v>
      </c>
      <c r="C22">
        <v>7071</v>
      </c>
      <c r="D22" s="3" t="str" cm="1">
        <f t="array" ref="D22">IFERROR(_xlfn.XLOOKUP(TEXT(C22,"0000"),TEXT(Catalog!A:A,"0000"),Catalog!B:B),"")</f>
        <v xml:space="preserve">ADER EINDHULS 2.5mm E2508     </v>
      </c>
      <c r="E22">
        <v>5</v>
      </c>
    </row>
    <row r="23" spans="2:11" x14ac:dyDescent="0.25">
      <c r="B23" t="s">
        <v>4561</v>
      </c>
      <c r="C23">
        <v>7080</v>
      </c>
      <c r="D23" s="3" t="str" cm="1">
        <f t="array" ref="D23">IFERROR(_xlfn.XLOOKUP(TEXT(C23,"0000"),TEXT(Catalog!A:A,"0000"),Catalog!B:B),"")</f>
        <v xml:space="preserve">ADER EINDHULS 2X2.5mm TE2510  </v>
      </c>
      <c r="E23">
        <v>22</v>
      </c>
    </row>
    <row r="24" spans="2:11" x14ac:dyDescent="0.25">
      <c r="B24" t="s">
        <v>4561</v>
      </c>
      <c r="C24">
        <v>7072</v>
      </c>
      <c r="D24" s="3" t="str" cm="1">
        <f t="array" ref="D24">IFERROR(_xlfn.XLOOKUP(TEXT(C24,"0000"),TEXT(Catalog!A:A,"0000"),Catalog!B:B),"")</f>
        <v xml:space="preserve">ADER EINDHULS 4mm E4012       </v>
      </c>
      <c r="E24">
        <v>14</v>
      </c>
    </row>
    <row r="25" spans="2:11" x14ac:dyDescent="0.25">
      <c r="B25" t="s">
        <v>4567</v>
      </c>
      <c r="C25">
        <v>7081</v>
      </c>
      <c r="D25" s="3" t="str" cm="1">
        <f t="array" ref="D25">IFERROR(_xlfn.XLOOKUP(TEXT(C25,"0000"),TEXT(Catalog!A:A,"0000"),Catalog!B:B),"")</f>
        <v xml:space="preserve">ADER EINDHULS 2X4mm TE4012    </v>
      </c>
      <c r="E25">
        <v>6</v>
      </c>
    </row>
    <row r="26" spans="2:11" x14ac:dyDescent="0.25">
      <c r="B26" t="s">
        <v>4567</v>
      </c>
      <c r="C26">
        <v>7070</v>
      </c>
      <c r="D26" s="3" t="str" cm="1">
        <f t="array" ref="D26">IFERROR(_xlfn.XLOOKUP(TEXT(C26,"0000"),TEXT(Catalog!A:A,"0000"),Catalog!B:B),"")</f>
        <v xml:space="preserve">ADER EINDHULS 1.5mm E1508     </v>
      </c>
      <c r="F26">
        <v>29</v>
      </c>
    </row>
    <row r="27" spans="2:11" x14ac:dyDescent="0.25">
      <c r="B27" t="s">
        <v>4567</v>
      </c>
      <c r="C27">
        <v>7079</v>
      </c>
      <c r="D27" s="3" t="str" cm="1">
        <f t="array" ref="D27">IFERROR(_xlfn.XLOOKUP(TEXT(C27,"0000"),TEXT(Catalog!A:A,"0000"),Catalog!B:B),"")</f>
        <v xml:space="preserve">ADER EINDHULS 2X1.5mm TE1508  </v>
      </c>
      <c r="E27" t="s">
        <v>4569</v>
      </c>
    </row>
    <row r="28" spans="2:11" x14ac:dyDescent="0.25">
      <c r="B28" t="s">
        <v>4567</v>
      </c>
      <c r="C28">
        <v>7073</v>
      </c>
      <c r="D28" s="3" t="str" cm="1">
        <f t="array" ref="D28">IFERROR(_xlfn.XLOOKUP(TEXT(C28,"0000"),TEXT(Catalog!A:A,"0000"),Catalog!B:B),"")</f>
        <v xml:space="preserve">ADER EINDHULS 6mm E6012       </v>
      </c>
      <c r="E28" t="s">
        <v>4570</v>
      </c>
    </row>
    <row r="29" spans="2:11" x14ac:dyDescent="0.25">
      <c r="B29" t="s">
        <v>4567</v>
      </c>
      <c r="C29">
        <v>1161</v>
      </c>
      <c r="D29" s="3" t="str" cm="1">
        <f t="array" ref="D29">IFERROR(_xlfn.XLOOKUP(TEXT(C29,"0000"),TEXT(Catalog!A:A,"0000"),Catalog!B:B),"")</f>
        <v xml:space="preserve">PHOTOCEL 220 VOLT A-1068W     </v>
      </c>
      <c r="E29">
        <v>42</v>
      </c>
    </row>
    <row r="30" spans="2:11" x14ac:dyDescent="0.25">
      <c r="B30" t="s">
        <v>4567</v>
      </c>
      <c r="C30">
        <v>7083</v>
      </c>
      <c r="D30" s="3" t="str" cm="1">
        <f t="array" ref="D30">IFERROR(_xlfn.XLOOKUP(TEXT(C30,"0000"),TEXT(Catalog!A:A,"0000"),Catalog!B:B),"")</f>
        <v xml:space="preserve">ADER EINDHULS 2X10mm TE1014   </v>
      </c>
      <c r="E30">
        <v>22</v>
      </c>
    </row>
    <row r="31" spans="2:11" x14ac:dyDescent="0.25">
      <c r="B31" t="s">
        <v>4567</v>
      </c>
      <c r="C31">
        <v>1216</v>
      </c>
      <c r="D31" s="3" t="str" cm="1">
        <f t="array" ref="D31">IFERROR(_xlfn.XLOOKUP(TEXT(C31,"0000"),TEXT(Catalog!A:A,"0000"),Catalog!B:B),"")</f>
        <v xml:space="preserve">TREKKOORTJE  1,9 mtr          </v>
      </c>
      <c r="E31">
        <v>93</v>
      </c>
    </row>
    <row r="32" spans="2:11" x14ac:dyDescent="0.25">
      <c r="B32" t="s">
        <v>4567</v>
      </c>
      <c r="C32">
        <v>7177</v>
      </c>
      <c r="D32" s="3" t="str" cm="1">
        <f t="array" ref="D32">IFERROR(_xlfn.XLOOKUP(TEXT(C32,"0000"),TEXT(Catalog!A:A,"0000"),Catalog!B:B),"")</f>
        <v xml:space="preserve">LAMPHOUDER 6511/75            </v>
      </c>
      <c r="E32">
        <v>7</v>
      </c>
    </row>
    <row r="33" spans="2:11" x14ac:dyDescent="0.25">
      <c r="B33" t="s">
        <v>4567</v>
      </c>
      <c r="C33">
        <v>1218</v>
      </c>
      <c r="D33" s="3" t="str" cm="1">
        <f t="array" ref="D33">IFERROR(_xlfn.XLOOKUP(TEXT(C33,"0000"),TEXT(Catalog!A:A,"0000"),Catalog!B:B),"")</f>
        <v xml:space="preserve">TIMER 250V/50Hz WHITE         </v>
      </c>
      <c r="E33">
        <v>7</v>
      </c>
    </row>
    <row r="34" spans="2:11" x14ac:dyDescent="0.25">
      <c r="B34" t="s">
        <v>4567</v>
      </c>
      <c r="C34">
        <v>3119</v>
      </c>
      <c r="D34" s="3" t="str" cm="1">
        <f t="array" ref="D34">IFERROR(_xlfn.XLOOKUP(TEXT(C34,"0000"),TEXT(Catalog!A:A,"0000"),Catalog!B:B),"")</f>
        <v xml:space="preserve">SURGE PROTECTOR 127V USB      </v>
      </c>
      <c r="E34">
        <v>21</v>
      </c>
    </row>
    <row r="35" spans="2:11" x14ac:dyDescent="0.25">
      <c r="B35" t="s">
        <v>4567</v>
      </c>
      <c r="C35">
        <v>1237</v>
      </c>
      <c r="D35" s="3" t="str" cm="1">
        <f t="array" ref="D35">IFERROR(_xlfn.XLOOKUP(TEXT(C35,"0000"),TEXT(Catalog!A:A,"0000"),Catalog!B:B),"")</f>
        <v xml:space="preserve">VERLOOP STEKKER PEN PL 695    </v>
      </c>
      <c r="E35" t="s">
        <v>4571</v>
      </c>
    </row>
    <row r="36" spans="2:11" x14ac:dyDescent="0.25">
      <c r="B36" t="s">
        <v>4567</v>
      </c>
      <c r="C36">
        <v>1242</v>
      </c>
      <c r="D36" s="3" t="str" cm="1">
        <f t="array" ref="D36">IFERROR(_xlfn.XLOOKUP(TEXT(C36,"0000"),TEXT(Catalog!A:A,"0000"),Catalog!B:B),"")</f>
        <v xml:space="preserve">VERLOOP STEKKER PEN RO 686    </v>
      </c>
      <c r="E36">
        <v>4</v>
      </c>
    </row>
    <row r="37" spans="2:11" x14ac:dyDescent="0.25">
      <c r="B37" t="s">
        <v>4567</v>
      </c>
      <c r="C37">
        <v>1593</v>
      </c>
      <c r="D37" s="3" t="str" cm="1">
        <f t="array" ref="D37">IFERROR(_xlfn.XLOOKUP(TEXT(C37,"0000"),TEXT(Catalog!A:A,"0000"),Catalog!B:B),"")</f>
        <v>Terminal bar 2x16mm6x6mm610314</v>
      </c>
      <c r="K37" t="s">
        <v>4572</v>
      </c>
    </row>
    <row r="38" spans="2:11" x14ac:dyDescent="0.25">
      <c r="B38" t="s">
        <v>4567</v>
      </c>
      <c r="C38">
        <v>7084</v>
      </c>
      <c r="D38" s="3" t="str" cm="1">
        <f t="array" ref="D38">IFERROR(_xlfn.XLOOKUP(TEXT(C38,"0000"),TEXT(Catalog!A:A,"0000"),Catalog!B:B),"")</f>
        <v xml:space="preserve">ADER EINDHULS 2X16mm TE1614   </v>
      </c>
      <c r="E38">
        <v>100</v>
      </c>
    </row>
    <row r="39" spans="2:11" x14ac:dyDescent="0.25">
      <c r="B39" t="s">
        <v>4567</v>
      </c>
      <c r="C39">
        <v>7076</v>
      </c>
      <c r="D39" s="3" t="str" cm="1">
        <f t="array" ref="D39">IFERROR(_xlfn.XLOOKUP(TEXT(C39,"0000"),TEXT(Catalog!A:A,"0000"),Catalog!B:B),"")</f>
        <v xml:space="preserve">ADER EINDHULS 25mm E2516      </v>
      </c>
      <c r="E39">
        <v>33</v>
      </c>
    </row>
    <row r="40" spans="2:11" x14ac:dyDescent="0.25">
      <c r="B40" t="s">
        <v>4567</v>
      </c>
      <c r="C40">
        <v>7077</v>
      </c>
      <c r="D40" s="3" t="str" cm="1">
        <f t="array" ref="D40">IFERROR(_xlfn.XLOOKUP(TEXT(C40,"0000"),TEXT(Catalog!A:A,"0000"),Catalog!B:B),"")</f>
        <v xml:space="preserve">ADER EINDHULS 35mm E3516      </v>
      </c>
      <c r="E40" t="s">
        <v>4573</v>
      </c>
    </row>
    <row r="41" spans="2:11" x14ac:dyDescent="0.25">
      <c r="B41" t="s">
        <v>4567</v>
      </c>
      <c r="C41">
        <v>7078</v>
      </c>
      <c r="D41" s="3" t="str" cm="1">
        <f t="array" ref="D41">IFERROR(_xlfn.XLOOKUP(TEXT(C41,"0000"),TEXT(Catalog!A:A,"0000"),Catalog!B:B),"")</f>
        <v xml:space="preserve">ADER EINDHULS 50mm E5020      </v>
      </c>
      <c r="E41" t="s">
        <v>4574</v>
      </c>
    </row>
    <row r="42" spans="2:11" x14ac:dyDescent="0.25">
      <c r="B42" t="s">
        <v>4567</v>
      </c>
      <c r="C42">
        <v>1223</v>
      </c>
      <c r="D42" s="3" t="str" cm="1">
        <f t="array" ref="D42">IFERROR(_xlfn.XLOOKUP(TEXT(C42,"0000"),TEXT(Catalog!A:A,"0000"),Catalog!B:B),"")</f>
        <v xml:space="preserve">KOPP WCD EUR DUB R/AOPB 74108 </v>
      </c>
      <c r="E42">
        <v>7</v>
      </c>
    </row>
    <row r="43" spans="2:11" x14ac:dyDescent="0.25">
      <c r="B43" t="s">
        <v>4567</v>
      </c>
      <c r="C43" s="6" t="s">
        <v>4568</v>
      </c>
      <c r="D43" s="3" t="str" cm="1">
        <f t="array" ref="D43">IFERROR(_xlfn.XLOOKUP(TEXT(C43,"0000"),TEXT(Catalog!A:A,"0000"),Catalog!B:B),"")</f>
        <v xml:space="preserve">KABEL EINDHULS 2x4mm ISOLEERT </v>
      </c>
      <c r="E43">
        <v>12</v>
      </c>
    </row>
    <row r="44" spans="2:11" x14ac:dyDescent="0.25">
      <c r="B44" t="s">
        <v>4567</v>
      </c>
      <c r="C44">
        <v>7079</v>
      </c>
      <c r="D44" s="3" t="str" cm="1">
        <f t="array" ref="D44">IFERROR(_xlfn.XLOOKUP(TEXT(C44,"0000"),TEXT(Catalog!A:A,"0000"),Catalog!B:B),"")</f>
        <v xml:space="preserve">ADER EINDHULS 2X1.5mm TE1508  </v>
      </c>
      <c r="E44">
        <v>2</v>
      </c>
    </row>
    <row r="45" spans="2:11" x14ac:dyDescent="0.25">
      <c r="B45" t="s">
        <v>4567</v>
      </c>
      <c r="C45" s="21" t="s">
        <v>4575</v>
      </c>
      <c r="D45" s="3" t="str" cm="1">
        <f t="array" ref="D45">IFERROR(_xlfn.XLOOKUP(TEXT(C45,"0000"),TEXT(Catalog!A:A,"0000"),Catalog!B:B),"")</f>
        <v xml:space="preserve">MONTAGEBAND 17mm              </v>
      </c>
      <c r="E45" t="s">
        <v>4577</v>
      </c>
    </row>
    <row r="46" spans="2:11" x14ac:dyDescent="0.25">
      <c r="B46" t="s">
        <v>4567</v>
      </c>
      <c r="C46" s="21" t="s">
        <v>4576</v>
      </c>
      <c r="D46" s="3" t="str" cm="1">
        <f t="array" ref="D46">IFERROR(_xlfn.XLOOKUP(TEXT(C46,"0000"),TEXT(Catalog!A:A,"0000"),Catalog!B:B),"")</f>
        <v xml:space="preserve">MONTAGEBAND 12mm              </v>
      </c>
      <c r="E46" t="s">
        <v>4578</v>
      </c>
    </row>
    <row r="47" spans="2:11" x14ac:dyDescent="0.25">
      <c r="B47" t="s">
        <v>4567</v>
      </c>
      <c r="C47">
        <v>7082</v>
      </c>
      <c r="D47" s="3" t="str" cm="1">
        <f t="array" ref="D47">IFERROR(_xlfn.XLOOKUP(TEXT(C47,"0000"),TEXT(Catalog!A:A,"0000"),Catalog!B:B),"")</f>
        <v xml:space="preserve">ADER EINDHULS 2X6mm TE6014    </v>
      </c>
      <c r="E47" t="s">
        <v>4579</v>
      </c>
    </row>
    <row r="48" spans="2:11" x14ac:dyDescent="0.25">
      <c r="B48" t="s">
        <v>4567</v>
      </c>
      <c r="C48">
        <v>3292</v>
      </c>
      <c r="D48" s="3" t="str" cm="1">
        <f t="array" ref="D48">IFERROR(_xlfn.XLOOKUP(TEXT(C48,"0000"),TEXT(Catalog!A:A,"0000"),Catalog!B:B),"")</f>
        <v xml:space="preserve">STARTERHOUDER PLAT     125-6  </v>
      </c>
      <c r="K48" t="s">
        <v>4580</v>
      </c>
    </row>
    <row r="49" spans="2:11" x14ac:dyDescent="0.25">
      <c r="B49" t="s">
        <v>4567</v>
      </c>
      <c r="C49">
        <v>3293</v>
      </c>
      <c r="D49" s="3" t="str" cm="1">
        <f t="array" ref="D49">IFERROR(_xlfn.XLOOKUP(TEXT(C49,"0000"),TEXT(Catalog!A:A,"0000"),Catalog!B:B),"")</f>
        <v xml:space="preserve">STARTERHOUDER CLIP     125-5  </v>
      </c>
      <c r="E49" t="s">
        <v>4449</v>
      </c>
    </row>
    <row r="50" spans="2:11" x14ac:dyDescent="0.25">
      <c r="B50" t="s">
        <v>4567</v>
      </c>
      <c r="C50">
        <v>1157</v>
      </c>
      <c r="D50" s="3" t="str" cm="1">
        <f t="array" ref="D50">IFERROR(_xlfn.XLOOKUP(TEXT(C50,"0000"),TEXT(Catalog!A:A,"0000"),Catalog!B:B),"")</f>
        <v xml:space="preserve">3 GANG BOX METAAL MSB-3       </v>
      </c>
      <c r="F50">
        <v>8</v>
      </c>
    </row>
    <row r="51" spans="2:11" x14ac:dyDescent="0.25">
      <c r="B51" t="s">
        <v>4567</v>
      </c>
      <c r="C51">
        <v>1158</v>
      </c>
      <c r="D51" s="3" t="str" cm="1">
        <f t="array" ref="D51">IFERROR(_xlfn.XLOOKUP(TEXT(C51,"0000"),TEXT(Catalog!A:A,"0000"),Catalog!B:B),"")</f>
        <v xml:space="preserve">4 GANG BOX METAAL MSB-4       </v>
      </c>
      <c r="E51" t="s">
        <v>4581</v>
      </c>
      <c r="F51">
        <v>1</v>
      </c>
    </row>
    <row r="52" spans="2:11" x14ac:dyDescent="0.25">
      <c r="B52" t="s">
        <v>4567</v>
      </c>
      <c r="C52">
        <v>1159</v>
      </c>
      <c r="D52" s="3" t="str" cm="1">
        <f t="array" ref="D52">IFERROR(_xlfn.XLOOKUP(TEXT(C52,"0000"),TEXT(Catalog!A:A,"0000"),Catalog!B:B),"")</f>
        <v xml:space="preserve">5 GANG BOX METAAL MSB-5       </v>
      </c>
      <c r="E52" t="s">
        <v>4582</v>
      </c>
      <c r="F52">
        <v>2</v>
      </c>
    </row>
    <row r="53" spans="2:11" x14ac:dyDescent="0.25">
      <c r="B53" t="s">
        <v>4567</v>
      </c>
      <c r="C53">
        <v>33210</v>
      </c>
      <c r="D53" s="3" t="str" cm="1">
        <f t="array" ref="D53">IFERROR(_xlfn.XLOOKUP(TEXT(C53,"0000"),TEXT(Catalog!A:A,"0000"),Catalog!B:B),"")</f>
        <v xml:space="preserve">PICKENS LMP 250W PUBLIC 6000K </v>
      </c>
      <c r="E53" t="s">
        <v>4583</v>
      </c>
    </row>
    <row r="54" spans="2:11" x14ac:dyDescent="0.25">
      <c r="B54" t="s">
        <v>4567</v>
      </c>
      <c r="C54">
        <v>1651</v>
      </c>
      <c r="D54" s="3" t="str" cm="1">
        <f t="array" ref="D54">IFERROR(_xlfn.XLOOKUP(TEXT(C54,"0000"),TEXT(Catalog!A:A,"0000"),Catalog!B:B),"")</f>
        <v xml:space="preserve"> RAIL COPPER 30X10X2000 48803 </v>
      </c>
      <c r="E54">
        <v>8</v>
      </c>
    </row>
    <row r="55" spans="2:11" x14ac:dyDescent="0.25">
      <c r="B55" t="s">
        <v>4567</v>
      </c>
      <c r="C55">
        <v>16510</v>
      </c>
      <c r="D55" s="3" t="str" cm="1">
        <f t="array" ref="D55">IFERROR(_xlfn.XLOOKUP(TEXT(C55,"0000"),TEXT(Catalog!A:A,"0000"),Catalog!B:B),"")</f>
        <v xml:space="preserve"> RAIL COPPER 20X5X1000 48794  </v>
      </c>
      <c r="E55">
        <v>9</v>
      </c>
    </row>
    <row r="57" spans="2:11" ht="24" x14ac:dyDescent="0.4">
      <c r="B57" s="42" t="s">
        <v>4584</v>
      </c>
      <c r="C57" s="42"/>
      <c r="D57" s="42"/>
      <c r="E57" s="42"/>
      <c r="F57" s="42"/>
      <c r="G57" s="42"/>
      <c r="H57" s="42"/>
      <c r="I57" s="43" t="s">
        <v>4459</v>
      </c>
      <c r="J57" s="13" t="s">
        <v>4432</v>
      </c>
      <c r="K57" s="44" t="s">
        <v>4460</v>
      </c>
    </row>
    <row r="58" spans="2:11" ht="18.75" x14ac:dyDescent="0.3">
      <c r="B58" s="11" t="s">
        <v>4445</v>
      </c>
      <c r="C58" s="11" t="s">
        <v>4433</v>
      </c>
      <c r="D58" s="11" t="s">
        <v>4434</v>
      </c>
      <c r="E58" s="11" t="s">
        <v>4435</v>
      </c>
      <c r="F58" s="11" t="s">
        <v>4436</v>
      </c>
      <c r="G58" s="11" t="s">
        <v>4444</v>
      </c>
      <c r="H58" s="11" t="s">
        <v>4436</v>
      </c>
      <c r="I58" s="43"/>
      <c r="J58" s="11" t="s">
        <v>4447</v>
      </c>
      <c r="K58" s="44"/>
    </row>
    <row r="59" spans="2:11" x14ac:dyDescent="0.25">
      <c r="B59" s="22">
        <v>46055</v>
      </c>
      <c r="C59" s="21" t="s">
        <v>4585</v>
      </c>
      <c r="D59" s="3" t="str" cm="1">
        <f t="array" ref="D59">IFERROR(_xlfn.XLOOKUP(TEXT(C59,"0000"),TEXT(Catalog!A:A,"0000"),Catalog!B:B),"")</f>
        <v xml:space="preserve">KABELDOOS 223A                </v>
      </c>
      <c r="E59" t="s">
        <v>4586</v>
      </c>
      <c r="F59">
        <v>35</v>
      </c>
    </row>
    <row r="60" spans="2:11" x14ac:dyDescent="0.25">
      <c r="B60" s="22">
        <v>46055</v>
      </c>
      <c r="C60" s="21" t="s">
        <v>4587</v>
      </c>
      <c r="D60" s="3" t="str" cm="1">
        <f t="array" ref="D60">IFERROR(_xlfn.XLOOKUP(TEXT(C60,"0000"),TEXT(Catalog!A:A,"0000"),Catalog!B:B),"")</f>
        <v xml:space="preserve">KABELDOOS 224A                </v>
      </c>
      <c r="E60" t="s">
        <v>4588</v>
      </c>
      <c r="F60" t="s">
        <v>4589</v>
      </c>
    </row>
    <row r="61" spans="2:11" x14ac:dyDescent="0.25">
      <c r="B61" s="22">
        <v>46055</v>
      </c>
      <c r="C61" s="21" t="s">
        <v>4590</v>
      </c>
      <c r="D61" s="3" t="str" cm="1">
        <f t="array" ref="D61">IFERROR(_xlfn.XLOOKUP(TEXT(C61,"0000"),TEXT(Catalog!A:A,"0000"),Catalog!B:B),"")</f>
        <v xml:space="preserve">KABELDOOS 222A                </v>
      </c>
      <c r="E61" t="s">
        <v>4591</v>
      </c>
      <c r="F61">
        <v>39</v>
      </c>
    </row>
    <row r="63" spans="2:11" ht="24" x14ac:dyDescent="0.4">
      <c r="B63" s="42" t="s">
        <v>4592</v>
      </c>
      <c r="C63" s="42"/>
      <c r="D63" s="42"/>
      <c r="E63" s="42"/>
      <c r="F63" s="42"/>
      <c r="G63" s="42"/>
      <c r="H63" s="42"/>
      <c r="I63" s="43" t="s">
        <v>4459</v>
      </c>
      <c r="J63" s="13" t="s">
        <v>4432</v>
      </c>
      <c r="K63" s="44" t="s">
        <v>4460</v>
      </c>
    </row>
    <row r="64" spans="2:11" ht="18.75" x14ac:dyDescent="0.3">
      <c r="B64" s="11" t="s">
        <v>4445</v>
      </c>
      <c r="C64" s="11" t="s">
        <v>4433</v>
      </c>
      <c r="D64" s="11" t="s">
        <v>4434</v>
      </c>
      <c r="E64" s="11" t="s">
        <v>4435</v>
      </c>
      <c r="F64" s="11" t="s">
        <v>4436</v>
      </c>
      <c r="G64" s="11" t="s">
        <v>4444</v>
      </c>
      <c r="H64" s="11" t="s">
        <v>4436</v>
      </c>
      <c r="I64" s="43"/>
      <c r="J64" s="11" t="s">
        <v>4447</v>
      </c>
      <c r="K64" s="44"/>
    </row>
    <row r="65" spans="2:11" x14ac:dyDescent="0.25">
      <c r="B65" s="22">
        <v>46055</v>
      </c>
      <c r="C65" s="21" t="s">
        <v>4593</v>
      </c>
      <c r="D65" s="3" t="str" cm="1">
        <f t="array" ref="D65">IFERROR(_xlfn.XLOOKUP(TEXT(C65,"0000"),TEXT(Catalog!A:A,"0000"),Catalog!B:B),"")</f>
        <v xml:space="preserve">MOFFEN   5/8"                 </v>
      </c>
      <c r="E65" t="s">
        <v>4594</v>
      </c>
    </row>
    <row r="66" spans="2:11" x14ac:dyDescent="0.25">
      <c r="B66" s="22">
        <v>46055</v>
      </c>
      <c r="C66">
        <v>7181</v>
      </c>
      <c r="D66" s="3" t="str" cm="1">
        <f t="array" ref="D66">IFERROR(_xlfn.XLOOKUP(TEXT(C66,"0000"),TEXT(Catalog!A:A,"0000"),Catalog!B:B),"")</f>
        <v xml:space="preserve">BASE MULTI 6 TOMAS 8016 IL    </v>
      </c>
      <c r="E66" t="s">
        <v>4588</v>
      </c>
      <c r="F66">
        <v>3</v>
      </c>
    </row>
    <row r="67" spans="2:11" x14ac:dyDescent="0.25">
      <c r="B67" s="22">
        <v>46055</v>
      </c>
      <c r="C67">
        <v>7180</v>
      </c>
      <c r="D67" s="3" t="str" cm="1">
        <f t="array" ref="D67">IFERROR(_xlfn.XLOOKUP(TEXT(C67,"0000"),TEXT(Catalog!A:A,"0000"),Catalog!B:B),"")</f>
        <v xml:space="preserve">BASE MULTI 5 TOMAS 8015 IL    </v>
      </c>
      <c r="F67">
        <v>11</v>
      </c>
    </row>
    <row r="68" spans="2:11" x14ac:dyDescent="0.25">
      <c r="B68" s="22">
        <v>46055</v>
      </c>
      <c r="C68">
        <v>7179</v>
      </c>
      <c r="D68" s="3" t="str" cm="1">
        <f t="array" ref="D68">IFERROR(_xlfn.XLOOKUP(TEXT(C68,"0000"),TEXT(Catalog!A:A,"0000"),Catalog!B:B),"")</f>
        <v xml:space="preserve">BASE MULTI 4 TOMAS 8014 IL    </v>
      </c>
      <c r="F68">
        <v>13</v>
      </c>
    </row>
    <row r="69" spans="2:11" x14ac:dyDescent="0.25">
      <c r="B69" s="22">
        <v>46055</v>
      </c>
      <c r="C69">
        <v>3291</v>
      </c>
      <c r="D69" s="3" t="str" cm="1">
        <f t="array" ref="D69">IFERROR(_xlfn.XLOOKUP(TEXT(C69,"0000"),TEXT(Catalog!A:A,"0000"),Catalog!B:B),"")</f>
        <v xml:space="preserve">STARTER 4-65W S10             </v>
      </c>
      <c r="E69" s="8" t="s">
        <v>4595</v>
      </c>
      <c r="F69" t="s">
        <v>4596</v>
      </c>
      <c r="K69" t="s">
        <v>4606</v>
      </c>
    </row>
    <row r="70" spans="2:11" x14ac:dyDescent="0.25">
      <c r="B70" s="22">
        <v>46055</v>
      </c>
      <c r="C70">
        <v>3290</v>
      </c>
      <c r="D70" s="3" t="str" cm="1">
        <f t="array" ref="D70">IFERROR(_xlfn.XLOOKUP(TEXT(C70,"0000"),TEXT(Catalog!A:A,"0000"),Catalog!B:B),"")</f>
        <v xml:space="preserve">STARTER 4-22W                 </v>
      </c>
      <c r="E70" s="8" t="s">
        <v>4597</v>
      </c>
      <c r="F70" t="s">
        <v>4598</v>
      </c>
      <c r="K70" t="s">
        <v>4607</v>
      </c>
    </row>
    <row r="71" spans="2:11" x14ac:dyDescent="0.25">
      <c r="B71" s="22">
        <v>46055</v>
      </c>
      <c r="C71" s="8">
        <v>3202</v>
      </c>
      <c r="D71" s="3" t="str" cm="1">
        <f t="array" ref="D71">IFERROR(_xlfn.XLOOKUP(TEXT(C71,"0000"),TEXT(Catalog!A:A,"0000"),Catalog!B:B),"")</f>
        <v xml:space="preserve">HALOGEENLAMP 1000W 127 VOLT   </v>
      </c>
      <c r="E71" s="8" t="s">
        <v>4599</v>
      </c>
    </row>
    <row r="72" spans="2:11" x14ac:dyDescent="0.25">
      <c r="B72" s="22">
        <v>46055</v>
      </c>
      <c r="C72">
        <v>7135</v>
      </c>
      <c r="D72" s="3" t="str" cm="1">
        <f t="array" ref="D72">IFERROR(_xlfn.XLOOKUP(TEXT(C72,"0000"),TEXT(Catalog!A:A,"0000"),Catalog!B:B),"")</f>
        <v xml:space="preserve">HALOGEENLAMP 1500W            </v>
      </c>
      <c r="E72" t="s">
        <v>4600</v>
      </c>
      <c r="F72">
        <v>86</v>
      </c>
    </row>
    <row r="73" spans="2:11" x14ac:dyDescent="0.25">
      <c r="B73" s="22">
        <v>46055</v>
      </c>
      <c r="C73">
        <v>7134</v>
      </c>
      <c r="D73" s="3" t="str" cm="1">
        <f t="array" ref="D73">IFERROR(_xlfn.XLOOKUP(TEXT(C73,"0000"),TEXT(Catalog!A:A,"0000"),Catalog!B:B),"")</f>
        <v xml:space="preserve">HALOGEENLAMP 1000W            </v>
      </c>
      <c r="E73" t="s">
        <v>4601</v>
      </c>
      <c r="F73">
        <v>22</v>
      </c>
    </row>
    <row r="74" spans="2:11" x14ac:dyDescent="0.25">
      <c r="B74" s="22">
        <v>46055</v>
      </c>
      <c r="C74">
        <v>7133</v>
      </c>
      <c r="D74" s="3" t="str" cm="1">
        <f t="array" ref="D74">IFERROR(_xlfn.XLOOKUP(TEXT(C74,"0000"),TEXT(Catalog!A:A,"0000"),Catalog!B:B),"")</f>
        <v xml:space="preserve">HALOGEEN LAMP 500W            </v>
      </c>
      <c r="E74" t="s">
        <v>4602</v>
      </c>
      <c r="F74">
        <v>95</v>
      </c>
    </row>
    <row r="75" spans="2:11" x14ac:dyDescent="0.25">
      <c r="B75" s="22">
        <v>46055</v>
      </c>
      <c r="C75">
        <v>7139</v>
      </c>
      <c r="D75" s="3" t="str" cm="1">
        <f t="array" ref="D75">IFERROR(_xlfn.XLOOKUP(TEXT(C75,"0000"),TEXT(Catalog!A:A,"0000"),Catalog!B:B),"")</f>
        <v xml:space="preserve">HPLN LAMP 400W OSRAM          </v>
      </c>
      <c r="E75" t="s">
        <v>4603</v>
      </c>
      <c r="F75">
        <v>1</v>
      </c>
    </row>
    <row r="76" spans="2:11" x14ac:dyDescent="0.25">
      <c r="B76" s="22">
        <v>46055</v>
      </c>
      <c r="C76">
        <v>3206</v>
      </c>
      <c r="D76" s="3" t="str" cm="1">
        <f t="array" ref="D76">IFERROR(_xlfn.XLOOKUP(TEXT(C76,"0000"),TEXT(Catalog!A:A,"0000"),Catalog!B:B),"")</f>
        <v xml:space="preserve">HALOGEENLAMP 1500W 220 VOLT   </v>
      </c>
      <c r="F76">
        <v>134</v>
      </c>
    </row>
    <row r="77" spans="2:11" x14ac:dyDescent="0.25">
      <c r="B77" s="22">
        <v>46055</v>
      </c>
      <c r="C77">
        <v>7100</v>
      </c>
      <c r="D77" s="3" t="str" cm="1">
        <f t="array" ref="D77">IFERROR(_xlfn.XLOOKUP(TEXT(C77,"0000"),TEXT(Catalog!A:A,"0000"),Catalog!B:B),"")</f>
        <v xml:space="preserve">PL-U 2pins 7W 127v/6400k      </v>
      </c>
      <c r="E77" t="s">
        <v>4600</v>
      </c>
    </row>
    <row r="78" spans="2:11" x14ac:dyDescent="0.25">
      <c r="B78" s="22">
        <v>46055</v>
      </c>
      <c r="C78">
        <v>3249</v>
      </c>
      <c r="D78" s="3" t="str" cm="1">
        <f t="array" ref="D78">IFERROR(_xlfn.XLOOKUP(TEXT(C78,"0000"),TEXT(Catalog!A:A,"0000"),Catalog!B:B),"")</f>
        <v xml:space="preserve">SPIRALLAMP 20W 110-130V 50Hz  </v>
      </c>
      <c r="E78" t="s">
        <v>4604</v>
      </c>
    </row>
    <row r="79" spans="2:11" x14ac:dyDescent="0.25">
      <c r="B79" s="22"/>
    </row>
    <row r="80" spans="2:11" ht="24" x14ac:dyDescent="0.4">
      <c r="B80" s="42" t="s">
        <v>4605</v>
      </c>
      <c r="C80" s="42"/>
      <c r="D80" s="42"/>
      <c r="E80" s="42"/>
      <c r="F80" s="42"/>
      <c r="G80" s="42"/>
      <c r="H80" s="42"/>
      <c r="I80" s="43" t="s">
        <v>4459</v>
      </c>
      <c r="J80" s="13" t="s">
        <v>4432</v>
      </c>
      <c r="K80" s="44" t="s">
        <v>4460</v>
      </c>
    </row>
    <row r="81" spans="2:11" ht="18.75" x14ac:dyDescent="0.3">
      <c r="B81" s="11" t="s">
        <v>4445</v>
      </c>
      <c r="C81" s="11" t="s">
        <v>4433</v>
      </c>
      <c r="D81" s="11" t="s">
        <v>4434</v>
      </c>
      <c r="E81" s="11" t="s">
        <v>4435</v>
      </c>
      <c r="F81" s="11" t="s">
        <v>4436</v>
      </c>
      <c r="G81" s="11" t="s">
        <v>4444</v>
      </c>
      <c r="H81" s="11" t="s">
        <v>4436</v>
      </c>
      <c r="I81" s="43"/>
      <c r="J81" s="11" t="s">
        <v>4447</v>
      </c>
      <c r="K81" s="44"/>
    </row>
    <row r="82" spans="2:11" x14ac:dyDescent="0.25">
      <c r="B82" t="s">
        <v>4567</v>
      </c>
      <c r="C82">
        <v>3270</v>
      </c>
      <c r="D82" s="3" t="str" cm="1">
        <f t="array" ref="D82">IFERROR(_xlfn.XLOOKUP(TEXT(C82,"0000"),TEXT(Catalog!A:A,"0000"),Catalog!B:B),"")</f>
        <v xml:space="preserve">PICKENS 10W LED BULB          </v>
      </c>
      <c r="F82">
        <v>5</v>
      </c>
    </row>
    <row r="83" spans="2:11" x14ac:dyDescent="0.25">
      <c r="B83" t="s">
        <v>4567</v>
      </c>
      <c r="C83" s="23">
        <v>3104</v>
      </c>
      <c r="D83" s="3" t="str" cm="1">
        <f t="array" ref="D83">IFERROR(_xlfn.XLOOKUP(TEXT(C83,"0000"),TEXT(Catalog!A:A,"0000"),Catalog!B:B),"")</f>
        <v xml:space="preserve">FOCO LED A19 6W 540LM 6500K   </v>
      </c>
      <c r="E83" t="s">
        <v>4472</v>
      </c>
    </row>
    <row r="84" spans="2:11" x14ac:dyDescent="0.25">
      <c r="B84" t="s">
        <v>4567</v>
      </c>
      <c r="C84">
        <v>15095</v>
      </c>
      <c r="D84" s="3" t="str" cm="1">
        <f t="array" ref="D84">IFERROR(_xlfn.XLOOKUP(TEXT(C84,"0000"),TEXT(Catalog!A:A,"0000"),Catalog!B:B),"")</f>
        <v xml:space="preserve">INB CT338 (404 X 404 X120)    </v>
      </c>
      <c r="E84">
        <v>2</v>
      </c>
    </row>
    <row r="85" spans="2:11" x14ac:dyDescent="0.25">
      <c r="B85" t="s">
        <v>4567</v>
      </c>
      <c r="C85" s="23">
        <v>3104</v>
      </c>
      <c r="D85" s="3" t="str" cm="1">
        <f t="array" ref="D85">IFERROR(_xlfn.XLOOKUP(TEXT(C85,"0000"),TEXT(Catalog!A:A,"0000"),Catalog!B:B),"")</f>
        <v xml:space="preserve">FOCO LED A19 6W 540LM 6500K   </v>
      </c>
      <c r="E85" t="s">
        <v>4608</v>
      </c>
      <c r="F85" t="s">
        <v>4609</v>
      </c>
    </row>
    <row r="86" spans="2:11" x14ac:dyDescent="0.25">
      <c r="B86" t="s">
        <v>4567</v>
      </c>
      <c r="C86">
        <v>3263</v>
      </c>
      <c r="D86" s="3" t="str" cm="1">
        <f t="array" ref="D86">IFERROR(_xlfn.XLOOKUP(TEXT(C86,"0000"),TEXT(Catalog!A:A,"0000"),Catalog!B:B),"")</f>
        <v xml:space="preserve">PICKENS 6W LED BULB 6500 K    </v>
      </c>
      <c r="E86" t="s">
        <v>4602</v>
      </c>
    </row>
    <row r="87" spans="2:11" x14ac:dyDescent="0.25">
      <c r="B87" t="s">
        <v>4567</v>
      </c>
      <c r="C87">
        <v>3194</v>
      </c>
      <c r="D87" s="3" t="str" cm="1">
        <f t="array" ref="D87">IFERROR(_xlfn.XLOOKUP(TEXT(C87,"0000"),TEXT(Catalog!A:A,"0000"),Catalog!B:B),"")</f>
        <v xml:space="preserve">GLOEILAMP 100WATT CLEAR       </v>
      </c>
      <c r="E87" t="s">
        <v>4610</v>
      </c>
    </row>
    <row r="88" spans="2:11" x14ac:dyDescent="0.25">
      <c r="B88" t="s">
        <v>4567</v>
      </c>
      <c r="C88">
        <v>3249</v>
      </c>
      <c r="D88" s="3" t="str" cm="1">
        <f t="array" ref="D88">IFERROR(_xlfn.XLOOKUP(TEXT(C88,"0000"),TEXT(Catalog!A:A,"0000"),Catalog!B:B),"")</f>
        <v xml:space="preserve">SPIRALLAMP 20W 110-130V 50Hz  </v>
      </c>
      <c r="F88">
        <v>4</v>
      </c>
    </row>
    <row r="89" spans="2:11" x14ac:dyDescent="0.25">
      <c r="B89" t="s">
        <v>4567</v>
      </c>
      <c r="C89">
        <v>3199</v>
      </c>
      <c r="D89" s="3" t="str" cm="1">
        <f t="array" ref="D89">IFERROR(_xlfn.XLOOKUP(TEXT(C89,"0000"),TEXT(Catalog!A:A,"0000"),Catalog!B:B),"")</f>
        <v xml:space="preserve">GLOEILAMP 100WATT FROSTED     </v>
      </c>
      <c r="F89" t="s">
        <v>4611</v>
      </c>
    </row>
    <row r="90" spans="2:11" x14ac:dyDescent="0.25">
      <c r="B90" t="s">
        <v>4567</v>
      </c>
      <c r="C90">
        <v>3195</v>
      </c>
      <c r="D90" s="3" t="str" cm="1">
        <f t="array" ref="D90">IFERROR(_xlfn.XLOOKUP(TEXT(C90,"0000"),TEXT(Catalog!A:A,"0000"),Catalog!B:B),"")</f>
        <v xml:space="preserve">GLOEILAMP 25WATT FROSTED      </v>
      </c>
      <c r="F90" t="s">
        <v>4612</v>
      </c>
    </row>
    <row r="91" spans="2:11" x14ac:dyDescent="0.25">
      <c r="B91" t="s">
        <v>4567</v>
      </c>
      <c r="C91">
        <v>7112</v>
      </c>
      <c r="D91" s="3" t="str" cm="1">
        <f t="array" ref="D91">IFERROR(_xlfn.XLOOKUP(TEXT(C91,"0000"),TEXT(Catalog!A:A,"0000"),Catalog!B:B),"")</f>
        <v xml:space="preserve">ESL 211 20W SPIRAAL 127V      </v>
      </c>
      <c r="F91">
        <v>43</v>
      </c>
    </row>
    <row r="92" spans="2:11" x14ac:dyDescent="0.25">
      <c r="B92" t="s">
        <v>4567</v>
      </c>
      <c r="C92">
        <v>7102</v>
      </c>
      <c r="D92" s="3" t="str" cm="1">
        <f t="array" ref="D92">IFERROR(_xlfn.XLOOKUP(TEXT(C92,"0000"),TEXT(Catalog!A:A,"0000"),Catalog!B:B),"")</f>
        <v xml:space="preserve">ESL 305 SLIM 7W SPIRAAL 127V  </v>
      </c>
      <c r="F92">
        <v>43</v>
      </c>
    </row>
    <row r="93" spans="2:11" x14ac:dyDescent="0.25">
      <c r="B93" t="s">
        <v>4567</v>
      </c>
      <c r="C93">
        <v>3261</v>
      </c>
      <c r="D93" s="3" t="str" cm="1">
        <f t="array" ref="D93">IFERROR(_xlfn.XLOOKUP(TEXT(C93,"0000"),TEXT(Catalog!A:A,"0000"),Catalog!B:B),"")</f>
        <v xml:space="preserve">TL-BUIS 32W DL ROND           </v>
      </c>
      <c r="F93">
        <v>14</v>
      </c>
    </row>
    <row r="94" spans="2:11" x14ac:dyDescent="0.25">
      <c r="B94" t="s">
        <v>4567</v>
      </c>
      <c r="C94">
        <v>3245</v>
      </c>
      <c r="D94" s="3" t="str" cm="1">
        <f t="array" ref="D94">IFERROR(_xlfn.XLOOKUP(TEXT(C94,"0000"),TEXT(Catalog!A:A,"0000"),Catalog!B:B),"")</f>
        <v xml:space="preserve">PL LAMP 13 WATT               </v>
      </c>
      <c r="E94" t="s">
        <v>4553</v>
      </c>
    </row>
    <row r="95" spans="2:11" x14ac:dyDescent="0.25">
      <c r="B95" t="s">
        <v>4567</v>
      </c>
      <c r="C95">
        <v>3244</v>
      </c>
      <c r="D95" s="3" t="str" cm="1">
        <f t="array" ref="D95">IFERROR(_xlfn.XLOOKUP(TEXT(C95,"0000"),TEXT(Catalog!A:A,"0000"),Catalog!B:B),"")</f>
        <v xml:space="preserve">PL LAMP   9 WATT              </v>
      </c>
      <c r="E95" t="s">
        <v>4581</v>
      </c>
    </row>
    <row r="96" spans="2:11" x14ac:dyDescent="0.25">
      <c r="B96" t="s">
        <v>4567</v>
      </c>
      <c r="C96">
        <v>3243</v>
      </c>
      <c r="D96" s="3" t="str" cm="1">
        <f t="array" ref="D96">IFERROR(_xlfn.XLOOKUP(TEXT(C96,"0000"),TEXT(Catalog!A:A,"0000"),Catalog!B:B),"")</f>
        <v xml:space="preserve">PL LAMP   7 WATT              </v>
      </c>
      <c r="E96" t="s">
        <v>4581</v>
      </c>
    </row>
    <row r="97" spans="2:11" x14ac:dyDescent="0.25">
      <c r="B97" t="s">
        <v>4567</v>
      </c>
      <c r="C97">
        <v>3242</v>
      </c>
      <c r="D97" s="3" t="str" cm="1">
        <f t="array" ref="D97">IFERROR(_xlfn.XLOOKUP(TEXT(C97,"0000"),TEXT(Catalog!A:A,"0000"),Catalog!B:B),"")</f>
        <v xml:space="preserve">PL LAMP   5 WATT              </v>
      </c>
      <c r="E97" t="s">
        <v>4582</v>
      </c>
    </row>
    <row r="98" spans="2:11" x14ac:dyDescent="0.25">
      <c r="B98" t="s">
        <v>4567</v>
      </c>
      <c r="C98">
        <v>3196</v>
      </c>
      <c r="D98" s="3" t="str" cm="1">
        <f t="array" ref="D98">IFERROR(_xlfn.XLOOKUP(TEXT(C98,"0000"),TEXT(Catalog!A:A,"0000"),Catalog!B:B),"")</f>
        <v xml:space="preserve">GLOEILAMP 40WATT FROSTED      </v>
      </c>
      <c r="E98" t="s">
        <v>4613</v>
      </c>
      <c r="J98">
        <f>36*2</f>
        <v>72</v>
      </c>
    </row>
    <row r="99" spans="2:11" x14ac:dyDescent="0.25">
      <c r="B99" t="s">
        <v>4567</v>
      </c>
      <c r="C99">
        <v>3200</v>
      </c>
      <c r="D99" s="3" t="str" cm="1">
        <f t="array" ref="D99">IFERROR(_xlfn.XLOOKUP(TEXT(C99,"0000"),TEXT(Catalog!A:A,"0000"),Catalog!B:B),"")</f>
        <v xml:space="preserve">HALOGEENLAMP  300W 127 VOLT   </v>
      </c>
      <c r="E99" t="s">
        <v>4614</v>
      </c>
    </row>
    <row r="100" spans="2:11" x14ac:dyDescent="0.25">
      <c r="B100" t="s">
        <v>4567</v>
      </c>
      <c r="C100">
        <v>3010</v>
      </c>
      <c r="D100" s="3" t="str" cm="1">
        <f t="array" ref="D100">IFERROR(_xlfn.XLOOKUP(TEXT(C100,"0000"),TEXT(Catalog!A:A,"0000"),Catalog!B:B),"")</f>
        <v xml:space="preserve">BUIGVEER 5/8" 1 mtr           </v>
      </c>
      <c r="F100">
        <v>13</v>
      </c>
    </row>
    <row r="101" spans="2:11" x14ac:dyDescent="0.25">
      <c r="B101" t="s">
        <v>4567</v>
      </c>
      <c r="C101">
        <v>3013</v>
      </c>
      <c r="D101" s="3" t="str" cm="1">
        <f t="array" ref="D101">IFERROR(_xlfn.XLOOKUP(TEXT(C101,"0000"),TEXT(Catalog!A:A,"0000"),Catalog!B:B),"")</f>
        <v xml:space="preserve">BUIGVEER 5/8" 2 mtr           </v>
      </c>
      <c r="F101">
        <v>3</v>
      </c>
    </row>
    <row r="104" spans="2:11" ht="24" x14ac:dyDescent="0.4">
      <c r="B104" s="42" t="s">
        <v>4615</v>
      </c>
      <c r="C104" s="42"/>
      <c r="D104" s="42"/>
      <c r="E104" s="42"/>
      <c r="F104" s="42"/>
      <c r="G104" s="42"/>
      <c r="H104" s="42"/>
      <c r="I104" s="43" t="s">
        <v>4459</v>
      </c>
      <c r="J104" s="13" t="s">
        <v>4432</v>
      </c>
      <c r="K104" s="44" t="s">
        <v>4460</v>
      </c>
    </row>
    <row r="105" spans="2:11" ht="18.75" x14ac:dyDescent="0.3">
      <c r="B105" s="11" t="s">
        <v>4445</v>
      </c>
      <c r="C105" s="11" t="s">
        <v>4433</v>
      </c>
      <c r="D105" s="11" t="s">
        <v>4434</v>
      </c>
      <c r="E105" s="11" t="s">
        <v>4435</v>
      </c>
      <c r="F105" s="11" t="s">
        <v>4436</v>
      </c>
      <c r="G105" s="11" t="s">
        <v>4444</v>
      </c>
      <c r="H105" s="11" t="s">
        <v>4436</v>
      </c>
      <c r="I105" s="43"/>
      <c r="J105" s="11" t="s">
        <v>4447</v>
      </c>
      <c r="K105" s="44"/>
    </row>
    <row r="106" spans="2:11" x14ac:dyDescent="0.25">
      <c r="B106" t="s">
        <v>4567</v>
      </c>
      <c r="C106">
        <v>1333</v>
      </c>
      <c r="D106" s="3" t="str" cm="1">
        <f t="array" ref="D106">IFERROR(_xlfn.XLOOKUP(TEXT(C106,"0000"),TEXT(Catalog!A:A,"0000"),Catalog!B:B),"")</f>
        <v xml:space="preserve">MOERKLEM APC 50/70            </v>
      </c>
      <c r="F106" t="s">
        <v>4595</v>
      </c>
    </row>
    <row r="107" spans="2:11" x14ac:dyDescent="0.25">
      <c r="B107" t="s">
        <v>4567</v>
      </c>
      <c r="C107">
        <v>1362</v>
      </c>
      <c r="D107" s="3" t="str" cm="1">
        <f t="array" ref="D107">IFERROR(_xlfn.XLOOKUP(TEXT(C107,"0000"),TEXT(Catalog!A:A,"0000"),Catalog!B:B),"")</f>
        <v xml:space="preserve">SPAANPLAAT SCHR.3.9x25 (1x8)  </v>
      </c>
      <c r="F107" t="s">
        <v>4616</v>
      </c>
    </row>
    <row r="108" spans="2:11" x14ac:dyDescent="0.25">
      <c r="B108" t="s">
        <v>4567</v>
      </c>
      <c r="C108">
        <v>1365</v>
      </c>
      <c r="D108" s="3" t="str" cm="1">
        <f t="array" ref="D108">IFERROR(_xlfn.XLOOKUP(TEXT(C108,"0000"),TEXT(Catalog!A:A,"0000"),Catalog!B:B),"")</f>
        <v xml:space="preserve">SPAANPLAAT SCHR.3.5x45        </v>
      </c>
      <c r="F108" t="s">
        <v>4617</v>
      </c>
      <c r="G108">
        <v>7</v>
      </c>
      <c r="K108" t="s">
        <v>4618</v>
      </c>
    </row>
    <row r="109" spans="2:11" x14ac:dyDescent="0.25">
      <c r="B109" t="s">
        <v>4567</v>
      </c>
      <c r="C109">
        <v>1324</v>
      </c>
      <c r="D109" s="3" t="str" cm="1">
        <f t="array" ref="D109">IFERROR(_xlfn.XLOOKUP(TEXT(C109,"0000"),TEXT(Catalog!A:A,"0000"),Catalog!B:B),"")</f>
        <v/>
      </c>
      <c r="G109">
        <v>2</v>
      </c>
    </row>
    <row r="110" spans="2:11" x14ac:dyDescent="0.25">
      <c r="B110" t="s">
        <v>4567</v>
      </c>
      <c r="C110">
        <v>1361</v>
      </c>
      <c r="D110" s="3" t="str" cm="1">
        <f t="array" ref="D110">IFERROR(_xlfn.XLOOKUP(TEXT(C110,"0000"),TEXT(Catalog!A:A,"0000"),Catalog!B:B),"")</f>
        <v>SPAANPLAAT SCHR.4.0x20 (3/4x8)</v>
      </c>
      <c r="F110" t="s">
        <v>4619</v>
      </c>
    </row>
    <row r="111" spans="2:11" x14ac:dyDescent="0.25">
      <c r="B111" t="s">
        <v>4567</v>
      </c>
      <c r="C111">
        <v>1360</v>
      </c>
      <c r="D111" s="3" t="str" cm="1">
        <f t="array" ref="D111">IFERROR(_xlfn.XLOOKUP(TEXT(C111,"0000"),TEXT(Catalog!A:A,"0000"),Catalog!B:B),"")</f>
        <v xml:space="preserve">SPAANPLAAT SCHR.3.5x25 (1x6)  </v>
      </c>
      <c r="F111" t="s">
        <v>4620</v>
      </c>
    </row>
    <row r="112" spans="2:11" x14ac:dyDescent="0.25">
      <c r="B112" t="s">
        <v>4567</v>
      </c>
      <c r="C112">
        <v>1362</v>
      </c>
      <c r="D112" s="3" t="str" cm="1">
        <f t="array" ref="D112">IFERROR(_xlfn.XLOOKUP(TEXT(C112,"0000"),TEXT(Catalog!A:A,"0000"),Catalog!B:B),"")</f>
        <v xml:space="preserve">SPAANPLAAT SCHR.3.9x25 (1x8)  </v>
      </c>
      <c r="F112" t="s">
        <v>4620</v>
      </c>
    </row>
    <row r="113" spans="2:11" x14ac:dyDescent="0.25">
      <c r="B113" t="s">
        <v>4567</v>
      </c>
      <c r="C113">
        <v>1363</v>
      </c>
      <c r="D113" s="3" t="str" cm="1">
        <f t="array" ref="D113">IFERROR(_xlfn.XLOOKUP(TEXT(C113,"0000"),TEXT(Catalog!A:A,"0000"),Catalog!B:B),"")</f>
        <v>SPAANPLAAT SCHR.4.0x35(11/4x8)</v>
      </c>
      <c r="F113" t="s">
        <v>4620</v>
      </c>
    </row>
    <row r="114" spans="2:11" x14ac:dyDescent="0.25">
      <c r="B114" t="s">
        <v>4567</v>
      </c>
      <c r="C114">
        <v>1353</v>
      </c>
      <c r="D114" s="3" t="str" cm="1">
        <f t="array" ref="D114">IFERROR(_xlfn.XLOOKUP(TEXT(C114,"0000"),TEXT(Catalog!A:A,"0000"),Catalog!B:B),"")</f>
        <v xml:space="preserve">HOUTSCHR IJZ 4.0x25 (1x8)     </v>
      </c>
      <c r="F114" t="s">
        <v>4621</v>
      </c>
    </row>
    <row r="115" spans="2:11" x14ac:dyDescent="0.25">
      <c r="B115" t="s">
        <v>4567</v>
      </c>
      <c r="C115">
        <v>3269</v>
      </c>
      <c r="D115" s="3" t="str" cm="1">
        <f t="array" ref="D115">IFERROR(_xlfn.XLOOKUP(TEXT(C115,"0000"),TEXT(Catalog!A:A,"0000"),Catalog!B:B),"")</f>
        <v xml:space="preserve">PICKENS LED 5.5W GU 10        </v>
      </c>
      <c r="G115">
        <v>53</v>
      </c>
    </row>
    <row r="116" spans="2:11" x14ac:dyDescent="0.25">
      <c r="B116" t="s">
        <v>4567</v>
      </c>
      <c r="C116">
        <v>3264</v>
      </c>
      <c r="D116" s="3" t="str" cm="1">
        <f t="array" ref="D116">IFERROR(_xlfn.XLOOKUP(TEXT(C116,"0000"),TEXT(Catalog!A:A,"0000"),Catalog!B:B),"")</f>
        <v>PICKENS 6W LED BULB 4000K SEMI</v>
      </c>
      <c r="G116">
        <v>44</v>
      </c>
    </row>
    <row r="117" spans="2:11" x14ac:dyDescent="0.25">
      <c r="B117" t="s">
        <v>4567</v>
      </c>
      <c r="C117">
        <v>3265</v>
      </c>
      <c r="D117" s="3" t="str" cm="1">
        <f t="array" ref="D117">IFERROR(_xlfn.XLOOKUP(TEXT(C117,"0000"),TEXT(Catalog!A:A,"0000"),Catalog!B:B),"")</f>
        <v xml:space="preserve">PICKENS 7W LED BULB           </v>
      </c>
      <c r="G117">
        <v>31</v>
      </c>
    </row>
    <row r="118" spans="2:11" x14ac:dyDescent="0.25">
      <c r="B118" t="s">
        <v>4567</v>
      </c>
      <c r="C118">
        <v>3333</v>
      </c>
      <c r="D118" s="3" t="str" cm="1">
        <f t="array" ref="D118">IFERROR(_xlfn.XLOOKUP(TEXT(C118,"0000"),TEXT(Catalog!A:A,"0000"),Catalog!B:B),"")</f>
        <v xml:space="preserve">PICKENS 6 WATT 6500K LED SPOT </v>
      </c>
      <c r="F118" t="s">
        <v>4553</v>
      </c>
      <c r="G118">
        <v>41</v>
      </c>
    </row>
    <row r="119" spans="2:11" x14ac:dyDescent="0.25">
      <c r="B119" t="s">
        <v>4567</v>
      </c>
      <c r="C119">
        <v>3120</v>
      </c>
      <c r="D119" s="3" t="str" cm="1">
        <f t="array" ref="D119">IFERROR(_xlfn.XLOOKUP(TEXT(C119,"0000"),TEXT(Catalog!A:A,"0000"),Catalog!B:B),"")</f>
        <v xml:space="preserve">RECESADO REDONDO 3W  3000K    </v>
      </c>
      <c r="F119" t="s">
        <v>4449</v>
      </c>
      <c r="G119">
        <v>9</v>
      </c>
    </row>
    <row r="120" spans="2:11" x14ac:dyDescent="0.25">
      <c r="B120" s="22">
        <v>46055</v>
      </c>
      <c r="C120">
        <v>3268</v>
      </c>
      <c r="D120" s="3" t="str" cm="1">
        <f t="array" ref="D120">IFERROR(_xlfn.XLOOKUP(TEXT(C120,"0000"),TEXT(Catalog!A:A,"0000"),Catalog!B:B),"")</f>
        <v xml:space="preserve">PICKENS 5W LED BULB 6500K     </v>
      </c>
      <c r="F120" t="s">
        <v>4622</v>
      </c>
      <c r="G120" t="s">
        <v>4623</v>
      </c>
    </row>
    <row r="121" spans="2:11" x14ac:dyDescent="0.25">
      <c r="B121" s="22">
        <v>46055</v>
      </c>
      <c r="C121">
        <v>3309</v>
      </c>
      <c r="D121" s="3" t="str" cm="1">
        <f t="array" ref="D121">IFERROR(_xlfn.XLOOKUP(TEXT(C121,"0000"),TEXT(Catalog!A:A,"0000"),Catalog!B:B),"")</f>
        <v>6WATT LED PANEL LIGHT 1409-Y-6</v>
      </c>
      <c r="F121" t="s">
        <v>4624</v>
      </c>
      <c r="G121">
        <v>14</v>
      </c>
    </row>
    <row r="122" spans="2:11" x14ac:dyDescent="0.25">
      <c r="B122" s="22">
        <v>46055</v>
      </c>
      <c r="C122">
        <v>11482</v>
      </c>
      <c r="D122" s="3" t="str" cm="1">
        <f t="array" ref="D122">IFERROR(_xlfn.XLOOKUP(TEXT(C122,"0000"),TEXT(Catalog!A:A,"0000"),Catalog!B:B),"")</f>
        <v xml:space="preserve">DEKSEL DOOS PLASTIC 4x4 WIT   </v>
      </c>
      <c r="F122" t="s">
        <v>4625</v>
      </c>
    </row>
    <row r="123" spans="2:11" x14ac:dyDescent="0.25">
      <c r="B123" s="22">
        <v>46055</v>
      </c>
      <c r="C123">
        <v>3124</v>
      </c>
      <c r="D123" s="3" t="str" cm="1">
        <f t="array" ref="D123">IFERROR(_xlfn.XLOOKUP(TEXT(C123,"0000"),TEXT(Catalog!A:A,"0000"),Catalog!B:B),"")</f>
        <v xml:space="preserve">REFLECTOR LED 200W 18000LM    </v>
      </c>
      <c r="F123" t="s">
        <v>4626</v>
      </c>
    </row>
    <row r="126" spans="2:11" ht="24" x14ac:dyDescent="0.4">
      <c r="B126" s="42" t="s">
        <v>4627</v>
      </c>
      <c r="C126" s="42"/>
      <c r="D126" s="42"/>
      <c r="E126" s="42"/>
      <c r="F126" s="42"/>
      <c r="G126" s="42"/>
      <c r="H126" s="42"/>
      <c r="I126" s="43" t="s">
        <v>4459</v>
      </c>
      <c r="J126" s="13" t="s">
        <v>4432</v>
      </c>
      <c r="K126" s="44" t="s">
        <v>4460</v>
      </c>
    </row>
    <row r="127" spans="2:11" ht="18.75" x14ac:dyDescent="0.3">
      <c r="B127" s="11" t="s">
        <v>4445</v>
      </c>
      <c r="C127" s="11" t="s">
        <v>4433</v>
      </c>
      <c r="D127" s="11" t="s">
        <v>4434</v>
      </c>
      <c r="E127" s="11" t="s">
        <v>4435</v>
      </c>
      <c r="F127" s="11" t="s">
        <v>4436</v>
      </c>
      <c r="G127" s="11" t="s">
        <v>4444</v>
      </c>
      <c r="H127" s="11" t="s">
        <v>4436</v>
      </c>
      <c r="I127" s="43"/>
      <c r="J127" s="11" t="s">
        <v>4447</v>
      </c>
      <c r="K127" s="44"/>
    </row>
    <row r="128" spans="2:11" x14ac:dyDescent="0.25">
      <c r="B128" s="22">
        <v>46083</v>
      </c>
      <c r="C128">
        <v>15142</v>
      </c>
      <c r="D128" s="3" t="str" cm="1">
        <f t="array" ref="D128">IFERROR(_xlfn.XLOOKUP(TEXT(C128,"0000"),TEXT(Catalog!A:A,"0000"),Catalog!B:B),"")</f>
        <v xml:space="preserve">OPBOUW KAST WD CSG13PT/RR     </v>
      </c>
      <c r="E128" t="s">
        <v>4628</v>
      </c>
    </row>
    <row r="129" spans="2:11" x14ac:dyDescent="0.25">
      <c r="B129" s="22">
        <v>46083</v>
      </c>
      <c r="C129" s="21" t="s">
        <v>4629</v>
      </c>
      <c r="D129" s="3" t="str" cm="1">
        <f t="array" ref="D129">IFERROR(_xlfn.XLOOKUP(TEXT(C129,"0000"),TEXT(Catalog!A:A,"0000"),Catalog!B:B),"")</f>
        <v xml:space="preserve">CENTRAALDOOS ROND 80MM C80    </v>
      </c>
      <c r="E129" t="s">
        <v>4600</v>
      </c>
    </row>
    <row r="130" spans="2:11" x14ac:dyDescent="0.25">
      <c r="B130" s="22">
        <v>46083</v>
      </c>
      <c r="C130">
        <v>15146</v>
      </c>
      <c r="D130" s="3" t="str" cm="1">
        <f t="array" ref="D130">IFERROR(_xlfn.XLOOKUP(TEXT(C130,"0000"),TEXT(Catalog!A:A,"0000"),Catalog!B:B),"")</f>
        <v xml:space="preserve">OPB.KAST WD 18MD CDP 18PT/RR  </v>
      </c>
      <c r="E130" t="s">
        <v>4630</v>
      </c>
    </row>
    <row r="131" spans="2:11" x14ac:dyDescent="0.25">
      <c r="B131" s="22">
        <v>46083</v>
      </c>
      <c r="C131">
        <v>1154</v>
      </c>
      <c r="D131" s="3" t="str" cm="1">
        <f t="array" ref="D131">IFERROR(_xlfn.XLOOKUP(TEXT(C131,"0000"),TEXT(Catalog!A:A,"0000"),Catalog!B:B),"")</f>
        <v xml:space="preserve">INB D CARLON 2X4 PLASTIC      </v>
      </c>
      <c r="E131" t="s">
        <v>4650</v>
      </c>
    </row>
    <row r="132" spans="2:11" x14ac:dyDescent="0.25">
      <c r="B132" s="22"/>
      <c r="C132" s="21" t="s">
        <v>4629</v>
      </c>
      <c r="D132" s="3" t="str" cm="1">
        <f t="array" ref="D132">IFERROR(_xlfn.XLOOKUP(TEXT(C132,"0000"),TEXT(Catalog!A:A,"0000"),Catalog!B:B),"")</f>
        <v xml:space="preserve">CENTRAALDOOS ROND 80MM C80    </v>
      </c>
      <c r="E132" t="s">
        <v>4553</v>
      </c>
    </row>
    <row r="133" spans="2:11" x14ac:dyDescent="0.25">
      <c r="B133" s="22"/>
      <c r="C133" s="21" t="s">
        <v>4666</v>
      </c>
      <c r="D133" s="3" t="str" cm="1">
        <f t="array" ref="D133">IFERROR(_xlfn.XLOOKUP(TEXT(C133,"0000"),TEXT(Catalog!A:A,"0000"),Catalog!B:B),"")</f>
        <v xml:space="preserve">MOFFEN 1,5"                   </v>
      </c>
      <c r="E133" t="s">
        <v>4667</v>
      </c>
    </row>
    <row r="134" spans="2:11" x14ac:dyDescent="0.25">
      <c r="B134" s="22"/>
      <c r="C134">
        <v>11541</v>
      </c>
      <c r="D134" s="3" t="str" cm="1">
        <f t="array" ref="D134">IFERROR(_xlfn.XLOOKUP(TEXT(C134,"0000"),TEXT(Catalog!A:A,"0000"),Catalog!B:B),"")</f>
        <v xml:space="preserve">INB D CARLON GIPS 2X4 PLASTIC </v>
      </c>
      <c r="E134">
        <v>1</v>
      </c>
    </row>
    <row r="137" spans="2:11" ht="24" x14ac:dyDescent="0.4">
      <c r="B137" s="42" t="s">
        <v>4631</v>
      </c>
      <c r="C137" s="42"/>
      <c r="D137" s="42"/>
      <c r="E137" s="42"/>
      <c r="F137" s="42"/>
      <c r="G137" s="42"/>
      <c r="H137" s="42"/>
      <c r="I137" s="43" t="s">
        <v>4459</v>
      </c>
      <c r="J137" s="13" t="s">
        <v>4432</v>
      </c>
      <c r="K137" s="44" t="s">
        <v>4460</v>
      </c>
    </row>
    <row r="138" spans="2:11" ht="18.75" x14ac:dyDescent="0.3">
      <c r="B138" s="11" t="s">
        <v>4445</v>
      </c>
      <c r="C138" s="11" t="s">
        <v>4433</v>
      </c>
      <c r="D138" s="11" t="s">
        <v>4434</v>
      </c>
      <c r="E138" s="11" t="s">
        <v>4435</v>
      </c>
      <c r="F138" s="11" t="s">
        <v>4436</v>
      </c>
      <c r="G138" s="11" t="s">
        <v>4444</v>
      </c>
      <c r="H138" s="11" t="s">
        <v>4436</v>
      </c>
      <c r="I138" s="43"/>
      <c r="J138" s="11" t="s">
        <v>4447</v>
      </c>
      <c r="K138" s="44"/>
    </row>
    <row r="139" spans="2:11" x14ac:dyDescent="0.25">
      <c r="B139" s="22">
        <v>46083</v>
      </c>
      <c r="C139">
        <v>15147</v>
      </c>
      <c r="D139" s="3" t="str" cm="1">
        <f t="array" ref="D139">IFERROR(_xlfn.XLOOKUP(TEXT(C139,"0000"),TEXT(Catalog!A:A,"0000"),Catalog!B:B),"")</f>
        <v>OPB.KAST WD 36MD CDP 36PT2F/RR</v>
      </c>
      <c r="E139" t="s">
        <v>4628</v>
      </c>
    </row>
    <row r="140" spans="2:11" x14ac:dyDescent="0.25">
      <c r="B140" s="22">
        <v>46083</v>
      </c>
      <c r="C140">
        <v>15146</v>
      </c>
      <c r="D140" s="3" t="str" cm="1">
        <f t="array" ref="D140">IFERROR(_xlfn.XLOOKUP(TEXT(C140,"0000"),TEXT(Catalog!A:A,"0000"),Catalog!B:B),"")</f>
        <v xml:space="preserve">OPB.KAST WD 18MD CDP 18PT/RR  </v>
      </c>
      <c r="E140" t="s">
        <v>4632</v>
      </c>
    </row>
    <row r="141" spans="2:11" x14ac:dyDescent="0.25">
      <c r="B141" s="22">
        <v>46083</v>
      </c>
      <c r="C141" s="21" t="s">
        <v>4593</v>
      </c>
      <c r="D141" s="3" t="str" cm="1">
        <f t="array" ref="D141">IFERROR(_xlfn.XLOOKUP(TEXT(C141,"0000"),TEXT(Catalog!A:A,"0000"),Catalog!B:B),"")</f>
        <v xml:space="preserve">MOFFEN   5/8"                 </v>
      </c>
      <c r="E141" t="s">
        <v>4649</v>
      </c>
      <c r="J141">
        <f>12*800</f>
        <v>9600</v>
      </c>
    </row>
    <row r="142" spans="2:11" x14ac:dyDescent="0.25">
      <c r="B142" s="22">
        <v>46083</v>
      </c>
      <c r="C142" s="21" t="s">
        <v>4648</v>
      </c>
      <c r="D142" s="3" t="str" cm="1">
        <f t="array" ref="D142">IFERROR(_xlfn.XLOOKUP(TEXT(C142,"0000"),TEXT(Catalog!A:A,"0000"),Catalog!B:B),"")</f>
        <v xml:space="preserve">BOCHT 1,5"                    </v>
      </c>
      <c r="E142" t="s">
        <v>4650</v>
      </c>
      <c r="J142">
        <f>4*25</f>
        <v>100</v>
      </c>
    </row>
    <row r="145" spans="2:11" ht="24" x14ac:dyDescent="0.4">
      <c r="B145" s="42" t="s">
        <v>4633</v>
      </c>
      <c r="C145" s="42"/>
      <c r="D145" s="42"/>
      <c r="E145" s="42"/>
      <c r="F145" s="42"/>
      <c r="G145" s="42"/>
      <c r="H145" s="42"/>
      <c r="I145" s="43" t="s">
        <v>4459</v>
      </c>
      <c r="J145" s="13" t="s">
        <v>4432</v>
      </c>
      <c r="K145" s="44" t="s">
        <v>4460</v>
      </c>
    </row>
    <row r="146" spans="2:11" ht="18.75" x14ac:dyDescent="0.3">
      <c r="B146" s="11" t="s">
        <v>4445</v>
      </c>
      <c r="C146" s="11" t="s">
        <v>4433</v>
      </c>
      <c r="D146" s="11" t="s">
        <v>4434</v>
      </c>
      <c r="E146" s="11" t="s">
        <v>4435</v>
      </c>
      <c r="F146" s="11" t="s">
        <v>4436</v>
      </c>
      <c r="G146" s="11" t="s">
        <v>4444</v>
      </c>
      <c r="H146" s="11" t="s">
        <v>4436</v>
      </c>
      <c r="I146" s="43"/>
      <c r="J146" s="11" t="s">
        <v>4447</v>
      </c>
      <c r="K146" s="44"/>
    </row>
    <row r="147" spans="2:11" x14ac:dyDescent="0.25">
      <c r="B147" s="22">
        <v>46083</v>
      </c>
      <c r="C147" s="21" t="s">
        <v>4634</v>
      </c>
      <c r="D147" s="3" t="str" cm="1">
        <f t="array" ref="D147">IFERROR(_xlfn.XLOOKUP(TEXT(C147,"0000"),TEXT(Catalog!A:A,"0000"),Catalog!B:B),"")</f>
        <v xml:space="preserve">ZADELS 9-10 mm VERT           </v>
      </c>
      <c r="E147" t="s">
        <v>4636</v>
      </c>
    </row>
    <row r="148" spans="2:11" x14ac:dyDescent="0.25">
      <c r="B148" s="22">
        <v>46083</v>
      </c>
      <c r="C148" s="21" t="s">
        <v>4635</v>
      </c>
      <c r="D148" s="3" t="str" cm="1">
        <f t="array" ref="D148">IFERROR(_xlfn.XLOOKUP(TEXT(C148,"0000"),TEXT(Catalog!A:A,"0000"),Catalog!B:B),"")</f>
        <v xml:space="preserve">ZADELS ROOD 25mm (1duim)      </v>
      </c>
      <c r="E148" t="s">
        <v>4637</v>
      </c>
    </row>
    <row r="149" spans="2:11" x14ac:dyDescent="0.25">
      <c r="B149" s="22">
        <v>46083</v>
      </c>
      <c r="C149" s="21" t="s">
        <v>4638</v>
      </c>
      <c r="D149" s="3" t="str" cm="1">
        <f t="array" ref="D149">IFERROR(_xlfn.XLOOKUP(TEXT(C149,"0000"),TEXT(Catalog!A:A,"0000"),Catalog!B:B),"")</f>
        <v xml:space="preserve">ZADELS 11- 12 mm VERT         </v>
      </c>
      <c r="E149" t="s">
        <v>4636</v>
      </c>
    </row>
    <row r="150" spans="2:11" x14ac:dyDescent="0.25">
      <c r="B150" s="22">
        <v>46083</v>
      </c>
      <c r="C150" s="21" t="s">
        <v>4639</v>
      </c>
      <c r="D150" s="3" t="str" cm="1">
        <f t="array" ref="D150">IFERROR(_xlfn.XLOOKUP(TEXT(C150,"0000"),TEXT(Catalog!A:A,"0000"),Catalog!B:B),"")</f>
        <v xml:space="preserve">ZADELS ROOD 50mm (2 duim)     </v>
      </c>
      <c r="E150" t="s">
        <v>4642</v>
      </c>
    </row>
    <row r="151" spans="2:11" x14ac:dyDescent="0.25">
      <c r="B151" s="22">
        <v>46083</v>
      </c>
      <c r="C151" s="21" t="s">
        <v>4640</v>
      </c>
      <c r="D151" s="3" t="str" cm="1">
        <f t="array" ref="D151">IFERROR(_xlfn.XLOOKUP(TEXT(C151,"0000"),TEXT(Catalog!A:A,"0000"),Catalog!B:B),"")</f>
        <v xml:space="preserve">ZADELS 2x5/8"                 </v>
      </c>
      <c r="E151" t="s">
        <v>4643</v>
      </c>
    </row>
    <row r="152" spans="2:11" x14ac:dyDescent="0.25">
      <c r="B152" s="22">
        <v>46083</v>
      </c>
      <c r="C152" s="21" t="s">
        <v>4641</v>
      </c>
      <c r="D152" s="3" t="str" cm="1">
        <f t="array" ref="D152">IFERROR(_xlfn.XLOOKUP(TEXT(C152,"0000"),TEXT(Catalog!A:A,"0000"),Catalog!B:B),"")</f>
        <v>ZADELS 5/8" - 15-16mm gemenied</v>
      </c>
      <c r="E152" t="s">
        <v>4644</v>
      </c>
    </row>
    <row r="153" spans="2:11" x14ac:dyDescent="0.25">
      <c r="B153" s="22">
        <v>46083</v>
      </c>
      <c r="C153">
        <v>1906</v>
      </c>
      <c r="D153" s="3" t="str" cm="1">
        <f t="array" ref="D153">IFERROR(_xlfn.XLOOKUP(TEXT(C153,"0000"),TEXT(Catalog!A:A,"0000"),Catalog!B:B),"")</f>
        <v>HH 1014.939 AARDRAILSET 219 MM</v>
      </c>
      <c r="F153">
        <v>1</v>
      </c>
    </row>
    <row r="154" spans="2:11" x14ac:dyDescent="0.25">
      <c r="B154" s="22">
        <v>46083</v>
      </c>
      <c r="C154">
        <v>1307</v>
      </c>
      <c r="D154" s="3" t="str" cm="1">
        <f t="array" ref="D154">IFERROR(_xlfn.XLOOKUP(TEXT(C154,"0000"),TEXT(Catalog!A:A,"0000"),Catalog!B:B),"")</f>
        <v xml:space="preserve">AARDRAIL 63AMP BLANK KOPER    </v>
      </c>
      <c r="F154">
        <v>4</v>
      </c>
    </row>
    <row r="155" spans="2:11" x14ac:dyDescent="0.25">
      <c r="B155" s="22">
        <v>46083</v>
      </c>
      <c r="C155">
        <v>1309</v>
      </c>
      <c r="D155" s="3" t="str" cm="1">
        <f t="array" ref="D155">IFERROR(_xlfn.XLOOKUP(TEXT(C155,"0000"),TEXT(Catalog!A:A,"0000"),Catalog!B:B),"")</f>
        <v xml:space="preserve">AARDKLEM 1/8"                 </v>
      </c>
      <c r="F155" t="s">
        <v>4645</v>
      </c>
    </row>
    <row r="156" spans="2:11" x14ac:dyDescent="0.25">
      <c r="B156" s="22">
        <v>46083</v>
      </c>
      <c r="C156">
        <v>1305</v>
      </c>
      <c r="D156" s="3" t="str" cm="1">
        <f t="array" ref="D156">IFERROR(_xlfn.XLOOKUP(TEXT(C156,"0000"),TEXT(Catalog!A:A,"0000"),Catalog!B:B),"")</f>
        <v xml:space="preserve">AARDRAIL VERN 15 X 4 MM       </v>
      </c>
      <c r="F156" t="s">
        <v>4614</v>
      </c>
      <c r="K156" t="s">
        <v>4647</v>
      </c>
    </row>
    <row r="157" spans="2:11" x14ac:dyDescent="0.25">
      <c r="B157" s="22">
        <v>46083</v>
      </c>
      <c r="C157">
        <v>1306</v>
      </c>
      <c r="D157" s="3" t="str" cm="1">
        <f t="array" ref="D157">IFERROR(_xlfn.XLOOKUP(TEXT(C157,"0000"),TEXT(Catalog!A:A,"0000"),Catalog!B:B),"")</f>
        <v xml:space="preserve">AARDRAIL VERN 20 X 5 MM       </v>
      </c>
      <c r="F157" t="s">
        <v>4646</v>
      </c>
    </row>
    <row r="158" spans="2:11" x14ac:dyDescent="0.25">
      <c r="B158" s="22">
        <v>46083</v>
      </c>
      <c r="C158">
        <v>3334</v>
      </c>
      <c r="D158" s="3" t="str" cm="1">
        <f t="array" ref="D158">IFERROR(_xlfn.XLOOKUP(TEXT(C158,"0000"),TEXT(Catalog!A:A,"0000"),Catalog!B:B),"")</f>
        <v>PICKENS LED OPB ROND 12W 6500K</v>
      </c>
      <c r="E158" t="s">
        <v>4653</v>
      </c>
      <c r="J158">
        <f>2*30</f>
        <v>60</v>
      </c>
    </row>
    <row r="159" spans="2:11" x14ac:dyDescent="0.25">
      <c r="B159" s="22">
        <v>46083</v>
      </c>
      <c r="C159">
        <v>16351</v>
      </c>
      <c r="D159" s="3" t="str" cm="1">
        <f t="array" ref="D159">IFERROR(_xlfn.XLOOKUP(TEXT(C159,"0000"),TEXT(Catalog!A:A,"0000"),Catalog!B:B),"")</f>
        <v xml:space="preserve">PACK SUP S72P200              </v>
      </c>
      <c r="E159">
        <v>2</v>
      </c>
    </row>
    <row r="160" spans="2:11" x14ac:dyDescent="0.25">
      <c r="B160" s="22">
        <v>46083</v>
      </c>
      <c r="C160">
        <v>1635</v>
      </c>
      <c r="D160" s="3" t="str" cm="1">
        <f t="array" ref="D160">IFERROR(_xlfn.XLOOKUP(TEXT(C160,"0000"),TEXT(Catalog!A:A,"0000"),Catalog!B:B),"")</f>
        <v xml:space="preserve">PACK SUP S96P200              </v>
      </c>
      <c r="E160">
        <v>4</v>
      </c>
    </row>
    <row r="161" spans="2:11" x14ac:dyDescent="0.25">
      <c r="B161" s="22">
        <v>46083</v>
      </c>
      <c r="C161">
        <v>1634</v>
      </c>
      <c r="D161" s="3" t="str" cm="1">
        <f t="array" ref="D161">IFERROR(_xlfn.XLOOKUP(TEXT(C161,"0000"),TEXT(Catalog!A:A,"0000"),Catalog!B:B),"")</f>
        <v xml:space="preserve">PACKSUP S120P200              </v>
      </c>
      <c r="E161">
        <v>6</v>
      </c>
      <c r="F161">
        <v>6</v>
      </c>
    </row>
    <row r="162" spans="2:11" x14ac:dyDescent="0.25">
      <c r="B162" s="22">
        <v>46083</v>
      </c>
      <c r="C162">
        <v>1633</v>
      </c>
      <c r="D162" s="3" t="str" cm="1">
        <f t="array" ref="D162">IFERROR(_xlfn.XLOOKUP(TEXT(C162,"0000"),TEXT(Catalog!A:A,"0000"),Catalog!B:B),"")</f>
        <v xml:space="preserve">PACKSUP S144P200              </v>
      </c>
      <c r="E162">
        <v>1</v>
      </c>
      <c r="F162">
        <v>4</v>
      </c>
    </row>
    <row r="163" spans="2:11" x14ac:dyDescent="0.25">
      <c r="B163" s="22">
        <v>46083</v>
      </c>
      <c r="C163">
        <v>8012</v>
      </c>
      <c r="D163" s="3" t="str" cm="1">
        <f t="array" ref="D163">IFERROR(_xlfn.XLOOKUP(TEXT(C163,"0000"),TEXT(Catalog!A:A,"0000"),Catalog!B:B),"")</f>
        <v xml:space="preserve">Fuse-Holder FPG1 Slotted IP40 </v>
      </c>
      <c r="E163" t="s">
        <v>4654</v>
      </c>
      <c r="J163">
        <v>370</v>
      </c>
    </row>
    <row r="164" spans="2:11" x14ac:dyDescent="0.25">
      <c r="B164" s="22">
        <v>46083</v>
      </c>
      <c r="C164" s="21" t="s">
        <v>4651</v>
      </c>
      <c r="D164" s="3" t="str" cm="1">
        <f t="array" ref="D164">IFERROR(_xlfn.XLOOKUP(TEXT(C164,"0000"),TEXT(Catalog!A:A,"0000"),Catalog!B:B),"")</f>
        <v/>
      </c>
      <c r="E164" t="s">
        <v>4655</v>
      </c>
      <c r="J164">
        <v>800</v>
      </c>
      <c r="K164" t="s">
        <v>4652</v>
      </c>
    </row>
    <row r="165" spans="2:11" x14ac:dyDescent="0.25">
      <c r="B165" s="22">
        <v>46083</v>
      </c>
      <c r="C165">
        <v>3002</v>
      </c>
      <c r="D165" s="3" t="str" cm="1">
        <f t="array" ref="D165">IFERROR(_xlfn.XLOOKUP(TEXT(C165,"0000"),TEXT(Catalog!A:A,"0000"),Catalog!B:B),"")</f>
        <v xml:space="preserve">STEENBOOR 6 mm                </v>
      </c>
      <c r="E165">
        <v>39</v>
      </c>
      <c r="F165">
        <v>1</v>
      </c>
    </row>
    <row r="166" spans="2:11" x14ac:dyDescent="0.25">
      <c r="B166" s="22">
        <v>46083</v>
      </c>
      <c r="C166">
        <v>3003</v>
      </c>
      <c r="D166" s="3" t="str" cm="1">
        <f t="array" ref="D166">IFERROR(_xlfn.XLOOKUP(TEXT(C166,"0000"),TEXT(Catalog!A:A,"0000"),Catalog!B:B),"")</f>
        <v xml:space="preserve">STEENBOOR 7 mm                </v>
      </c>
      <c r="E166">
        <v>30</v>
      </c>
    </row>
    <row r="169" spans="2:11" ht="24" x14ac:dyDescent="0.4">
      <c r="B169" s="42" t="s">
        <v>4656</v>
      </c>
      <c r="C169" s="42"/>
      <c r="D169" s="42"/>
      <c r="E169" s="42"/>
      <c r="F169" s="42"/>
      <c r="G169" s="42"/>
      <c r="H169" s="42"/>
      <c r="I169" s="43" t="s">
        <v>4459</v>
      </c>
      <c r="J169" s="13" t="s">
        <v>4432</v>
      </c>
      <c r="K169" s="44" t="s">
        <v>4460</v>
      </c>
    </row>
    <row r="170" spans="2:11" ht="18.75" x14ac:dyDescent="0.3">
      <c r="B170" s="11" t="s">
        <v>4445</v>
      </c>
      <c r="C170" s="11" t="s">
        <v>4433</v>
      </c>
      <c r="D170" s="11" t="s">
        <v>4434</v>
      </c>
      <c r="E170" s="11" t="s">
        <v>4435</v>
      </c>
      <c r="F170" s="11" t="s">
        <v>4436</v>
      </c>
      <c r="G170" s="11" t="s">
        <v>4444</v>
      </c>
      <c r="H170" s="11" t="s">
        <v>4436</v>
      </c>
      <c r="I170" s="43"/>
      <c r="J170" s="11" t="s">
        <v>4447</v>
      </c>
      <c r="K170" s="44"/>
    </row>
    <row r="171" spans="2:11" x14ac:dyDescent="0.25">
      <c r="B171" s="22">
        <v>46083</v>
      </c>
      <c r="C171">
        <v>1303</v>
      </c>
      <c r="D171" s="3" t="str" cm="1">
        <f t="array" ref="D171">IFERROR(_xlfn.XLOOKUP(TEXT(C171,"0000"),TEXT(Catalog!A:A,"0000"),Catalog!B:B),"")</f>
        <v xml:space="preserve">BADKAMER RAIL 5x6+1x25 mm     </v>
      </c>
      <c r="F171">
        <v>8</v>
      </c>
    </row>
    <row r="172" spans="2:11" x14ac:dyDescent="0.25">
      <c r="B172" s="22">
        <v>46083</v>
      </c>
      <c r="C172">
        <v>1315</v>
      </c>
      <c r="D172" s="3" t="str" cm="1">
        <f t="array" ref="D172">IFERROR(_xlfn.XLOOKUP(TEXT(C172,"0000"),TEXT(Catalog!A:A,"0000"),Catalog!B:B),"")</f>
        <v xml:space="preserve">VERBINDING RAIL 1x6+1x25 mm   </v>
      </c>
      <c r="F172">
        <v>4</v>
      </c>
    </row>
    <row r="173" spans="2:11" x14ac:dyDescent="0.25">
      <c r="B173" s="22">
        <v>46083</v>
      </c>
      <c r="C173">
        <v>1316</v>
      </c>
      <c r="D173" s="3" t="str" cm="1">
        <f t="array" ref="D173">IFERROR(_xlfn.XLOOKUP(TEXT(C173,"0000"),TEXT(Catalog!A:A,"0000"),Catalog!B:B),"")</f>
        <v xml:space="preserve">VERBINDING RAIL 2x6+1x25 mm   </v>
      </c>
      <c r="F173">
        <v>5</v>
      </c>
    </row>
    <row r="174" spans="2:11" x14ac:dyDescent="0.25">
      <c r="B174" s="22">
        <v>46083</v>
      </c>
      <c r="C174">
        <v>1302</v>
      </c>
      <c r="D174" s="3" t="str" cm="1">
        <f t="array" ref="D174">IFERROR(_xlfn.XLOOKUP(TEXT(C174,"0000"),TEXT(Catalog!A:A,"0000"),Catalog!B:B),"")</f>
        <v xml:space="preserve">BADKAMER RAIL 6x6+1x25 mm     </v>
      </c>
      <c r="F174" t="s">
        <v>4600</v>
      </c>
    </row>
    <row r="175" spans="2:11" x14ac:dyDescent="0.25">
      <c r="B175" s="22">
        <v>46083</v>
      </c>
      <c r="C175">
        <v>1312</v>
      </c>
      <c r="D175" s="3" t="str" cm="1">
        <f t="array" ref="D175">IFERROR(_xlfn.XLOOKUP(TEXT(C175,"0000"),TEXT(Catalog!A:A,"0000"),Catalog!B:B),"")</f>
        <v xml:space="preserve">AARDKLEM 1/2"                 </v>
      </c>
      <c r="E175" t="s">
        <v>4660</v>
      </c>
      <c r="F175" t="s">
        <v>4661</v>
      </c>
    </row>
    <row r="176" spans="2:11" x14ac:dyDescent="0.25">
      <c r="B176" s="22">
        <v>46083</v>
      </c>
      <c r="C176">
        <v>1311</v>
      </c>
      <c r="D176" s="3" t="str" cm="1">
        <f t="array" ref="D176">IFERROR(_xlfn.XLOOKUP(TEXT(C176,"0000"),TEXT(Catalog!A:A,"0000"),Catalog!B:B),"")</f>
        <v xml:space="preserve">AARDKLEM 3/8"                 </v>
      </c>
      <c r="K176" t="s">
        <v>4659</v>
      </c>
    </row>
    <row r="177" spans="2:11" x14ac:dyDescent="0.25">
      <c r="B177" s="22">
        <v>46083</v>
      </c>
      <c r="C177">
        <v>1313</v>
      </c>
      <c r="D177" s="3" t="str" cm="1">
        <f t="array" ref="D177">IFERROR(_xlfn.XLOOKUP(TEXT(C177,"0000"),TEXT(Catalog!A:A,"0000"),Catalog!B:B),"")</f>
        <v xml:space="preserve">AARDKLEM 3/4"                 </v>
      </c>
      <c r="F177">
        <v>16</v>
      </c>
    </row>
    <row r="178" spans="2:11" x14ac:dyDescent="0.25">
      <c r="B178" s="22">
        <v>46083</v>
      </c>
      <c r="C178">
        <v>1301</v>
      </c>
      <c r="D178" s="3" t="str" cm="1">
        <f t="array" ref="D178">IFERROR(_xlfn.XLOOKUP(TEXT(C178,"0000"),TEXT(Catalog!A:A,"0000"),Catalog!B:B),"")</f>
        <v xml:space="preserve">UNIMAX KLEM 50/10-50 mm       </v>
      </c>
      <c r="E178" t="s">
        <v>4600</v>
      </c>
    </row>
    <row r="179" spans="2:11" x14ac:dyDescent="0.25">
      <c r="B179" s="22">
        <v>46083</v>
      </c>
      <c r="C179">
        <v>1299</v>
      </c>
      <c r="D179" s="3" t="str" cm="1">
        <f t="array" ref="D179">IFERROR(_xlfn.XLOOKUP(TEXT(C179,"0000"),TEXT(Catalog!A:A,"0000"),Catalog!B:B),"")</f>
        <v xml:space="preserve">UNIMAX KLEM 35/4-35 mm        </v>
      </c>
      <c r="E179" t="s">
        <v>4553</v>
      </c>
    </row>
    <row r="180" spans="2:11" x14ac:dyDescent="0.25">
      <c r="B180" s="22">
        <v>46083</v>
      </c>
      <c r="C180">
        <v>3335</v>
      </c>
      <c r="D180" s="3" t="str" cm="1">
        <f t="array" ref="D180">IFERROR(_xlfn.XLOOKUP(TEXT(C180,"0000"),TEXT(Catalog!A:A,"0000"),Catalog!B:B),"")</f>
        <v>PICKENS LED OPB ROND 18W 6500K</v>
      </c>
      <c r="E180" t="s">
        <v>4662</v>
      </c>
      <c r="F180">
        <v>9</v>
      </c>
    </row>
    <row r="181" spans="2:11" x14ac:dyDescent="0.25">
      <c r="B181" s="22">
        <v>46083</v>
      </c>
      <c r="C181">
        <v>3506</v>
      </c>
      <c r="D181" s="3" t="str" cm="1">
        <f t="array" ref="D181">IFERROR(_xlfn.XLOOKUP(TEXT(C181,"0000"),TEXT(Catalog!A:A,"0000"),Catalog!B:B),"")</f>
        <v>ETI 3901101 TERMINAL VS10 IVOR</v>
      </c>
      <c r="E181" t="s">
        <v>4663</v>
      </c>
    </row>
    <row r="182" spans="2:11" x14ac:dyDescent="0.25">
      <c r="B182" s="22">
        <v>46083</v>
      </c>
      <c r="C182" s="21" t="s">
        <v>4657</v>
      </c>
      <c r="D182" s="3" t="str" cm="1">
        <f t="array" ref="D182">IFERROR(_xlfn.XLOOKUP(TEXT(C182,"0000"),TEXT(Catalog!A:A,"0000"),Catalog!B:B),"")</f>
        <v xml:space="preserve">ZADELS 14 mm VERT             </v>
      </c>
      <c r="E182" t="s">
        <v>4664</v>
      </c>
    </row>
    <row r="183" spans="2:11" x14ac:dyDescent="0.25">
      <c r="B183" s="22">
        <v>46083</v>
      </c>
      <c r="C183" s="21" t="s">
        <v>4658</v>
      </c>
      <c r="D183" s="3" t="str" cm="1">
        <f t="array" ref="D183">IFERROR(_xlfn.XLOOKUP(TEXT(C183,"0000"),TEXT(Catalog!A:A,"0000"),Catalog!B:B),"")</f>
        <v xml:space="preserve">MONTAGEDEKSEL+WCD3611W1       </v>
      </c>
      <c r="E183" t="s">
        <v>4665</v>
      </c>
    </row>
    <row r="184" spans="2:11" x14ac:dyDescent="0.25">
      <c r="B184" s="22">
        <v>46083</v>
      </c>
      <c r="C184">
        <v>3124</v>
      </c>
      <c r="D184" s="3" t="str" cm="1">
        <f t="array" ref="D184">IFERROR(_xlfn.XLOOKUP(TEXT(C184,"0000"),TEXT(Catalog!A:A,"0000"),Catalog!B:B),"")</f>
        <v xml:space="preserve">REFLECTOR LED 200W 18000LM    </v>
      </c>
      <c r="E184" t="s">
        <v>4474</v>
      </c>
    </row>
    <row r="186" spans="2:11" ht="24" x14ac:dyDescent="0.4">
      <c r="B186" s="42" t="s">
        <v>4668</v>
      </c>
      <c r="C186" s="42"/>
      <c r="D186" s="42"/>
      <c r="E186" s="42"/>
      <c r="F186" s="42"/>
      <c r="G186" s="42"/>
      <c r="H186" s="42"/>
      <c r="I186" s="43" t="s">
        <v>4459</v>
      </c>
      <c r="J186" s="13" t="s">
        <v>4432</v>
      </c>
      <c r="K186" s="44" t="s">
        <v>4460</v>
      </c>
    </row>
    <row r="187" spans="2:11" ht="18.75" x14ac:dyDescent="0.3">
      <c r="B187" s="11" t="s">
        <v>4445</v>
      </c>
      <c r="C187" s="11" t="s">
        <v>4433</v>
      </c>
      <c r="D187" s="11" t="s">
        <v>4434</v>
      </c>
      <c r="E187" s="11" t="s">
        <v>4435</v>
      </c>
      <c r="F187" s="11" t="s">
        <v>4436</v>
      </c>
      <c r="G187" s="11" t="s">
        <v>4444</v>
      </c>
      <c r="H187" s="11" t="s">
        <v>4436</v>
      </c>
      <c r="I187" s="43"/>
      <c r="J187" s="11" t="s">
        <v>4447</v>
      </c>
      <c r="K187" s="44"/>
    </row>
    <row r="188" spans="2:11" x14ac:dyDescent="0.25">
      <c r="B188" s="22">
        <v>46055</v>
      </c>
      <c r="C188" s="21" t="s">
        <v>4669</v>
      </c>
      <c r="D188" s="3" t="str" cm="1">
        <f t="array" ref="D188">IFERROR(_xlfn.XLOOKUP(TEXT(C188,"0000"),TEXT(Catalog!A:A,"0000"),Catalog!B:B),"")</f>
        <v xml:space="preserve">BOCHT 2"                      </v>
      </c>
      <c r="E188" t="s">
        <v>4671</v>
      </c>
    </row>
    <row r="189" spans="2:11" x14ac:dyDescent="0.25">
      <c r="B189" s="22">
        <v>46055</v>
      </c>
      <c r="C189" s="21" t="s">
        <v>4670</v>
      </c>
      <c r="D189" s="3" t="str" cm="1">
        <f t="array" ref="D189">IFERROR(_xlfn.XLOOKUP(TEXT(C189,"0000"),TEXT(Catalog!A:A,"0000"),Catalog!B:B),"")</f>
        <v xml:space="preserve">BUISBEVESTIGING 2" POLFIX     </v>
      </c>
      <c r="E189" t="s">
        <v>4672</v>
      </c>
    </row>
    <row r="192" spans="2:11" ht="24" x14ac:dyDescent="0.4">
      <c r="B192" s="42" t="s">
        <v>4673</v>
      </c>
      <c r="C192" s="42"/>
      <c r="D192" s="42"/>
      <c r="E192" s="42"/>
      <c r="F192" s="42"/>
      <c r="G192" s="42"/>
      <c r="H192" s="42"/>
      <c r="I192" s="43" t="s">
        <v>4459</v>
      </c>
      <c r="J192" s="13" t="s">
        <v>4432</v>
      </c>
      <c r="K192" s="44" t="s">
        <v>4460</v>
      </c>
    </row>
    <row r="193" spans="2:11" ht="18.75" x14ac:dyDescent="0.3">
      <c r="B193" s="11" t="s">
        <v>4445</v>
      </c>
      <c r="C193" s="11" t="s">
        <v>4433</v>
      </c>
      <c r="D193" s="11" t="s">
        <v>4434</v>
      </c>
      <c r="E193" s="11" t="s">
        <v>4435</v>
      </c>
      <c r="F193" s="11" t="s">
        <v>4436</v>
      </c>
      <c r="G193" s="11" t="s">
        <v>4444</v>
      </c>
      <c r="H193" s="11" t="s">
        <v>4436</v>
      </c>
      <c r="I193" s="43"/>
      <c r="J193" s="11" t="s">
        <v>4447</v>
      </c>
      <c r="K193" s="44"/>
    </row>
    <row r="194" spans="2:11" x14ac:dyDescent="0.25">
      <c r="B194" s="22">
        <v>46055</v>
      </c>
      <c r="C194" s="21" t="s">
        <v>4674</v>
      </c>
      <c r="D194" s="3" t="str" cm="1">
        <f t="array" ref="D194">IFERROR(_xlfn.XLOOKUP(TEXT(C194,"0000"),TEXT(Catalog!A:A,"0000"),Catalog!B:B),"")</f>
        <v>BLINDDEKSEL (uni lasdoos) 3535</v>
      </c>
      <c r="E194" t="s">
        <v>4675</v>
      </c>
    </row>
    <row r="195" spans="2:11" x14ac:dyDescent="0.25">
      <c r="B195" s="22">
        <v>46055</v>
      </c>
      <c r="C195" s="21" t="s">
        <v>4677</v>
      </c>
      <c r="D195" s="3" t="str" cm="1">
        <f t="array" ref="D195">IFERROR(_xlfn.XLOOKUP(TEXT(C195,"0000"),TEXT(Catalog!A:A,"0000"),Catalog!B:B),"")</f>
        <v xml:space="preserve"> UNIVERSEEL LASDOOS    3611   </v>
      </c>
      <c r="E195" t="s">
        <v>4676</v>
      </c>
    </row>
    <row r="196" spans="2:11" x14ac:dyDescent="0.25">
      <c r="B196" s="22">
        <v>46055</v>
      </c>
      <c r="C196" s="21" t="s">
        <v>4678</v>
      </c>
      <c r="D196" s="3" t="str" cm="1">
        <f t="array" ref="D196">IFERROR(_xlfn.XLOOKUP(TEXT(C196,"0000"),TEXT(Catalog!A:A,"0000"),Catalog!B:B),"")</f>
        <v xml:space="preserve">BOCHT 1"                      </v>
      </c>
      <c r="E196" t="s">
        <v>4622</v>
      </c>
    </row>
    <row r="197" spans="2:11" x14ac:dyDescent="0.25">
      <c r="B197" s="22">
        <v>46055</v>
      </c>
      <c r="C197" s="21" t="s">
        <v>4679</v>
      </c>
      <c r="D197" s="3" t="str" cm="1">
        <f t="array" ref="D197">IFERROR(_xlfn.XLOOKUP(TEXT(C197,"0000"),TEXT(Catalog!A:A,"0000"),Catalog!B:B),"")</f>
        <v xml:space="preserve">MOFFEN   1"                   </v>
      </c>
      <c r="E197" t="s">
        <v>4675</v>
      </c>
    </row>
    <row r="198" spans="2:11" x14ac:dyDescent="0.25">
      <c r="B198" s="22">
        <v>46055</v>
      </c>
      <c r="C198" s="21" t="s">
        <v>4680</v>
      </c>
      <c r="D198" s="3" t="str" cm="1">
        <f t="array" ref="D198">IFERROR(_xlfn.XLOOKUP(TEXT(C198,"0000"),TEXT(Catalog!A:A,"0000"),Catalog!B:B),"")</f>
        <v xml:space="preserve">MOFFEN 2''                    </v>
      </c>
      <c r="E198" t="s">
        <v>4682</v>
      </c>
    </row>
    <row r="199" spans="2:11" x14ac:dyDescent="0.25">
      <c r="B199" s="22">
        <v>46055</v>
      </c>
      <c r="C199" s="21" t="s">
        <v>4681</v>
      </c>
      <c r="D199" s="3" t="str" cm="1">
        <f t="array" ref="D199">IFERROR(_xlfn.XLOOKUP(TEXT(C199,"0000"),TEXT(Catalog!A:A,"0000"),Catalog!B:B),"")</f>
        <v xml:space="preserve">BUISBEVESTIGING 1.5" POLFIX   </v>
      </c>
      <c r="E199" t="s">
        <v>4683</v>
      </c>
    </row>
    <row r="200" spans="2:11" x14ac:dyDescent="0.25">
      <c r="B200" s="22">
        <v>46055</v>
      </c>
      <c r="C200" s="21" t="s">
        <v>4666</v>
      </c>
      <c r="D200" s="3" t="str" cm="1">
        <f t="array" ref="D200">IFERROR(_xlfn.XLOOKUP(TEXT(C200,"0000"),TEXT(Catalog!A:A,"0000"),Catalog!B:B),"")</f>
        <v xml:space="preserve">MOFFEN 1,5"                   </v>
      </c>
      <c r="E200" t="s">
        <v>4684</v>
      </c>
    </row>
    <row r="203" spans="2:11" ht="24" x14ac:dyDescent="0.4">
      <c r="B203" s="42" t="s">
        <v>4685</v>
      </c>
      <c r="C203" s="42"/>
      <c r="D203" s="42"/>
      <c r="E203" s="42"/>
      <c r="F203" s="42"/>
      <c r="G203" s="42"/>
      <c r="H203" s="42"/>
      <c r="I203" s="43" t="s">
        <v>4459</v>
      </c>
      <c r="J203" s="13" t="s">
        <v>4432</v>
      </c>
      <c r="K203" s="44" t="s">
        <v>4460</v>
      </c>
    </row>
    <row r="204" spans="2:11" ht="18.75" x14ac:dyDescent="0.3">
      <c r="B204" s="11" t="s">
        <v>4445</v>
      </c>
      <c r="C204" s="11" t="s">
        <v>4433</v>
      </c>
      <c r="D204" s="11" t="s">
        <v>4434</v>
      </c>
      <c r="E204" s="11" t="s">
        <v>4435</v>
      </c>
      <c r="F204" s="11" t="s">
        <v>4436</v>
      </c>
      <c r="G204" s="11" t="s">
        <v>4444</v>
      </c>
      <c r="H204" s="11" t="s">
        <v>4436</v>
      </c>
      <c r="I204" s="43"/>
      <c r="J204" s="11" t="s">
        <v>4447</v>
      </c>
      <c r="K204" s="44"/>
    </row>
    <row r="205" spans="2:11" x14ac:dyDescent="0.25">
      <c r="B205" s="22">
        <v>46055</v>
      </c>
      <c r="C205" s="21" t="s">
        <v>4686</v>
      </c>
      <c r="D205" s="3" t="str" cm="1">
        <f t="array" ref="D205">IFERROR(_xlfn.XLOOKUP(TEXT(C205,"0000"),TEXT(Catalog!A:A,"0000"),Catalog!B:B),"")</f>
        <v xml:space="preserve">MONTAGEDEKSEL+WCD3640W4       </v>
      </c>
      <c r="E205" t="s">
        <v>4549</v>
      </c>
    </row>
    <row r="206" spans="2:11" x14ac:dyDescent="0.25">
      <c r="B206" s="22">
        <v>46055</v>
      </c>
      <c r="C206" s="21" t="s">
        <v>4687</v>
      </c>
      <c r="D206" s="3" t="str" cm="1">
        <f t="array" ref="D206">IFERROR(_xlfn.XLOOKUP(TEXT(C206,"0000"),TEXT(Catalog!A:A,"0000"),Catalog!B:B),"")</f>
        <v xml:space="preserve">KABEL DOOS GSLT231 (19905)    </v>
      </c>
      <c r="E206" t="s">
        <v>4468</v>
      </c>
    </row>
    <row r="207" spans="2:11" x14ac:dyDescent="0.25">
      <c r="B207" s="22">
        <v>46055</v>
      </c>
      <c r="C207" s="21" t="s">
        <v>4688</v>
      </c>
      <c r="D207" s="3" t="str" cm="1">
        <f t="array" ref="D207">IFERROR(_xlfn.XLOOKUP(TEXT(C207,"0000"),TEXT(Catalog!A:A,"0000"),Catalog!B:B),"")</f>
        <v xml:space="preserve">MONTAGEDEKSEL+WCD3611W2       </v>
      </c>
      <c r="E207" t="s">
        <v>4691</v>
      </c>
    </row>
    <row r="208" spans="2:11" x14ac:dyDescent="0.25">
      <c r="B208" s="22">
        <v>46055</v>
      </c>
      <c r="C208" s="21" t="s">
        <v>4689</v>
      </c>
      <c r="D208" s="3" t="str" cm="1">
        <f t="array" ref="D208">IFERROR(_xlfn.XLOOKUP(TEXT(C208,"0000"),TEXT(Catalog!A:A,"0000"),Catalog!B:B),"")</f>
        <v xml:space="preserve">HOSTALIT MOF 5/8 Grijs        </v>
      </c>
      <c r="E208" t="s">
        <v>4547</v>
      </c>
    </row>
    <row r="209" spans="2:11" x14ac:dyDescent="0.25">
      <c r="B209" s="22">
        <v>46055</v>
      </c>
      <c r="C209" s="21" t="s">
        <v>4690</v>
      </c>
      <c r="D209" s="3" t="str" cm="1">
        <f t="array" ref="D209">IFERROR(_xlfn.XLOOKUP(TEXT(C209,"0000"),TEXT(Catalog!A:A,"0000"),Catalog!B:B),"")</f>
        <v xml:space="preserve">BUISBEVESTIGING 5/8"POLFIX    </v>
      </c>
      <c r="E209" t="s">
        <v>4692</v>
      </c>
    </row>
    <row r="210" spans="2:11" x14ac:dyDescent="0.25">
      <c r="B210" s="22">
        <v>46055</v>
      </c>
      <c r="C210" s="21" t="s">
        <v>4669</v>
      </c>
      <c r="D210" s="3" t="str" cm="1">
        <f t="array" ref="D210">IFERROR(_xlfn.XLOOKUP(TEXT(C210,"0000"),TEXT(Catalog!A:A,"0000"),Catalog!B:B),"")</f>
        <v xml:space="preserve">BOCHT 2"                      </v>
      </c>
      <c r="E210" t="s">
        <v>4693</v>
      </c>
    </row>
    <row r="213" spans="2:11" ht="24" x14ac:dyDescent="0.4">
      <c r="B213" s="42" t="s">
        <v>4694</v>
      </c>
      <c r="C213" s="42"/>
      <c r="D213" s="42"/>
      <c r="E213" s="42"/>
      <c r="F213" s="42"/>
      <c r="G213" s="42"/>
      <c r="H213" s="42"/>
      <c r="I213" s="43" t="s">
        <v>4459</v>
      </c>
      <c r="J213" s="13" t="s">
        <v>4432</v>
      </c>
      <c r="K213" s="44" t="s">
        <v>4460</v>
      </c>
    </row>
    <row r="214" spans="2:11" ht="18.75" x14ac:dyDescent="0.3">
      <c r="B214" s="11" t="s">
        <v>4445</v>
      </c>
      <c r="C214" s="11" t="s">
        <v>4433</v>
      </c>
      <c r="D214" s="11" t="s">
        <v>4434</v>
      </c>
      <c r="E214" s="11" t="s">
        <v>4435</v>
      </c>
      <c r="F214" s="11" t="s">
        <v>4436</v>
      </c>
      <c r="G214" s="11" t="s">
        <v>4444</v>
      </c>
      <c r="H214" s="11" t="s">
        <v>4436</v>
      </c>
      <c r="I214" s="43"/>
      <c r="J214" s="11" t="s">
        <v>4447</v>
      </c>
      <c r="K214" s="44"/>
    </row>
    <row r="215" spans="2:11" x14ac:dyDescent="0.25">
      <c r="B215" s="22">
        <v>46055</v>
      </c>
      <c r="C215" s="21" t="s">
        <v>4695</v>
      </c>
      <c r="D215" s="3" t="str" cm="1">
        <f t="array" ref="D215">IFERROR(_xlfn.XLOOKUP(TEXT(C215,"0000"),TEXT(Catalog!A:A,"0000"),Catalog!B:B),"")</f>
        <v xml:space="preserve">BOCHT PVC  5/8 CRÈME          </v>
      </c>
      <c r="E215" t="s">
        <v>4699</v>
      </c>
    </row>
    <row r="216" spans="2:11" x14ac:dyDescent="0.25">
      <c r="B216" s="22">
        <v>46055</v>
      </c>
      <c r="C216" s="21" t="s">
        <v>4696</v>
      </c>
      <c r="D216" s="3" t="str" cm="1">
        <f t="array" ref="D216">IFERROR(_xlfn.XLOOKUP(TEXT(C216,"0000"),TEXT(Catalog!A:A,"0000"),Catalog!B:B),"")</f>
        <v xml:space="preserve">BOCHT PVC  3/4 CRÈME          </v>
      </c>
      <c r="E216" t="s">
        <v>4700</v>
      </c>
    </row>
    <row r="217" spans="2:11" x14ac:dyDescent="0.25">
      <c r="B217" s="22">
        <v>46055</v>
      </c>
      <c r="C217" s="21" t="s">
        <v>4697</v>
      </c>
      <c r="D217" s="3" t="str" cm="1">
        <f t="array" ref="D217">IFERROR(_xlfn.XLOOKUP(TEXT(C217,"0000"),TEXT(Catalog!A:A,"0000"),Catalog!B:B),"")</f>
        <v xml:space="preserve">POLFIX 5/8" SLAGVAST GRIJS    </v>
      </c>
      <c r="F217" t="s">
        <v>4701</v>
      </c>
    </row>
    <row r="218" spans="2:11" x14ac:dyDescent="0.25">
      <c r="B218" s="22">
        <v>46055</v>
      </c>
      <c r="C218" s="21" t="s">
        <v>4698</v>
      </c>
      <c r="D218" s="3" t="str" cm="1">
        <f t="array" ref="D218">IFERROR(_xlfn.XLOOKUP(TEXT(C218,"0000"),TEXT(Catalog!A:A,"0000"),Catalog!B:B),"")</f>
        <v xml:space="preserve">BUISBEVESTIGING 1" POLFIX     </v>
      </c>
      <c r="E218" t="s">
        <v>4702</v>
      </c>
    </row>
    <row r="219" spans="2:11" x14ac:dyDescent="0.25">
      <c r="B219" s="22">
        <v>46055</v>
      </c>
      <c r="C219" s="21" t="s">
        <v>4703</v>
      </c>
      <c r="D219" s="3" t="str" cm="1">
        <f t="array" ref="D219">IFERROR(_xlfn.XLOOKUP(TEXT(C219,"0000"),TEXT(Catalog!A:A,"0000"),Catalog!B:B),"")</f>
        <v xml:space="preserve">BUISBEVESTIGING 3/4"POLFIX    </v>
      </c>
      <c r="E219" t="s">
        <v>4707</v>
      </c>
    </row>
    <row r="220" spans="2:11" x14ac:dyDescent="0.25">
      <c r="B220" s="22">
        <v>46055</v>
      </c>
      <c r="C220" s="21" t="s">
        <v>4704</v>
      </c>
      <c r="D220" s="3" t="str" cm="1">
        <f t="array" ref="D220">IFERROR(_xlfn.XLOOKUP(TEXT(C220,"0000"),TEXT(Catalog!A:A,"0000"),Catalog!B:B),"")</f>
        <v xml:space="preserve">KABELDOOS J100S               </v>
      </c>
      <c r="F220">
        <v>82</v>
      </c>
    </row>
    <row r="221" spans="2:11" x14ac:dyDescent="0.25">
      <c r="B221" s="22">
        <v>46055</v>
      </c>
      <c r="C221" s="21" t="s">
        <v>4705</v>
      </c>
      <c r="D221" s="3" t="str" cm="1">
        <f t="array" ref="D221">IFERROR(_xlfn.XLOOKUP(TEXT(C221,"0000"),TEXT(Catalog!A:A,"0000"),Catalog!B:B),"")</f>
        <v xml:space="preserve">REFLECTOR LED 200W 18000LM    </v>
      </c>
      <c r="E221" t="s">
        <v>4708</v>
      </c>
    </row>
    <row r="222" spans="2:11" x14ac:dyDescent="0.25">
      <c r="B222" s="22">
        <v>46055</v>
      </c>
      <c r="C222">
        <v>3281</v>
      </c>
      <c r="D222" s="3" t="str" cm="1">
        <f t="array" ref="D222">IFERROR(_xlfn.XLOOKUP(TEXT(C222,"0000"),TEXT(Catalog!A:A,"0000"),Catalog!B:B),"")</f>
        <v xml:space="preserve">BALLAST 1x20W STARTER         </v>
      </c>
      <c r="K222" t="s">
        <v>4709</v>
      </c>
    </row>
    <row r="223" spans="2:11" x14ac:dyDescent="0.25">
      <c r="B223" s="22">
        <v>46055</v>
      </c>
      <c r="C223" s="21" t="s">
        <v>4706</v>
      </c>
      <c r="D223" s="3" t="str" cm="1">
        <f t="array" ref="D223">IFERROR(_xlfn.XLOOKUP(TEXT(C223,"0000"),TEXT(Catalog!A:A,"0000"),Catalog!B:B),"")</f>
        <v xml:space="preserve">KABEL DOOS EL322 (19750)      </v>
      </c>
      <c r="F223">
        <v>30</v>
      </c>
    </row>
    <row r="224" spans="2:11" x14ac:dyDescent="0.25">
      <c r="B224" s="22">
        <v>46055</v>
      </c>
      <c r="C224">
        <v>3020</v>
      </c>
      <c r="D224" s="3" t="str" cm="1">
        <f t="array" ref="D224">IFERROR(_xlfn.XLOOKUP(TEXT(C224,"0000"),TEXT(Catalog!A:A,"0000"),Catalog!B:B),"")</f>
        <v xml:space="preserve">SF-42 HULS TANG SIDE 0,5-6MM  </v>
      </c>
      <c r="F224">
        <v>9</v>
      </c>
    </row>
    <row r="225" spans="2:6" x14ac:dyDescent="0.25">
      <c r="B225" s="22">
        <v>46055</v>
      </c>
      <c r="C225">
        <v>3006</v>
      </c>
      <c r="D225" s="3" t="str" cm="1">
        <f t="array" ref="D225">IFERROR(_xlfn.XLOOKUP(TEXT(C225,"0000"),TEXT(Catalog!A:A,"0000"),Catalog!B:B),"")</f>
        <v xml:space="preserve">SF-31CABLE CUTTER UP TO 50 MM </v>
      </c>
      <c r="F225">
        <v>10</v>
      </c>
    </row>
    <row r="226" spans="2:6" x14ac:dyDescent="0.25">
      <c r="C226">
        <v>3028</v>
      </c>
      <c r="D226" s="3" t="str" cm="1">
        <f t="array" ref="D226">IFERROR(_xlfn.XLOOKUP(TEXT(C226,"0000"),TEXT(Catalog!A:A,"0000"),Catalog!B:B),"")</f>
        <v xml:space="preserve">SF-38 KABEL STRIPPER 4-25MM   </v>
      </c>
      <c r="F226">
        <v>4</v>
      </c>
    </row>
    <row r="227" spans="2:6" x14ac:dyDescent="0.25">
      <c r="C227">
        <v>3005</v>
      </c>
      <c r="D227" s="3" t="str" cm="1">
        <f t="array" ref="D227">IFERROR(_xlfn.XLOOKUP(TEXT(C227,"0000"),TEXT(Catalog!A:A,"0000"),Catalog!B:B),"")</f>
        <v xml:space="preserve">SF-21CABLE CUTTER UP TO 16 MM </v>
      </c>
      <c r="F227">
        <v>5</v>
      </c>
    </row>
    <row r="228" spans="2:6" x14ac:dyDescent="0.25">
      <c r="C228">
        <v>3027</v>
      </c>
      <c r="D228" s="3" t="str" cm="1">
        <f t="array" ref="D228">IFERROR(_xlfn.XLOOKUP(TEXT(C228,"0000"),TEXT(Catalog!A:A,"0000"),Catalog!B:B),"")</f>
        <v xml:space="preserve">SF-22 KABELSTRIPER 0.75 / 6MM </v>
      </c>
      <c r="F228">
        <v>3</v>
      </c>
    </row>
    <row r="229" spans="2:6" x14ac:dyDescent="0.25">
      <c r="C229">
        <v>2998</v>
      </c>
      <c r="D229" s="3" t="str" cm="1">
        <f t="array" ref="D229">IFERROR(_xlfn.XLOOKUP(TEXT(C229,"0000"),TEXT(Catalog!A:A,"0000"),Catalog!B:B),"")</f>
        <v>SF-30 CABLE CUTTER UP TO 35 MM</v>
      </c>
      <c r="F229">
        <v>23</v>
      </c>
    </row>
    <row r="230" spans="2:6" x14ac:dyDescent="0.25">
      <c r="C230">
        <v>312</v>
      </c>
      <c r="D230" s="3" t="str" cm="1">
        <f t="array" ref="D230">IFERROR(_xlfn.XLOOKUP(TEXT(C230,"0000"),TEXT(Catalog!A:A,"0000"),Catalog!B:B),"")</f>
        <v xml:space="preserve">MOFFEN   3/4"                 </v>
      </c>
      <c r="E230" t="s">
        <v>4548</v>
      </c>
    </row>
    <row r="231" spans="2:6" x14ac:dyDescent="0.25">
      <c r="C231">
        <v>3018</v>
      </c>
      <c r="D231" s="3" t="str" cm="1">
        <f t="array" ref="D231">IFERROR(_xlfn.XLOOKUP(TEXT(C231,"0000"),TEXT(Catalog!A:A,"0000"),Catalog!B:B),"")</f>
        <v xml:space="preserve">SF-23 KABELSCHOEN TANG 6-25MM </v>
      </c>
      <c r="F231">
        <v>10</v>
      </c>
    </row>
    <row r="232" spans="2:6" x14ac:dyDescent="0.25">
      <c r="C232">
        <v>526</v>
      </c>
      <c r="D232" s="3" t="str" cm="1">
        <f t="array" ref="D232">IFERROR(_xlfn.XLOOKUP(TEXT(C232,"0000"),TEXT(Catalog!A:A,"0000"),Catalog!B:B),"")</f>
        <v xml:space="preserve">MONTAGEDEKSEL+WCD3611W1       </v>
      </c>
      <c r="F232" t="s">
        <v>4547</v>
      </c>
    </row>
  </sheetData>
  <mergeCells count="43">
    <mergeCell ref="B1:I1"/>
    <mergeCell ref="B2:H2"/>
    <mergeCell ref="I2:I3"/>
    <mergeCell ref="K2:K3"/>
    <mergeCell ref="B19:H19"/>
    <mergeCell ref="I19:I20"/>
    <mergeCell ref="K19:K20"/>
    <mergeCell ref="B57:H57"/>
    <mergeCell ref="I57:I58"/>
    <mergeCell ref="K57:K58"/>
    <mergeCell ref="B63:H63"/>
    <mergeCell ref="I63:I64"/>
    <mergeCell ref="K63:K64"/>
    <mergeCell ref="B80:H80"/>
    <mergeCell ref="I80:I81"/>
    <mergeCell ref="K80:K81"/>
    <mergeCell ref="B104:H104"/>
    <mergeCell ref="I104:I105"/>
    <mergeCell ref="K104:K105"/>
    <mergeCell ref="B126:H126"/>
    <mergeCell ref="I126:I127"/>
    <mergeCell ref="K126:K127"/>
    <mergeCell ref="B137:H137"/>
    <mergeCell ref="I137:I138"/>
    <mergeCell ref="K137:K138"/>
    <mergeCell ref="B145:H145"/>
    <mergeCell ref="I145:I146"/>
    <mergeCell ref="K145:K146"/>
    <mergeCell ref="B169:H169"/>
    <mergeCell ref="I169:I170"/>
    <mergeCell ref="K169:K170"/>
    <mergeCell ref="B186:H186"/>
    <mergeCell ref="I186:I187"/>
    <mergeCell ref="K186:K187"/>
    <mergeCell ref="B192:H192"/>
    <mergeCell ref="I192:I193"/>
    <mergeCell ref="K192:K193"/>
    <mergeCell ref="B203:H203"/>
    <mergeCell ref="I203:I204"/>
    <mergeCell ref="K203:K204"/>
    <mergeCell ref="B213:H213"/>
    <mergeCell ref="I213:I214"/>
    <mergeCell ref="K213:K214"/>
  </mergeCells>
  <phoneticPr fontId="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0CC24-30EF-4344-913C-5638C553D8A9}">
  <dimension ref="B1:M250"/>
  <sheetViews>
    <sheetView topLeftCell="A228" zoomScale="98" zoomScaleNormal="98" workbookViewId="0">
      <selection activeCell="D4" sqref="D4"/>
    </sheetView>
  </sheetViews>
  <sheetFormatPr defaultColWidth="11.42578125" defaultRowHeight="15" x14ac:dyDescent="0.25"/>
  <cols>
    <col min="2" max="2" width="12.5703125" customWidth="1"/>
    <col min="3" max="3" width="10.85546875" customWidth="1"/>
    <col min="4" max="4" width="43.140625" customWidth="1"/>
    <col min="11" max="11" width="28.5703125" customWidth="1"/>
    <col min="13" max="13" width="71.5703125" bestFit="1" customWidth="1"/>
  </cols>
  <sheetData>
    <row r="1" spans="2:13" ht="30" customHeight="1" x14ac:dyDescent="0.4">
      <c r="B1" s="45" t="s">
        <v>4712</v>
      </c>
      <c r="C1" s="45"/>
      <c r="D1" s="45"/>
      <c r="E1" s="45"/>
      <c r="F1" s="45"/>
      <c r="G1" s="45"/>
      <c r="H1" s="45"/>
      <c r="I1" s="45"/>
    </row>
    <row r="2" spans="2:13" ht="24" x14ac:dyDescent="0.4">
      <c r="B2" s="42" t="s">
        <v>4713</v>
      </c>
      <c r="C2" s="42"/>
      <c r="D2" s="42"/>
      <c r="E2" s="42"/>
      <c r="F2" s="42"/>
      <c r="G2" s="42"/>
      <c r="H2" s="42"/>
      <c r="I2" s="43" t="s">
        <v>4459</v>
      </c>
      <c r="J2" s="13" t="s">
        <v>4432</v>
      </c>
      <c r="K2" s="44" t="s">
        <v>4460</v>
      </c>
      <c r="M2" s="27" t="s">
        <v>5043</v>
      </c>
    </row>
    <row r="3" spans="2:13" ht="18.75" x14ac:dyDescent="0.3">
      <c r="B3" s="11" t="s">
        <v>4445</v>
      </c>
      <c r="C3" s="11" t="s">
        <v>4433</v>
      </c>
      <c r="D3" s="11" t="s">
        <v>4434</v>
      </c>
      <c r="E3" s="11" t="s">
        <v>4435</v>
      </c>
      <c r="F3" s="11" t="s">
        <v>4436</v>
      </c>
      <c r="G3" s="11" t="s">
        <v>4444</v>
      </c>
      <c r="H3" s="11" t="s">
        <v>4436</v>
      </c>
      <c r="I3" s="43"/>
      <c r="J3" s="11" t="s">
        <v>4447</v>
      </c>
      <c r="K3" s="44"/>
      <c r="M3" t="s">
        <v>5042</v>
      </c>
    </row>
    <row r="4" spans="2:13" x14ac:dyDescent="0.25">
      <c r="B4" s="22">
        <v>46083</v>
      </c>
      <c r="C4">
        <v>3322</v>
      </c>
      <c r="D4" s="3" t="str" cm="1">
        <f t="array" ref="D4">IFERROR(_xlfn.XLOOKUP(TEXT(C4,"0000"),TEXT(Catalog!A:A,"0000"),Catalog!B:B),"")</f>
        <v>PICKENS RECHARGEABLE LED LIGHT</v>
      </c>
      <c r="F4">
        <v>36</v>
      </c>
    </row>
    <row r="5" spans="2:13" x14ac:dyDescent="0.25">
      <c r="B5" s="22">
        <v>46083</v>
      </c>
      <c r="C5">
        <v>1652</v>
      </c>
      <c r="D5" s="3" t="str" cm="1">
        <f t="array" ref="D5">IFERROR(_xlfn.XLOOKUP(TEXT(C5,"0000"),TEXT(Catalog!A:A,"0000"),Catalog!B:B),"")</f>
        <v xml:space="preserve">IDE AARDE 48452 KIT TIERRA    </v>
      </c>
      <c r="F5">
        <v>6</v>
      </c>
    </row>
    <row r="6" spans="2:13" x14ac:dyDescent="0.25">
      <c r="B6" s="22">
        <v>46083</v>
      </c>
      <c r="C6" s="8">
        <v>7187</v>
      </c>
      <c r="D6" s="3" t="str" cm="1">
        <f t="array" ref="D6">IFERROR(_xlfn.XLOOKUP(TEXT(C6,"0000"),TEXT(Catalog!A:A,"0000"),Catalog!B:B),"")</f>
        <v xml:space="preserve">INB.KAST MP56 METALBOX        </v>
      </c>
    </row>
    <row r="7" spans="2:13" x14ac:dyDescent="0.25">
      <c r="B7" s="22">
        <v>46083</v>
      </c>
      <c r="C7">
        <v>1654</v>
      </c>
      <c r="D7" s="3" t="str" cm="1">
        <f t="array" ref="D7">IFERROR(_xlfn.XLOOKUP(TEXT(C7,"0000"),TEXT(Catalog!A:A,"0000"),Catalog!B:B),"")</f>
        <v xml:space="preserve">OPBOUWKAST IDE ARM.40COM120   </v>
      </c>
      <c r="E7" t="s">
        <v>4714</v>
      </c>
    </row>
    <row r="8" spans="2:13" x14ac:dyDescent="0.25">
      <c r="D8" s="3" t="s">
        <v>5041</v>
      </c>
    </row>
    <row r="9" spans="2:13" ht="24" x14ac:dyDescent="0.4">
      <c r="B9" s="42" t="s">
        <v>4560</v>
      </c>
      <c r="C9" s="42"/>
      <c r="D9" s="42"/>
      <c r="E9" s="42"/>
      <c r="F9" s="42"/>
      <c r="G9" s="42"/>
      <c r="H9" s="42"/>
      <c r="I9" s="43" t="s">
        <v>4459</v>
      </c>
      <c r="J9" s="13" t="s">
        <v>4432</v>
      </c>
      <c r="K9" s="44" t="s">
        <v>4460</v>
      </c>
    </row>
    <row r="10" spans="2:13" ht="18.75" x14ac:dyDescent="0.3">
      <c r="B10" s="11" t="s">
        <v>4445</v>
      </c>
      <c r="C10" s="11" t="s">
        <v>4433</v>
      </c>
      <c r="D10" s="11" t="s">
        <v>4434</v>
      </c>
      <c r="E10" s="11" t="s">
        <v>4435</v>
      </c>
      <c r="F10" s="11" t="s">
        <v>4436</v>
      </c>
      <c r="G10" s="11" t="s">
        <v>4444</v>
      </c>
      <c r="H10" s="11" t="s">
        <v>4436</v>
      </c>
      <c r="I10" s="43"/>
      <c r="J10" s="11" t="s">
        <v>4447</v>
      </c>
      <c r="K10" s="44"/>
    </row>
    <row r="11" spans="2:13" x14ac:dyDescent="0.25">
      <c r="B11" s="22">
        <v>46083</v>
      </c>
      <c r="C11" s="21" t="s">
        <v>4710</v>
      </c>
      <c r="D11" s="3" t="str" cm="1">
        <f t="array" ref="D11">IFERROR(_xlfn.XLOOKUP(TEXT(C11,"0000"),TEXT(Catalog!A:A,"0000"),Catalog!B:B),"")</f>
        <v xml:space="preserve">MOER PG 13,5                  </v>
      </c>
      <c r="F11" t="s">
        <v>4715</v>
      </c>
    </row>
    <row r="12" spans="2:13" x14ac:dyDescent="0.25">
      <c r="B12" s="22">
        <v>46083</v>
      </c>
      <c r="C12" s="21" t="s">
        <v>4711</v>
      </c>
      <c r="D12" s="3" t="str" cm="1">
        <f t="array" ref="D12">IFERROR(_xlfn.XLOOKUP(TEXT(C12,"0000"),TEXT(Catalog!A:A,"0000"),Catalog!B:B),"")</f>
        <v xml:space="preserve">PG 13,5 + MOER                </v>
      </c>
      <c r="F12" t="s">
        <v>4716</v>
      </c>
    </row>
    <row r="13" spans="2:13" x14ac:dyDescent="0.25">
      <c r="D13" s="3"/>
    </row>
    <row r="14" spans="2:13" ht="24" x14ac:dyDescent="0.4">
      <c r="B14" s="42" t="s">
        <v>4565</v>
      </c>
      <c r="C14" s="42"/>
      <c r="D14" s="42"/>
      <c r="E14" s="42"/>
      <c r="F14" s="42"/>
      <c r="G14" s="42"/>
      <c r="H14" s="42"/>
      <c r="I14" s="43" t="s">
        <v>4459</v>
      </c>
      <c r="J14" s="13" t="s">
        <v>4432</v>
      </c>
      <c r="K14" s="44" t="s">
        <v>4460</v>
      </c>
    </row>
    <row r="15" spans="2:13" ht="18.75" x14ac:dyDescent="0.3">
      <c r="B15" s="11" t="s">
        <v>4445</v>
      </c>
      <c r="C15" s="11" t="s">
        <v>4433</v>
      </c>
      <c r="D15" s="11" t="s">
        <v>4434</v>
      </c>
      <c r="E15" s="11" t="s">
        <v>4435</v>
      </c>
      <c r="F15" s="11" t="s">
        <v>4436</v>
      </c>
      <c r="G15" s="11" t="s">
        <v>4444</v>
      </c>
      <c r="H15" s="11" t="s">
        <v>4436</v>
      </c>
      <c r="I15" s="43"/>
      <c r="J15" s="11" t="s">
        <v>4447</v>
      </c>
      <c r="K15" s="44"/>
    </row>
    <row r="16" spans="2:13" x14ac:dyDescent="0.25">
      <c r="B16" s="22">
        <v>46083</v>
      </c>
      <c r="C16">
        <v>12431</v>
      </c>
      <c r="D16" s="3" t="str" cm="1">
        <f t="array" ref="D16">IFERROR(_xlfn.XLOOKUP(TEXT(C16,"0000"),TEXT(Catalog!A:A,"0000"),Catalog!B:B),"")</f>
        <v>CEE-FORM STEKKER 2P+E16A-02101</v>
      </c>
      <c r="E16" t="s">
        <v>4603</v>
      </c>
      <c r="F16">
        <v>5</v>
      </c>
    </row>
    <row r="17" spans="2:11" x14ac:dyDescent="0.25">
      <c r="B17" s="22">
        <v>46083</v>
      </c>
      <c r="C17">
        <v>1249</v>
      </c>
      <c r="D17" s="3" t="str" cm="1">
        <f t="array" ref="D17">IFERROR(_xlfn.XLOOKUP(TEXT(C17,"0000"),TEXT(Catalog!A:A,"0000"),Catalog!B:B),"")</f>
        <v>CEE-FOR STEK 2P+E16A IP67-2601</v>
      </c>
      <c r="E17" t="s">
        <v>4718</v>
      </c>
      <c r="F17">
        <v>3</v>
      </c>
    </row>
    <row r="18" spans="2:11" x14ac:dyDescent="0.25">
      <c r="B18" s="22">
        <v>46083</v>
      </c>
      <c r="C18">
        <v>1246</v>
      </c>
      <c r="D18" s="3" t="str" cm="1">
        <f t="array" ref="D18">IFERROR(_xlfn.XLOOKUP(TEXT(C18,"0000"),TEXT(Catalog!A:A,"0000"),Catalog!B:B),"")</f>
        <v xml:space="preserve">CEE-FORM STEK 2P+E 32A-02104  </v>
      </c>
      <c r="E18" t="s">
        <v>4719</v>
      </c>
    </row>
    <row r="19" spans="2:11" x14ac:dyDescent="0.25">
      <c r="B19" s="22">
        <v>46083</v>
      </c>
      <c r="C19">
        <v>12521</v>
      </c>
      <c r="D19" s="3" t="str" cm="1">
        <f t="array" ref="D19">IFERROR(_xlfn.XLOOKUP(TEXT(C19,"0000"),TEXT(Catalog!A:A,"0000"),Catalog!B:B),"")</f>
        <v xml:space="preserve">CEE-FORM STEK 2P+E 32A 02604  </v>
      </c>
      <c r="E19" t="s">
        <v>4720</v>
      </c>
      <c r="F19">
        <v>2</v>
      </c>
    </row>
    <row r="20" spans="2:11" x14ac:dyDescent="0.25">
      <c r="B20" s="22">
        <v>46083</v>
      </c>
      <c r="C20">
        <v>12441</v>
      </c>
      <c r="D20" s="3" t="str" cm="1">
        <f t="array" ref="D20">IFERROR(_xlfn.XLOOKUP(TEXT(C20,"0000"),TEXT(Catalog!A:A,"0000"),Catalog!B:B),"")</f>
        <v>CEE-FORM STEKKER 3P+E16A-03102</v>
      </c>
      <c r="E20" t="s">
        <v>4604</v>
      </c>
      <c r="F20">
        <v>8</v>
      </c>
    </row>
    <row r="21" spans="2:11" x14ac:dyDescent="0.25">
      <c r="B21" s="22">
        <v>46083</v>
      </c>
      <c r="C21">
        <v>12451</v>
      </c>
      <c r="D21" s="3" t="str" cm="1">
        <f t="array" ref="D21">IFERROR(_xlfn.XLOOKUP(TEXT(C21,"0000"),TEXT(Catalog!A:A,"0000"),Catalog!B:B),"")</f>
        <v>CEE-FORM STEK 3P+N+E 16A-03103</v>
      </c>
      <c r="E21" t="s">
        <v>4581</v>
      </c>
      <c r="F21">
        <v>1</v>
      </c>
    </row>
    <row r="22" spans="2:11" x14ac:dyDescent="0.25">
      <c r="B22" s="22">
        <v>46083</v>
      </c>
      <c r="C22">
        <v>1247</v>
      </c>
      <c r="D22" s="3" t="str" cm="1">
        <f t="array" ref="D22">IFERROR(_xlfn.XLOOKUP(TEXT(C22,"0000"),TEXT(Catalog!A:A,"0000"),Catalog!B:B),"")</f>
        <v xml:space="preserve">CEE-FORM STEK 3P+E 32A-03105  </v>
      </c>
      <c r="E22" t="s">
        <v>4721</v>
      </c>
      <c r="F22">
        <v>4</v>
      </c>
    </row>
    <row r="23" spans="2:11" x14ac:dyDescent="0.25">
      <c r="B23" s="22">
        <v>46083</v>
      </c>
      <c r="C23">
        <v>1248</v>
      </c>
      <c r="D23" s="3" t="str" cm="1">
        <f t="array" ref="D23">IFERROR(_xlfn.XLOOKUP(TEXT(C23,"0000"),TEXT(Catalog!A:A,"0000"),Catalog!B:B),"")</f>
        <v>CEE-FORM STEK 3P+N+E 32A-03106</v>
      </c>
      <c r="E23" t="s">
        <v>4581</v>
      </c>
    </row>
    <row r="24" spans="2:11" x14ac:dyDescent="0.25">
      <c r="B24" s="22">
        <v>46083</v>
      </c>
      <c r="C24">
        <v>12501</v>
      </c>
      <c r="D24" s="3" t="str" cm="1">
        <f t="array" ref="D24">IFERROR(_xlfn.XLOOKUP(TEXT(C24,"0000"),TEXT(Catalog!A:A,"0000"),Catalog!B:B),"")</f>
        <v>CEE-FOR STEK3P+E 16A IP67 3602</v>
      </c>
      <c r="E24" t="s">
        <v>4718</v>
      </c>
      <c r="F24">
        <v>2</v>
      </c>
    </row>
    <row r="26" spans="2:11" ht="24" x14ac:dyDescent="0.4">
      <c r="B26" s="42" t="s">
        <v>4717</v>
      </c>
      <c r="C26" s="42"/>
      <c r="D26" s="42"/>
      <c r="E26" s="42"/>
      <c r="F26" s="42"/>
      <c r="G26" s="42"/>
      <c r="H26" s="42"/>
      <c r="I26" s="43" t="s">
        <v>4459</v>
      </c>
      <c r="J26" s="13" t="s">
        <v>4432</v>
      </c>
      <c r="K26" s="44" t="s">
        <v>4460</v>
      </c>
    </row>
    <row r="27" spans="2:11" ht="18.75" x14ac:dyDescent="0.3">
      <c r="B27" s="11" t="s">
        <v>4445</v>
      </c>
      <c r="C27" s="11" t="s">
        <v>4433</v>
      </c>
      <c r="D27" s="11" t="s">
        <v>4434</v>
      </c>
      <c r="E27" s="11" t="s">
        <v>4435</v>
      </c>
      <c r="F27" s="11" t="s">
        <v>4436</v>
      </c>
      <c r="G27" s="11" t="s">
        <v>4444</v>
      </c>
      <c r="H27" s="11" t="s">
        <v>4436</v>
      </c>
      <c r="I27" s="43"/>
      <c r="J27" s="11" t="s">
        <v>4447</v>
      </c>
      <c r="K27" s="44"/>
    </row>
    <row r="28" spans="2:11" x14ac:dyDescent="0.25">
      <c r="B28" s="22">
        <v>46083</v>
      </c>
      <c r="C28">
        <v>12541</v>
      </c>
      <c r="D28" s="3" t="str" cm="1">
        <f t="array" ref="D28">IFERROR(_xlfn.XLOOKUP(TEXT(C28,"0000"),TEXT(Catalog!A:A,"0000"),Catalog!B:B),"")</f>
        <v xml:space="preserve">CEE-FORM -WCD 2P+E 16A-02321  </v>
      </c>
      <c r="E28" t="s">
        <v>4604</v>
      </c>
      <c r="F28">
        <v>6</v>
      </c>
    </row>
    <row r="29" spans="2:11" x14ac:dyDescent="0.25">
      <c r="B29" s="22">
        <v>46083</v>
      </c>
      <c r="C29">
        <v>12601</v>
      </c>
      <c r="D29" s="3" t="str" cm="1">
        <f t="array" ref="D29">IFERROR(_xlfn.XLOOKUP(TEXT(C29,"0000"),TEXT(Catalog!A:A,"0000"),Catalog!B:B),"")</f>
        <v xml:space="preserve">CEE-FORM WCD 2P+E 16A -02821  </v>
      </c>
      <c r="E29" t="s">
        <v>4722</v>
      </c>
      <c r="F29">
        <v>5</v>
      </c>
    </row>
    <row r="30" spans="2:11" x14ac:dyDescent="0.25">
      <c r="B30" s="22">
        <v>46083</v>
      </c>
      <c r="C30">
        <v>12551</v>
      </c>
      <c r="D30" s="3" t="str" cm="1">
        <f t="array" ref="D30">IFERROR(_xlfn.XLOOKUP(TEXT(C30,"0000"),TEXT(Catalog!A:A,"0000"),Catalog!B:B),"")</f>
        <v xml:space="preserve">CEE-FORM WCD 3P+E 16A-03322   </v>
      </c>
      <c r="E30" t="s">
        <v>4723</v>
      </c>
    </row>
    <row r="31" spans="2:11" x14ac:dyDescent="0.25">
      <c r="B31" s="22">
        <v>46083</v>
      </c>
      <c r="C31">
        <v>12603</v>
      </c>
      <c r="D31" s="3" t="str" cm="1">
        <f t="array" ref="D31">IFERROR(_xlfn.XLOOKUP(TEXT(C31,"0000"),TEXT(Catalog!A:A,"0000"),Catalog!B:B),"")</f>
        <v xml:space="preserve">CEE-FORM WCD 3P+N+E 16A 03823 </v>
      </c>
      <c r="F31">
        <v>2</v>
      </c>
    </row>
    <row r="32" spans="2:11" x14ac:dyDescent="0.25">
      <c r="B32" s="22">
        <v>46083</v>
      </c>
      <c r="C32">
        <v>12602</v>
      </c>
      <c r="D32" s="3" t="str" cm="1">
        <f t="array" ref="D32">IFERROR(_xlfn.XLOOKUP(TEXT(C32,"0000"),TEXT(Catalog!A:A,"0000"),Catalog!B:B),"")</f>
        <v xml:space="preserve">CEE-FORM WCD 3P+E 16A -03822  </v>
      </c>
      <c r="E32" t="s">
        <v>4724</v>
      </c>
      <c r="F32">
        <v>3</v>
      </c>
    </row>
    <row r="33" spans="2:11" x14ac:dyDescent="0.25">
      <c r="B33" s="22">
        <v>46083</v>
      </c>
      <c r="C33">
        <v>12561</v>
      </c>
      <c r="D33" s="3" t="str" cm="1">
        <f t="array" ref="D33">IFERROR(_xlfn.XLOOKUP(TEXT(C33,"0000"),TEXT(Catalog!A:A,"0000"),Catalog!B:B),"")</f>
        <v xml:space="preserve">CEE-FORM WCD 3P+N+E 16A-03323 </v>
      </c>
      <c r="E33" t="s">
        <v>4604</v>
      </c>
      <c r="F33">
        <v>7</v>
      </c>
    </row>
    <row r="35" spans="2:11" ht="24" x14ac:dyDescent="0.4">
      <c r="B35" s="42" t="s">
        <v>4725</v>
      </c>
      <c r="C35" s="42"/>
      <c r="D35" s="42"/>
      <c r="E35" s="42"/>
      <c r="F35" s="42"/>
      <c r="G35" s="42"/>
      <c r="H35" s="42"/>
      <c r="I35" s="43" t="s">
        <v>4459</v>
      </c>
      <c r="J35" s="13" t="s">
        <v>4432</v>
      </c>
      <c r="K35" s="44" t="s">
        <v>4460</v>
      </c>
    </row>
    <row r="36" spans="2:11" ht="18.75" x14ac:dyDescent="0.3">
      <c r="B36" s="11" t="s">
        <v>4445</v>
      </c>
      <c r="C36" s="11" t="s">
        <v>4433</v>
      </c>
      <c r="D36" s="11" t="s">
        <v>4434</v>
      </c>
      <c r="E36" s="11" t="s">
        <v>4435</v>
      </c>
      <c r="F36" s="11" t="s">
        <v>4436</v>
      </c>
      <c r="G36" s="11" t="s">
        <v>4444</v>
      </c>
      <c r="H36" s="11" t="s">
        <v>4436</v>
      </c>
      <c r="I36" s="43"/>
      <c r="J36" s="11" t="s">
        <v>4447</v>
      </c>
      <c r="K36" s="44"/>
    </row>
    <row r="37" spans="2:11" x14ac:dyDescent="0.25">
      <c r="B37" s="22">
        <v>46083</v>
      </c>
      <c r="C37">
        <v>12533</v>
      </c>
      <c r="D37" s="3" t="str" cm="1">
        <f t="array" ref="D37">IFERROR(_xlfn.XLOOKUP(TEXT(C37,"0000"),TEXT(Catalog!A:A,"0000"),Catalog!B:B),"")</f>
        <v xml:space="preserve">CEE-FORM STEK 3P+E 63A  03652 </v>
      </c>
      <c r="E37" t="s">
        <v>4732</v>
      </c>
      <c r="F37">
        <v>1</v>
      </c>
    </row>
    <row r="38" spans="2:11" x14ac:dyDescent="0.25">
      <c r="B38" s="22">
        <v>46083</v>
      </c>
      <c r="C38">
        <v>1277</v>
      </c>
      <c r="D38" s="3" t="str" cm="1">
        <f t="array" ref="D38">IFERROR(_xlfn.XLOOKUP(TEXT(C38,"0000"),TEXT(Catalog!A:A,"0000"),Catalog!B:B),"")</f>
        <v xml:space="preserve">CEE-FORM CONN 3P+E 63A 03752  </v>
      </c>
      <c r="E38" t="s">
        <v>4733</v>
      </c>
      <c r="F38">
        <v>1</v>
      </c>
    </row>
    <row r="40" spans="2:11" ht="24" x14ac:dyDescent="0.4">
      <c r="B40" s="42" t="s">
        <v>4730</v>
      </c>
      <c r="C40" s="42"/>
      <c r="D40" s="42"/>
      <c r="E40" s="42"/>
      <c r="F40" s="42"/>
      <c r="G40" s="42"/>
      <c r="H40" s="42"/>
      <c r="I40" s="43" t="s">
        <v>4459</v>
      </c>
      <c r="J40" s="13" t="s">
        <v>4432</v>
      </c>
      <c r="K40" s="44" t="s">
        <v>4460</v>
      </c>
    </row>
    <row r="41" spans="2:11" ht="18.75" x14ac:dyDescent="0.3">
      <c r="B41" s="11" t="s">
        <v>4445</v>
      </c>
      <c r="C41" s="11" t="s">
        <v>4433</v>
      </c>
      <c r="D41" s="11" t="s">
        <v>4434</v>
      </c>
      <c r="E41" s="11" t="s">
        <v>4435</v>
      </c>
      <c r="F41" s="11" t="s">
        <v>4436</v>
      </c>
      <c r="G41" s="11" t="s">
        <v>4444</v>
      </c>
      <c r="H41" s="11" t="s">
        <v>4436</v>
      </c>
      <c r="I41" s="43"/>
      <c r="J41" s="11" t="s">
        <v>4447</v>
      </c>
      <c r="K41" s="44"/>
    </row>
    <row r="42" spans="2:11" x14ac:dyDescent="0.25">
      <c r="B42" s="22">
        <v>46083</v>
      </c>
      <c r="C42" s="26" t="s">
        <v>4726</v>
      </c>
      <c r="D42" s="3" t="str" cm="1">
        <f t="array" ref="D42">IFERROR(_xlfn.XLOOKUP(TEXT(C42,"0000"),TEXT(Catalog!A:A,"0000"),Catalog!B:B),"")</f>
        <v xml:space="preserve">PG 36                         </v>
      </c>
      <c r="E42" t="s">
        <v>4734</v>
      </c>
    </row>
    <row r="43" spans="2:11" x14ac:dyDescent="0.25">
      <c r="B43" s="22">
        <v>46083</v>
      </c>
      <c r="C43" s="26" t="s">
        <v>4727</v>
      </c>
      <c r="D43" s="3" t="str" cm="1">
        <f t="array" ref="D43">IFERROR(_xlfn.XLOOKUP(TEXT(C43,"0000"),TEXT(Catalog!A:A,"0000"),Catalog!B:B),"")</f>
        <v xml:space="preserve">MOER PG 48                    </v>
      </c>
      <c r="E43" t="s">
        <v>4735</v>
      </c>
      <c r="K43" t="s">
        <v>4736</v>
      </c>
    </row>
    <row r="44" spans="2:11" x14ac:dyDescent="0.25">
      <c r="B44" s="22">
        <v>46083</v>
      </c>
      <c r="C44" s="26" t="s">
        <v>4728</v>
      </c>
      <c r="D44" s="3" t="str" cm="1">
        <f t="array" ref="D44">IFERROR(_xlfn.XLOOKUP(TEXT(C44,"0000"),TEXT(Catalog!A:A,"0000"),Catalog!B:B),"")</f>
        <v xml:space="preserve">PG+MOER M16                   </v>
      </c>
      <c r="E44" t="s">
        <v>4737</v>
      </c>
    </row>
    <row r="45" spans="2:11" x14ac:dyDescent="0.25">
      <c r="B45" s="22">
        <v>46083</v>
      </c>
      <c r="C45" s="26" t="s">
        <v>4729</v>
      </c>
      <c r="D45" s="3" t="str" cm="1">
        <f t="array" ref="D45">IFERROR(_xlfn.XLOOKUP(TEXT(C45,"0000"),TEXT(Catalog!A:A,"0000"),Catalog!B:B),"")</f>
        <v xml:space="preserve">PG+MOER M20                   </v>
      </c>
      <c r="E45" t="s">
        <v>4738</v>
      </c>
    </row>
    <row r="46" spans="2:11" x14ac:dyDescent="0.25">
      <c r="B46" s="22">
        <v>46114</v>
      </c>
      <c r="C46" s="26" t="s">
        <v>4731</v>
      </c>
      <c r="D46" s="3" t="str" cm="1">
        <f t="array" ref="D46">IFERROR(_xlfn.XLOOKUP(TEXT(C46,"0000"),TEXT(Catalog!A:A,"0000"),Catalog!B:B),"")</f>
        <v xml:space="preserve">PG+MOER M25                   </v>
      </c>
      <c r="E46" t="s">
        <v>4739</v>
      </c>
    </row>
    <row r="48" spans="2:11" ht="24" x14ac:dyDescent="0.4">
      <c r="B48" s="42" t="s">
        <v>4740</v>
      </c>
      <c r="C48" s="42"/>
      <c r="D48" s="42"/>
      <c r="E48" s="42"/>
      <c r="F48" s="42"/>
      <c r="G48" s="42"/>
      <c r="H48" s="42"/>
      <c r="I48" s="43" t="s">
        <v>4459</v>
      </c>
      <c r="J48" s="13" t="s">
        <v>4432</v>
      </c>
      <c r="K48" s="44" t="s">
        <v>4460</v>
      </c>
    </row>
    <row r="49" spans="2:11" ht="18.75" x14ac:dyDescent="0.3">
      <c r="B49" s="11" t="s">
        <v>4445</v>
      </c>
      <c r="C49" s="11" t="s">
        <v>4433</v>
      </c>
      <c r="D49" s="11" t="s">
        <v>4434</v>
      </c>
      <c r="E49" s="11" t="s">
        <v>4435</v>
      </c>
      <c r="F49" s="11" t="s">
        <v>4436</v>
      </c>
      <c r="G49" s="11" t="s">
        <v>4444</v>
      </c>
      <c r="H49" s="11" t="s">
        <v>4436</v>
      </c>
      <c r="I49" s="43"/>
      <c r="J49" s="11" t="s">
        <v>4447</v>
      </c>
      <c r="K49" s="44"/>
    </row>
    <row r="50" spans="2:11" x14ac:dyDescent="0.25">
      <c r="B50" s="22">
        <v>46114</v>
      </c>
      <c r="C50">
        <v>1262</v>
      </c>
      <c r="D50" s="3" t="str" cm="1">
        <f t="array" ref="D50">IFERROR(_xlfn.XLOOKUP(TEXT(C50,"0000"),TEXT(Catalog!A:A,"0000"),Catalog!B:B),"")</f>
        <v xml:space="preserve">CEE-FORM CONN 3P+E 16A-03202  </v>
      </c>
      <c r="E50" t="s">
        <v>4604</v>
      </c>
      <c r="F50">
        <v>8</v>
      </c>
    </row>
    <row r="51" spans="2:11" x14ac:dyDescent="0.25">
      <c r="B51" s="22">
        <v>46114</v>
      </c>
      <c r="C51">
        <v>1274</v>
      </c>
      <c r="D51" s="3" t="str" cm="1">
        <f t="array" ref="D51">IFERROR(_xlfn.XLOOKUP(TEXT(C51,"0000"),TEXT(Catalog!A:A,"0000"),Catalog!B:B),"")</f>
        <v xml:space="preserve">CEE-FORM CONN 2P+E 32A 02704  </v>
      </c>
      <c r="E51" t="s">
        <v>4646</v>
      </c>
    </row>
    <row r="52" spans="2:11" x14ac:dyDescent="0.25">
      <c r="B52" s="22">
        <v>46114</v>
      </c>
      <c r="C52">
        <v>1264</v>
      </c>
      <c r="D52" s="3" t="str" cm="1">
        <f t="array" ref="D52">IFERROR(_xlfn.XLOOKUP(TEXT(C52,"0000"),TEXT(Catalog!A:A,"0000"),Catalog!B:B),"")</f>
        <v xml:space="preserve">CEE-FORM CONN 2P+E 32A-02204  </v>
      </c>
      <c r="E52" t="s">
        <v>4741</v>
      </c>
    </row>
    <row r="53" spans="2:11" x14ac:dyDescent="0.25">
      <c r="B53" s="22">
        <v>46114</v>
      </c>
      <c r="C53">
        <v>1271</v>
      </c>
      <c r="D53" s="3" t="str" cm="1">
        <f t="array" ref="D53">IFERROR(_xlfn.XLOOKUP(TEXT(C53,"0000"),TEXT(Catalog!A:A,"0000"),Catalog!B:B),"")</f>
        <v xml:space="preserve">CEE-FORM CONN 2P+E 16A 02701  </v>
      </c>
      <c r="E53" t="s">
        <v>4742</v>
      </c>
    </row>
    <row r="54" spans="2:11" x14ac:dyDescent="0.25">
      <c r="B54" s="22">
        <v>46114</v>
      </c>
      <c r="C54">
        <v>1261</v>
      </c>
      <c r="D54" s="3" t="str" cm="1">
        <f t="array" ref="D54">IFERROR(_xlfn.XLOOKUP(TEXT(C54,"0000"),TEXT(Catalog!A:A,"0000"),Catalog!B:B),"")</f>
        <v xml:space="preserve">CEE-FORM CONN 2P+E 16A-02201  </v>
      </c>
      <c r="E54" t="s">
        <v>4743</v>
      </c>
      <c r="F54">
        <v>6</v>
      </c>
    </row>
    <row r="55" spans="2:11" x14ac:dyDescent="0.25">
      <c r="B55" s="22">
        <v>46114</v>
      </c>
      <c r="C55">
        <v>12532</v>
      </c>
      <c r="D55" s="3" t="str" cm="1">
        <f t="array" ref="D55">IFERROR(_xlfn.XLOOKUP(TEXT(C55,"0000"),TEXT(Catalog!A:A,"0000"),Catalog!B:B),"")</f>
        <v xml:space="preserve">CEE-FORM STEK 3P+N+E 32A 3606 </v>
      </c>
      <c r="E55" t="s">
        <v>4720</v>
      </c>
      <c r="F55">
        <v>4</v>
      </c>
    </row>
    <row r="56" spans="2:11" x14ac:dyDescent="0.25">
      <c r="B56" s="22">
        <v>46114</v>
      </c>
      <c r="C56">
        <v>12531</v>
      </c>
      <c r="D56" s="3" t="str" cm="1">
        <f t="array" ref="D56">IFERROR(_xlfn.XLOOKUP(TEXT(C56,"0000"),TEXT(Catalog!A:A,"0000"),Catalog!B:B),"")</f>
        <v xml:space="preserve">CEE-FORM STEK 3P+E 32A 03605  </v>
      </c>
      <c r="E56" t="s">
        <v>4744</v>
      </c>
    </row>
    <row r="57" spans="2:11" x14ac:dyDescent="0.25">
      <c r="B57" s="22">
        <v>46114</v>
      </c>
      <c r="C57">
        <v>12511</v>
      </c>
      <c r="D57" s="3" t="str" cm="1">
        <f t="array" ref="D57">IFERROR(_xlfn.XLOOKUP(TEXT(C57,"0000"),TEXT(Catalog!A:A,"0000"),Catalog!B:B),"")</f>
        <v>CEE-FORM STEK 3P+N+E 16A 03603</v>
      </c>
      <c r="E57" t="s">
        <v>4718</v>
      </c>
      <c r="F57">
        <v>4</v>
      </c>
    </row>
    <row r="61" spans="2:11" ht="24" x14ac:dyDescent="0.4">
      <c r="B61" s="42" t="s">
        <v>4745</v>
      </c>
      <c r="C61" s="42"/>
      <c r="D61" s="42"/>
      <c r="E61" s="42"/>
      <c r="F61" s="42"/>
      <c r="G61" s="42"/>
      <c r="H61" s="42"/>
      <c r="I61" s="43" t="s">
        <v>4459</v>
      </c>
      <c r="J61" s="13" t="s">
        <v>4432</v>
      </c>
      <c r="K61" s="44" t="s">
        <v>4460</v>
      </c>
    </row>
    <row r="62" spans="2:11" ht="18.75" x14ac:dyDescent="0.3">
      <c r="B62" s="11" t="s">
        <v>4445</v>
      </c>
      <c r="C62" s="11" t="s">
        <v>4433</v>
      </c>
      <c r="D62" s="11" t="s">
        <v>4434</v>
      </c>
      <c r="E62" s="11" t="s">
        <v>4435</v>
      </c>
      <c r="F62" s="11" t="s">
        <v>4436</v>
      </c>
      <c r="G62" s="11" t="s">
        <v>4444</v>
      </c>
      <c r="H62" s="11" t="s">
        <v>4436</v>
      </c>
      <c r="I62" s="43"/>
      <c r="J62" s="11" t="s">
        <v>4447</v>
      </c>
      <c r="K62" s="44"/>
    </row>
    <row r="63" spans="2:11" x14ac:dyDescent="0.25">
      <c r="B63" s="22">
        <v>46114</v>
      </c>
      <c r="C63">
        <v>12581</v>
      </c>
      <c r="D63" s="3" t="str" cm="1">
        <f t="array" ref="D63">IFERROR(_xlfn.XLOOKUP(TEXT(C63,"0000"),TEXT(Catalog!A:A,"0000"),Catalog!B:B),"")</f>
        <v xml:space="preserve">CEE-FORM WCD 3P+E 32A-3325    </v>
      </c>
      <c r="E63" t="s">
        <v>4742</v>
      </c>
    </row>
    <row r="64" spans="2:11" x14ac:dyDescent="0.25">
      <c r="B64" s="22">
        <v>46114</v>
      </c>
      <c r="C64">
        <v>12591</v>
      </c>
      <c r="D64" s="3" t="str" cm="1">
        <f t="array" ref="D64">IFERROR(_xlfn.XLOOKUP(TEXT(C64,"0000"),TEXT(Catalog!A:A,"0000"),Catalog!B:B),"")</f>
        <v xml:space="preserve">CEE-FORM WCD 3P+N+T 32A-03326 </v>
      </c>
      <c r="E64" t="s">
        <v>4742</v>
      </c>
      <c r="F64">
        <v>10</v>
      </c>
    </row>
    <row r="65" spans="2:11" x14ac:dyDescent="0.25">
      <c r="B65" s="22">
        <v>46114</v>
      </c>
      <c r="C65">
        <v>1284</v>
      </c>
      <c r="D65" s="3" t="str" cm="1">
        <f t="array" ref="D65">IFERROR(_xlfn.XLOOKUP(TEXT(C65,"0000"),TEXT(Catalog!A:A,"0000"),Catalog!B:B),"")</f>
        <v>CEE-FORM SCH-WCD 3P+E16A 03832</v>
      </c>
      <c r="E65" t="s">
        <v>4747</v>
      </c>
    </row>
    <row r="66" spans="2:11" x14ac:dyDescent="0.25">
      <c r="B66" s="22">
        <v>46114</v>
      </c>
      <c r="C66">
        <v>12605</v>
      </c>
      <c r="D66" s="3" t="str" cm="1">
        <f t="array" ref="D66">IFERROR(_xlfn.XLOOKUP(TEXT(C66,"0000"),TEXT(Catalog!A:A,"0000"),Catalog!B:B),"")</f>
        <v xml:space="preserve">CEE-FORM WCD 3P+E 32A -03825  </v>
      </c>
      <c r="E66" t="s">
        <v>4748</v>
      </c>
      <c r="F66">
        <v>5</v>
      </c>
    </row>
    <row r="67" spans="2:11" x14ac:dyDescent="0.25">
      <c r="B67" s="22">
        <v>46114</v>
      </c>
      <c r="C67">
        <v>1285</v>
      </c>
      <c r="D67" s="3" t="str" cm="1">
        <f t="array" ref="D67">IFERROR(_xlfn.XLOOKUP(TEXT(C67,"0000"),TEXT(Catalog!A:A,"0000"),Catalog!B:B),"")</f>
        <v xml:space="preserve">CEE-FORM WCD 3P+N+E 16A-03363 </v>
      </c>
      <c r="E67" t="s">
        <v>4749</v>
      </c>
    </row>
    <row r="69" spans="2:11" ht="24" x14ac:dyDescent="0.4">
      <c r="B69" s="42" t="s">
        <v>4746</v>
      </c>
      <c r="C69" s="42"/>
      <c r="D69" s="42"/>
      <c r="E69" s="42"/>
      <c r="F69" s="42"/>
      <c r="G69" s="42"/>
      <c r="H69" s="42"/>
      <c r="I69" s="43" t="s">
        <v>4459</v>
      </c>
      <c r="J69" s="13" t="s">
        <v>4432</v>
      </c>
      <c r="K69" s="44" t="s">
        <v>4460</v>
      </c>
    </row>
    <row r="70" spans="2:11" ht="18.75" x14ac:dyDescent="0.3">
      <c r="B70" s="11" t="s">
        <v>4445</v>
      </c>
      <c r="C70" s="11" t="s">
        <v>4433</v>
      </c>
      <c r="D70" s="11" t="s">
        <v>4434</v>
      </c>
      <c r="E70" s="11" t="s">
        <v>4435</v>
      </c>
      <c r="F70" s="11" t="s">
        <v>4436</v>
      </c>
      <c r="G70" s="11" t="s">
        <v>4444</v>
      </c>
      <c r="H70" s="11" t="s">
        <v>4436</v>
      </c>
      <c r="I70" s="43"/>
      <c r="J70" s="11" t="s">
        <v>4447</v>
      </c>
      <c r="K70" s="44"/>
    </row>
    <row r="71" spans="2:11" x14ac:dyDescent="0.25">
      <c r="B71" s="22">
        <v>46114</v>
      </c>
      <c r="C71">
        <v>1283</v>
      </c>
      <c r="D71" s="3" t="str" cm="1">
        <f t="array" ref="D71">IFERROR(_xlfn.XLOOKUP(TEXT(C71,"0000"),TEXT(Catalog!A:A,"0000"),Catalog!B:B),"")</f>
        <v>CEE-FORM SCH-WCD3P+E 16A-03362</v>
      </c>
      <c r="E71" t="s">
        <v>4750</v>
      </c>
    </row>
    <row r="72" spans="2:11" x14ac:dyDescent="0.25">
      <c r="B72" s="22">
        <v>46114</v>
      </c>
      <c r="C72">
        <v>1282</v>
      </c>
      <c r="D72" s="3" t="str" cm="1">
        <f t="array" ref="D72">IFERROR(_xlfn.XLOOKUP(TEXT(C72,"0000"),TEXT(Catalog!A:A,"0000"),Catalog!B:B),"")</f>
        <v>CEE-FORM SCH-WCD2P+E 16A 02831</v>
      </c>
      <c r="E72" t="s">
        <v>4751</v>
      </c>
    </row>
    <row r="73" spans="2:11" x14ac:dyDescent="0.25">
      <c r="B73" s="22">
        <v>46114</v>
      </c>
      <c r="C73">
        <v>1281</v>
      </c>
      <c r="D73" s="3" t="str" cm="1">
        <f t="array" ref="D73">IFERROR(_xlfn.XLOOKUP(TEXT(C73,"0000"),TEXT(Catalog!A:A,"0000"),Catalog!B:B),"")</f>
        <v>CEE-FORM SCH-WCD 2P+E 16A-0236</v>
      </c>
      <c r="E73" t="s">
        <v>4752</v>
      </c>
    </row>
    <row r="74" spans="2:11" x14ac:dyDescent="0.25">
      <c r="B74" s="22">
        <v>46114</v>
      </c>
      <c r="C74">
        <v>1293</v>
      </c>
      <c r="D74" s="3" t="str" cm="1">
        <f t="array" ref="D74">IFERROR(_xlfn.XLOOKUP(TEXT(C74,"0000"),TEXT(Catalog!A:A,"0000"),Catalog!B:B),"")</f>
        <v xml:space="preserve">CEE-FORM WCD 3P+E 63A-03882   </v>
      </c>
      <c r="E74" t="s">
        <v>4753</v>
      </c>
    </row>
    <row r="75" spans="2:11" x14ac:dyDescent="0.25">
      <c r="B75" s="22">
        <v>46114</v>
      </c>
      <c r="C75">
        <v>12607</v>
      </c>
      <c r="D75" s="3" t="str" cm="1">
        <f t="array" ref="D75">IFERROR(_xlfn.XLOOKUP(TEXT(C75,"0000"),TEXT(Catalog!A:A,"0000"),Catalog!B:B),"")</f>
        <v xml:space="preserve">CEE-FORM WCD 3P+E 63A 03872   </v>
      </c>
      <c r="E75" t="s">
        <v>4754</v>
      </c>
      <c r="K75" t="s">
        <v>4755</v>
      </c>
    </row>
    <row r="77" spans="2:11" ht="24" x14ac:dyDescent="0.4">
      <c r="B77" s="42" t="s">
        <v>4759</v>
      </c>
      <c r="C77" s="42"/>
      <c r="D77" s="42"/>
      <c r="E77" s="42"/>
      <c r="F77" s="42"/>
      <c r="G77" s="42"/>
      <c r="H77" s="42"/>
      <c r="I77" s="43" t="s">
        <v>4459</v>
      </c>
      <c r="J77" s="13" t="s">
        <v>4432</v>
      </c>
      <c r="K77" s="44" t="s">
        <v>4460</v>
      </c>
    </row>
    <row r="78" spans="2:11" ht="18.75" x14ac:dyDescent="0.3">
      <c r="B78" s="11" t="s">
        <v>4445</v>
      </c>
      <c r="C78" s="11" t="s">
        <v>4433</v>
      </c>
      <c r="D78" s="11" t="s">
        <v>4434</v>
      </c>
      <c r="E78" s="11" t="s">
        <v>4435</v>
      </c>
      <c r="F78" s="11" t="s">
        <v>4436</v>
      </c>
      <c r="G78" s="11" t="s">
        <v>4444</v>
      </c>
      <c r="H78" s="11" t="s">
        <v>4436</v>
      </c>
      <c r="I78" s="43"/>
      <c r="J78" s="11" t="s">
        <v>4447</v>
      </c>
      <c r="K78" s="44"/>
    </row>
    <row r="79" spans="2:11" x14ac:dyDescent="0.25">
      <c r="B79" s="22">
        <v>46114</v>
      </c>
      <c r="C79" s="21" t="s">
        <v>4756</v>
      </c>
      <c r="D79" s="3" t="str" cm="1">
        <f t="array" ref="D79">IFERROR(_xlfn.XLOOKUP(TEXT(C79,"0000"),TEXT(Catalog!A:A,"0000"),Catalog!B:B),"")</f>
        <v xml:space="preserve">PG+MOER M40                   </v>
      </c>
      <c r="E79" t="s">
        <v>4760</v>
      </c>
    </row>
    <row r="80" spans="2:11" x14ac:dyDescent="0.25">
      <c r="B80" s="22">
        <v>46114</v>
      </c>
      <c r="C80" s="21" t="s">
        <v>4757</v>
      </c>
      <c r="D80" s="3" t="str" cm="1">
        <f t="array" ref="D80">IFERROR(_xlfn.XLOOKUP(TEXT(C80,"0000"),TEXT(Catalog!A:A,"0000"),Catalog!B:B),"")</f>
        <v xml:space="preserve">PG+MOER M50                   </v>
      </c>
      <c r="E80" t="s">
        <v>4761</v>
      </c>
    </row>
    <row r="81" spans="2:11" x14ac:dyDescent="0.25">
      <c r="B81" s="22">
        <v>46114</v>
      </c>
      <c r="C81" s="21" t="s">
        <v>4758</v>
      </c>
      <c r="D81" s="3" t="str" cm="1">
        <f t="array" ref="D81">IFERROR(_xlfn.XLOOKUP(TEXT(C81,"0000"),TEXT(Catalog!A:A,"0000"),Catalog!B:B),"")</f>
        <v xml:space="preserve">PG+MOER M63                   </v>
      </c>
      <c r="E81" t="s">
        <v>4762</v>
      </c>
    </row>
    <row r="82" spans="2:11" x14ac:dyDescent="0.25">
      <c r="B82" s="22">
        <v>46114</v>
      </c>
      <c r="C82" s="21" t="s">
        <v>4731</v>
      </c>
      <c r="D82" s="3" t="str" cm="1">
        <f t="array" ref="D82">IFERROR(_xlfn.XLOOKUP(TEXT(C82,"0000"),TEXT(Catalog!A:A,"0000"),Catalog!B:B),"")</f>
        <v xml:space="preserve">PG+MOER M25                   </v>
      </c>
      <c r="E82" t="s">
        <v>4763</v>
      </c>
    </row>
    <row r="84" spans="2:11" ht="24" x14ac:dyDescent="0.4">
      <c r="B84" s="42" t="s">
        <v>4764</v>
      </c>
      <c r="C84" s="42"/>
      <c r="D84" s="42"/>
      <c r="E84" s="42"/>
      <c r="F84" s="42"/>
      <c r="G84" s="42"/>
      <c r="H84" s="42"/>
      <c r="I84" s="43" t="s">
        <v>4459</v>
      </c>
      <c r="J84" s="13" t="s">
        <v>4432</v>
      </c>
      <c r="K84" s="44" t="s">
        <v>4460</v>
      </c>
    </row>
    <row r="85" spans="2:11" ht="18.75" x14ac:dyDescent="0.3">
      <c r="B85" s="11" t="s">
        <v>4445</v>
      </c>
      <c r="C85" s="11" t="s">
        <v>4433</v>
      </c>
      <c r="D85" s="11" t="s">
        <v>4434</v>
      </c>
      <c r="E85" s="11" t="s">
        <v>4435</v>
      </c>
      <c r="F85" s="11" t="s">
        <v>4436</v>
      </c>
      <c r="G85" s="11" t="s">
        <v>4444</v>
      </c>
      <c r="H85" s="11" t="s">
        <v>4436</v>
      </c>
      <c r="I85" s="43"/>
      <c r="J85" s="11" t="s">
        <v>4447</v>
      </c>
      <c r="K85" s="44"/>
    </row>
    <row r="86" spans="2:11" x14ac:dyDescent="0.25">
      <c r="B86" s="22">
        <v>46114</v>
      </c>
      <c r="C86">
        <v>1276</v>
      </c>
      <c r="D86" s="3" t="str" cm="1">
        <f t="array" ref="D86">IFERROR(_xlfn.XLOOKUP(TEXT(C86,"0000"),TEXT(Catalog!A:A,"0000"),Catalog!B:B),"")</f>
        <v>CEE-FORM CONN 3P+N+E 32A 03706</v>
      </c>
      <c r="E86" t="s">
        <v>4765</v>
      </c>
      <c r="F86">
        <v>2</v>
      </c>
    </row>
    <row r="87" spans="2:11" x14ac:dyDescent="0.25">
      <c r="B87" s="22">
        <v>46114</v>
      </c>
      <c r="C87">
        <v>1275</v>
      </c>
      <c r="D87" s="3" t="str" cm="1">
        <f t="array" ref="D87">IFERROR(_xlfn.XLOOKUP(TEXT(C87,"0000"),TEXT(Catalog!A:A,"0000"),Catalog!B:B),"")</f>
        <v xml:space="preserve">CEE-FORM CONN 3P+E 32A 03705  </v>
      </c>
      <c r="E87" t="s">
        <v>4720</v>
      </c>
      <c r="F87">
        <v>4</v>
      </c>
    </row>
    <row r="88" spans="2:11" x14ac:dyDescent="0.25">
      <c r="B88" s="22">
        <v>46114</v>
      </c>
      <c r="C88">
        <v>1269</v>
      </c>
      <c r="D88" s="3" t="str" cm="1">
        <f t="array" ref="D88">IFERROR(_xlfn.XLOOKUP(TEXT(C88,"0000"),TEXT(Catalog!A:A,"0000"),Catalog!B:B),"")</f>
        <v xml:space="preserve">CEE-FORM CONN 3P+E 32A-03205  </v>
      </c>
      <c r="E88" t="s">
        <v>4766</v>
      </c>
      <c r="F88">
        <v>4</v>
      </c>
    </row>
    <row r="89" spans="2:11" x14ac:dyDescent="0.25">
      <c r="B89" s="22">
        <v>46114</v>
      </c>
      <c r="C89">
        <v>1270</v>
      </c>
      <c r="D89" s="3" t="str" cm="1">
        <f t="array" ref="D89">IFERROR(_xlfn.XLOOKUP(TEXT(C89,"0000"),TEXT(Catalog!A:A,"0000"),Catalog!B:B),"")</f>
        <v>CEE-FORM CONN 3P+N+T 32A-03206</v>
      </c>
      <c r="E89" t="s">
        <v>4767</v>
      </c>
      <c r="F89">
        <v>2</v>
      </c>
    </row>
    <row r="90" spans="2:11" x14ac:dyDescent="0.25">
      <c r="B90" s="22">
        <v>46114</v>
      </c>
      <c r="C90">
        <v>1273</v>
      </c>
      <c r="D90" s="3" t="str" cm="1">
        <f t="array" ref="D90">IFERROR(_xlfn.XLOOKUP(TEXT(C90,"0000"),TEXT(Catalog!A:A,"0000"),Catalog!B:B),"")</f>
        <v>CEE-FORM CONN 3P+N+E 16A 03703</v>
      </c>
      <c r="E90" t="s">
        <v>4768</v>
      </c>
      <c r="F90">
        <v>4</v>
      </c>
    </row>
    <row r="91" spans="2:11" x14ac:dyDescent="0.25">
      <c r="B91" s="22">
        <v>46114</v>
      </c>
      <c r="C91">
        <v>1263</v>
      </c>
      <c r="D91" s="3" t="str" cm="1">
        <f t="array" ref="D91">IFERROR(_xlfn.XLOOKUP(TEXT(C91,"0000"),TEXT(Catalog!A:A,"0000"),Catalog!B:B),"")</f>
        <v>CEE-FORM CONN 3P+N+E 16A-03203</v>
      </c>
      <c r="E91" t="s">
        <v>4604</v>
      </c>
      <c r="F91">
        <v>2</v>
      </c>
    </row>
    <row r="92" spans="2:11" x14ac:dyDescent="0.25">
      <c r="B92" s="22">
        <v>46114</v>
      </c>
      <c r="C92">
        <v>1272</v>
      </c>
      <c r="D92" s="3" t="str" cm="1">
        <f t="array" ref="D92">IFERROR(_xlfn.XLOOKUP(TEXT(C92,"0000"),TEXT(Catalog!A:A,"0000"),Catalog!B:B),"")</f>
        <v xml:space="preserve">CEE-FORM CONN 3P+E 16A 03702  </v>
      </c>
      <c r="E92" t="s">
        <v>4748</v>
      </c>
    </row>
    <row r="94" spans="2:11" ht="24" x14ac:dyDescent="0.4">
      <c r="B94" s="42" t="s">
        <v>4769</v>
      </c>
      <c r="C94" s="42"/>
      <c r="D94" s="42"/>
      <c r="E94" s="42"/>
      <c r="F94" s="42"/>
      <c r="G94" s="42"/>
      <c r="H94" s="42"/>
      <c r="I94" s="43" t="s">
        <v>4459</v>
      </c>
      <c r="J94" s="13" t="s">
        <v>4432</v>
      </c>
      <c r="K94" s="44" t="s">
        <v>4460</v>
      </c>
    </row>
    <row r="95" spans="2:11" ht="18.75" x14ac:dyDescent="0.3">
      <c r="B95" s="11" t="s">
        <v>4445</v>
      </c>
      <c r="C95" s="11" t="s">
        <v>4433</v>
      </c>
      <c r="D95" s="11" t="s">
        <v>4434</v>
      </c>
      <c r="E95" s="11" t="s">
        <v>4435</v>
      </c>
      <c r="F95" s="11" t="s">
        <v>4436</v>
      </c>
      <c r="G95" s="11" t="s">
        <v>4444</v>
      </c>
      <c r="H95" s="11" t="s">
        <v>4436</v>
      </c>
      <c r="I95" s="43"/>
      <c r="J95" s="11" t="s">
        <v>4447</v>
      </c>
      <c r="K95" s="44"/>
    </row>
    <row r="96" spans="2:11" x14ac:dyDescent="0.25">
      <c r="B96" s="22">
        <v>46114</v>
      </c>
      <c r="C96">
        <v>1286</v>
      </c>
      <c r="D96" s="3" t="str" cm="1">
        <f t="array" ref="D96">IFERROR(_xlfn.XLOOKUP(TEXT(C96,"0000"),TEXT(Catalog!A:A,"0000"),Catalog!B:B),"")</f>
        <v xml:space="preserve">CEE-FORM WCD 3P+N+E 16A 03833 </v>
      </c>
      <c r="E96">
        <v>17</v>
      </c>
    </row>
    <row r="97" spans="2:11" x14ac:dyDescent="0.25">
      <c r="B97" s="22">
        <v>46114</v>
      </c>
      <c r="C97">
        <v>1287</v>
      </c>
      <c r="D97" s="3" t="str" cm="1">
        <f t="array" ref="D97">IFERROR(_xlfn.XLOOKUP(TEXT(C97,"0000"),TEXT(Catalog!A:A,"0000"),Catalog!B:B),"")</f>
        <v xml:space="preserve">CEE-FORM WCD 2P+E 32A -02364  </v>
      </c>
      <c r="E97">
        <v>21</v>
      </c>
    </row>
    <row r="98" spans="2:11" x14ac:dyDescent="0.25">
      <c r="B98" s="22">
        <v>46114</v>
      </c>
      <c r="C98">
        <v>1288</v>
      </c>
      <c r="D98" s="3" t="str" cm="1">
        <f t="array" ref="D98">IFERROR(_xlfn.XLOOKUP(TEXT(C98,"0000"),TEXT(Catalog!A:A,"0000"),Catalog!B:B),"")</f>
        <v xml:space="preserve">CEE-FORM WCD 2P+E 32A 02834   </v>
      </c>
      <c r="E98">
        <v>21</v>
      </c>
    </row>
    <row r="99" spans="2:11" x14ac:dyDescent="0.25">
      <c r="B99" s="22">
        <v>46114</v>
      </c>
      <c r="C99">
        <v>1289</v>
      </c>
      <c r="D99" s="3" t="str" cm="1">
        <f t="array" ref="D99">IFERROR(_xlfn.XLOOKUP(TEXT(C99,"0000"),TEXT(Catalog!A:A,"0000"),Catalog!B:B),"")</f>
        <v xml:space="preserve">CEE-FORM WCD 3P+E 32A 03365   </v>
      </c>
      <c r="E99">
        <v>21</v>
      </c>
    </row>
    <row r="100" spans="2:11" x14ac:dyDescent="0.25">
      <c r="B100" s="22">
        <v>46114</v>
      </c>
      <c r="C100">
        <v>1290</v>
      </c>
      <c r="D100" s="3" t="str" cm="1">
        <f t="array" ref="D100">IFERROR(_xlfn.XLOOKUP(TEXT(C100,"0000"),TEXT(Catalog!A:A,"0000"),Catalog!B:B),"")</f>
        <v xml:space="preserve">CEE-FORM WCD 3P+E 32A 03835   </v>
      </c>
      <c r="E100">
        <v>12</v>
      </c>
    </row>
    <row r="101" spans="2:11" x14ac:dyDescent="0.25">
      <c r="B101" s="22">
        <v>46114</v>
      </c>
      <c r="C101">
        <v>1291</v>
      </c>
      <c r="D101" s="3" t="str" cm="1">
        <f t="array" ref="D101">IFERROR(_xlfn.XLOOKUP(TEXT(C101,"0000"),TEXT(Catalog!A:A,"0000"),Catalog!B:B),"")</f>
        <v xml:space="preserve">CEE-FORM WCD 3P+N+E 32A-03366 </v>
      </c>
      <c r="E101">
        <v>17</v>
      </c>
    </row>
    <row r="102" spans="2:11" x14ac:dyDescent="0.25">
      <c r="B102" s="22">
        <v>46114</v>
      </c>
      <c r="C102">
        <v>1292</v>
      </c>
      <c r="D102" s="3" t="str" cm="1">
        <f t="array" ref="D102">IFERROR(_xlfn.XLOOKUP(TEXT(C102,"0000"),TEXT(Catalog!A:A,"0000"),Catalog!B:B),"")</f>
        <v xml:space="preserve">CEE-FORM WCD 3P+N+E 32A-03836 </v>
      </c>
      <c r="E102">
        <v>7</v>
      </c>
      <c r="K102">
        <v>3836</v>
      </c>
    </row>
    <row r="104" spans="2:11" ht="24" x14ac:dyDescent="0.4">
      <c r="B104" s="42" t="s">
        <v>4770</v>
      </c>
      <c r="C104" s="42"/>
      <c r="D104" s="42"/>
      <c r="E104" s="42"/>
      <c r="F104" s="42"/>
      <c r="G104" s="42"/>
      <c r="H104" s="42"/>
      <c r="I104" s="43" t="s">
        <v>4459</v>
      </c>
      <c r="J104" s="13" t="s">
        <v>4432</v>
      </c>
      <c r="K104" s="44" t="s">
        <v>4460</v>
      </c>
    </row>
    <row r="105" spans="2:11" ht="18.75" x14ac:dyDescent="0.3">
      <c r="B105" s="11" t="s">
        <v>4445</v>
      </c>
      <c r="C105" s="11" t="s">
        <v>4433</v>
      </c>
      <c r="D105" s="11" t="s">
        <v>4434</v>
      </c>
      <c r="E105" s="11" t="s">
        <v>4435</v>
      </c>
      <c r="F105" s="11" t="s">
        <v>4436</v>
      </c>
      <c r="G105" s="11" t="s">
        <v>4444</v>
      </c>
      <c r="H105" s="11" t="s">
        <v>4436</v>
      </c>
      <c r="I105" s="43"/>
      <c r="J105" s="11" t="s">
        <v>4447</v>
      </c>
      <c r="K105" s="44"/>
    </row>
    <row r="106" spans="2:11" x14ac:dyDescent="0.25">
      <c r="B106" s="22">
        <v>46114</v>
      </c>
      <c r="C106">
        <v>1260</v>
      </c>
      <c r="D106" s="3" t="str" cm="1">
        <f t="array" ref="D106">IFERROR(_xlfn.XLOOKUP(TEXT(C106,"0000"),TEXT(Catalog!A:A,"0000"),Catalog!B:B),"")</f>
        <v>*******CEE-FORM WCD 63A - 3P+A</v>
      </c>
      <c r="E106" t="s">
        <v>4744</v>
      </c>
      <c r="F106">
        <v>3</v>
      </c>
    </row>
    <row r="107" spans="2:11" x14ac:dyDescent="0.25">
      <c r="B107" s="22">
        <v>46114</v>
      </c>
      <c r="C107">
        <v>1253</v>
      </c>
      <c r="D107" s="3" t="str" cm="1">
        <f t="array" ref="D107">IFERROR(_xlfn.XLOOKUP(TEXT(C107,"0000"),TEXT(Catalog!A:A,"0000"),Catalog!B:B),"")</f>
        <v xml:space="preserve">CEE-FORM STEKK 125A - 3P+N+A  </v>
      </c>
      <c r="F107">
        <v>4</v>
      </c>
    </row>
    <row r="108" spans="2:11" x14ac:dyDescent="0.25">
      <c r="B108" s="22">
        <v>46114</v>
      </c>
      <c r="C108">
        <v>1245</v>
      </c>
      <c r="D108" s="3" t="str" cm="1">
        <f t="array" ref="D108">IFERROR(_xlfn.XLOOKUP(TEXT(C108,"0000"),TEXT(Catalog!A:A,"0000"),Catalog!B:B),"")</f>
        <v>******CEE-FORM STEKK 63A -3P+A</v>
      </c>
      <c r="E108" t="s">
        <v>4547</v>
      </c>
      <c r="F108">
        <v>5</v>
      </c>
    </row>
    <row r="109" spans="2:11" x14ac:dyDescent="0.25">
      <c r="B109" s="22">
        <v>46114</v>
      </c>
      <c r="C109">
        <v>1267</v>
      </c>
      <c r="D109" s="3" t="str" cm="1">
        <f t="array" ref="D109">IFERROR(_xlfn.XLOOKUP(TEXT(C109,"0000"),TEXT(Catalog!A:A,"0000"),Catalog!B:B),"")</f>
        <v>*****CEE-FORM CONN 63A -3P + A</v>
      </c>
      <c r="E109" t="s">
        <v>4771</v>
      </c>
      <c r="F109">
        <v>1</v>
      </c>
    </row>
    <row r="111" spans="2:11" ht="24" x14ac:dyDescent="0.4">
      <c r="B111" s="42" t="s">
        <v>4772</v>
      </c>
      <c r="C111" s="42"/>
      <c r="D111" s="42"/>
      <c r="E111" s="42"/>
      <c r="F111" s="42"/>
      <c r="G111" s="42"/>
      <c r="H111" s="42"/>
      <c r="I111" s="43" t="s">
        <v>4459</v>
      </c>
      <c r="J111" s="13" t="s">
        <v>4432</v>
      </c>
      <c r="K111" s="44" t="s">
        <v>4460</v>
      </c>
    </row>
    <row r="112" spans="2:11" ht="18.75" x14ac:dyDescent="0.3">
      <c r="B112" s="11" t="s">
        <v>4445</v>
      </c>
      <c r="C112" s="11" t="s">
        <v>4433</v>
      </c>
      <c r="D112" s="11" t="s">
        <v>4434</v>
      </c>
      <c r="E112" s="11" t="s">
        <v>4435</v>
      </c>
      <c r="F112" s="11" t="s">
        <v>4436</v>
      </c>
      <c r="G112" s="11" t="s">
        <v>4444</v>
      </c>
      <c r="H112" s="11" t="s">
        <v>4436</v>
      </c>
      <c r="I112" s="43"/>
      <c r="J112" s="11" t="s">
        <v>4447</v>
      </c>
      <c r="K112" s="44"/>
    </row>
    <row r="113" spans="2:11" x14ac:dyDescent="0.25">
      <c r="B113" s="22">
        <v>46114</v>
      </c>
      <c r="C113">
        <v>3328</v>
      </c>
      <c r="D113" s="3" t="str" cm="1">
        <f t="array" ref="D113">IFERROR(_xlfn.XLOOKUP(TEXT(C113,"0000"),TEXT(Catalog!A:A,"0000"),Catalog!B:B),"")</f>
        <v xml:space="preserve">PICKENS LED ORNEMENT WD 2X18W </v>
      </c>
      <c r="E113" t="s">
        <v>4776</v>
      </c>
    </row>
    <row r="114" spans="2:11" x14ac:dyDescent="0.25">
      <c r="B114" s="22">
        <v>46114</v>
      </c>
      <c r="C114">
        <v>1808</v>
      </c>
      <c r="D114" s="3" t="str" cm="1">
        <f t="array" ref="D114">IFERROR(_xlfn.XLOOKUP(TEXT(C114,"0000"),TEXT(Catalog!A:A,"0000"),Catalog!B:B),"")</f>
        <v xml:space="preserve">CA-86A CAJA VACIA TAPA TRANSP </v>
      </c>
      <c r="E114" t="s">
        <v>4777</v>
      </c>
    </row>
    <row r="116" spans="2:11" ht="24" x14ac:dyDescent="0.4">
      <c r="B116" s="42" t="s">
        <v>4773</v>
      </c>
      <c r="C116" s="42"/>
      <c r="D116" s="42"/>
      <c r="E116" s="42"/>
      <c r="F116" s="42"/>
      <c r="G116" s="42"/>
      <c r="H116" s="42"/>
      <c r="I116" s="43" t="s">
        <v>4459</v>
      </c>
      <c r="J116" s="13" t="s">
        <v>4432</v>
      </c>
      <c r="K116" s="44" t="s">
        <v>4460</v>
      </c>
    </row>
    <row r="117" spans="2:11" ht="18.75" x14ac:dyDescent="0.3">
      <c r="B117" s="11" t="s">
        <v>4445</v>
      </c>
      <c r="C117" s="11" t="s">
        <v>4433</v>
      </c>
      <c r="D117" s="11" t="s">
        <v>4434</v>
      </c>
      <c r="E117" s="11" t="s">
        <v>4435</v>
      </c>
      <c r="F117" s="11" t="s">
        <v>4436</v>
      </c>
      <c r="G117" s="11" t="s">
        <v>4444</v>
      </c>
      <c r="H117" s="11" t="s">
        <v>4436</v>
      </c>
      <c r="I117" s="43"/>
      <c r="J117" s="11" t="s">
        <v>4447</v>
      </c>
      <c r="K117" s="44"/>
    </row>
    <row r="118" spans="2:11" x14ac:dyDescent="0.25">
      <c r="B118" s="22">
        <v>46114</v>
      </c>
      <c r="C118">
        <v>3229</v>
      </c>
      <c r="D118" s="3" t="str" cm="1">
        <f t="array" ref="D118">IFERROR(_xlfn.XLOOKUP(TEXT(C118,"0000"),TEXT(Catalog!A:A,"0000"),Catalog!B:B),"")</f>
        <v xml:space="preserve">TL-ORNEMENT LED 1x18W WD LEEG </v>
      </c>
      <c r="E118">
        <v>75</v>
      </c>
    </row>
    <row r="121" spans="2:11" ht="24" x14ac:dyDescent="0.4">
      <c r="B121" s="42" t="s">
        <v>4774</v>
      </c>
      <c r="C121" s="42"/>
      <c r="D121" s="42"/>
      <c r="E121" s="42"/>
      <c r="F121" s="42"/>
      <c r="G121" s="42"/>
      <c r="H121" s="42"/>
      <c r="I121" s="43" t="s">
        <v>4459</v>
      </c>
      <c r="J121" s="13" t="s">
        <v>4432</v>
      </c>
      <c r="K121" s="44" t="s">
        <v>4460</v>
      </c>
    </row>
    <row r="122" spans="2:11" ht="18.75" x14ac:dyDescent="0.3">
      <c r="B122" s="11" t="s">
        <v>4445</v>
      </c>
      <c r="C122" s="11" t="s">
        <v>4433</v>
      </c>
      <c r="D122" s="11" t="s">
        <v>4434</v>
      </c>
      <c r="E122" s="11" t="s">
        <v>4435</v>
      </c>
      <c r="F122" s="11" t="s">
        <v>4436</v>
      </c>
      <c r="G122" s="11" t="s">
        <v>4444</v>
      </c>
      <c r="H122" s="11" t="s">
        <v>4436</v>
      </c>
      <c r="I122" s="43"/>
      <c r="J122" s="11" t="s">
        <v>4447</v>
      </c>
      <c r="K122" s="44"/>
    </row>
    <row r="123" spans="2:11" x14ac:dyDescent="0.25">
      <c r="B123" s="22">
        <v>46114</v>
      </c>
      <c r="C123">
        <v>1878</v>
      </c>
      <c r="D123" s="3" t="str" cm="1">
        <f t="array" ref="D123">IFERROR(_xlfn.XLOOKUP(TEXT(C123,"0000"),TEXT(Catalog!A:A,"0000"),Catalog!B:B),"")</f>
        <v xml:space="preserve"> CR-350 CAJA REPART.CABLE 50MM</v>
      </c>
      <c r="F123">
        <v>1</v>
      </c>
    </row>
    <row r="124" spans="2:11" x14ac:dyDescent="0.25">
      <c r="B124" s="22">
        <v>46114</v>
      </c>
      <c r="C124">
        <v>1879</v>
      </c>
      <c r="D124" s="3" t="str" cm="1">
        <f t="array" ref="D124">IFERROR(_xlfn.XLOOKUP(TEXT(C124,"0000"),TEXT(Catalog!A:A,"0000"),Catalog!B:B),"")</f>
        <v xml:space="preserve">CR-395 CAJA REPART.CABLE 95MM </v>
      </c>
      <c r="F124">
        <v>2</v>
      </c>
    </row>
    <row r="127" spans="2:11" ht="24" x14ac:dyDescent="0.4">
      <c r="B127" s="42" t="s">
        <v>4775</v>
      </c>
      <c r="C127" s="42"/>
      <c r="D127" s="42"/>
      <c r="E127" s="42"/>
      <c r="F127" s="42"/>
      <c r="G127" s="42"/>
      <c r="H127" s="42"/>
      <c r="I127" s="43" t="s">
        <v>4459</v>
      </c>
      <c r="J127" s="13" t="s">
        <v>4432</v>
      </c>
      <c r="K127" s="44" t="s">
        <v>4460</v>
      </c>
    </row>
    <row r="128" spans="2:11" ht="18.75" x14ac:dyDescent="0.3">
      <c r="B128" s="11" t="s">
        <v>4445</v>
      </c>
      <c r="C128" s="11" t="s">
        <v>4433</v>
      </c>
      <c r="D128" s="11" t="s">
        <v>4434</v>
      </c>
      <c r="E128" s="11" t="s">
        <v>4435</v>
      </c>
      <c r="F128" s="11" t="s">
        <v>4436</v>
      </c>
      <c r="G128" s="11" t="s">
        <v>4444</v>
      </c>
      <c r="H128" s="11" t="s">
        <v>4436</v>
      </c>
      <c r="I128" s="43"/>
      <c r="J128" s="11" t="s">
        <v>4447</v>
      </c>
      <c r="K128" s="44"/>
    </row>
    <row r="129" spans="2:11" x14ac:dyDescent="0.25">
      <c r="B129" s="22">
        <v>46114</v>
      </c>
      <c r="C129">
        <v>4203</v>
      </c>
      <c r="D129" s="3" t="str" cm="1">
        <f t="array" ref="D129">IFERROR(_xlfn.XLOOKUP(TEXT(C129,"0000"),TEXT(Catalog!A:A,"0000"),Catalog!B:B),"")</f>
        <v xml:space="preserve">KABELGOOT 32x12.5MM 10400 FBR </v>
      </c>
      <c r="E129" t="s">
        <v>4778</v>
      </c>
      <c r="F129">
        <v>12</v>
      </c>
    </row>
    <row r="130" spans="2:11" x14ac:dyDescent="0.25">
      <c r="B130" s="22">
        <v>46114</v>
      </c>
      <c r="C130">
        <v>4207</v>
      </c>
      <c r="D130" s="3" t="str" cm="1">
        <f t="array" ref="D130">IFERROR(_xlfn.XLOOKUP(TEXT(C130,"0000"),TEXT(Catalog!A:A,"0000"),Catalog!B:B),"")</f>
        <v xml:space="preserve">KABELGOOT 50X20MM 10500 CBR   </v>
      </c>
      <c r="F130">
        <v>7</v>
      </c>
    </row>
    <row r="131" spans="2:11" x14ac:dyDescent="0.25">
      <c r="B131" s="22">
        <v>46114</v>
      </c>
      <c r="C131">
        <v>4205</v>
      </c>
      <c r="D131" s="3" t="str" cm="1">
        <f t="array" ref="D131">IFERROR(_xlfn.XLOOKUP(TEXT(C131,"0000"),TEXT(Catalog!A:A,"0000"),Catalog!B:B),"")</f>
        <v xml:space="preserve">KABELGOOT 40X12,5MM 10150 FBR </v>
      </c>
      <c r="F131">
        <v>26</v>
      </c>
    </row>
    <row r="132" spans="2:11" x14ac:dyDescent="0.25">
      <c r="B132" s="22">
        <v>46114</v>
      </c>
      <c r="C132">
        <v>4204</v>
      </c>
      <c r="D132" s="3" t="str" cm="1">
        <f t="array" ref="D132">IFERROR(_xlfn.XLOOKUP(TEXT(C132,"0000"),TEXT(Catalog!A:A,"0000"),Catalog!B:B),"")</f>
        <v xml:space="preserve">KABELGOOT 32X16MM 10040 FBR   </v>
      </c>
      <c r="E132" t="s">
        <v>4782</v>
      </c>
      <c r="F132">
        <v>6</v>
      </c>
    </row>
    <row r="133" spans="2:11" x14ac:dyDescent="0.25">
      <c r="B133" s="22">
        <v>46114</v>
      </c>
      <c r="C133">
        <v>4210</v>
      </c>
      <c r="D133" s="3" t="str" cm="1">
        <f t="array" ref="D133">IFERROR(_xlfn.XLOOKUP(TEXT(C133,"0000"),TEXT(Catalog!A:A,"0000"),Catalog!B:B),"")</f>
        <v xml:space="preserve">KABELGOOT 110X34MM 10080 RBR  </v>
      </c>
      <c r="E133" t="s">
        <v>4562</v>
      </c>
      <c r="F133">
        <v>18</v>
      </c>
      <c r="K133" t="s">
        <v>4791</v>
      </c>
    </row>
    <row r="134" spans="2:11" x14ac:dyDescent="0.25">
      <c r="B134" s="22">
        <v>46114</v>
      </c>
      <c r="C134">
        <v>4208</v>
      </c>
      <c r="D134" s="3" t="str" cm="1">
        <f t="array" ref="D134">IFERROR(_xlfn.XLOOKUP(TEXT(C134,"0000"),TEXT(Catalog!A:A,"0000"),Catalog!B:B),"")</f>
        <v xml:space="preserve">KABELGOOT 60X16MM 10070 CBR   </v>
      </c>
      <c r="E134" t="s">
        <v>4553</v>
      </c>
      <c r="F134">
        <v>49</v>
      </c>
      <c r="K134" t="s">
        <v>4791</v>
      </c>
    </row>
    <row r="135" spans="2:11" x14ac:dyDescent="0.25">
      <c r="B135" s="22">
        <v>46114</v>
      </c>
      <c r="C135">
        <v>4201</v>
      </c>
      <c r="D135" s="3" t="str" cm="1">
        <f t="array" ref="D135">IFERROR(_xlfn.XLOOKUP(TEXT(C135,"0000"),TEXT(Catalog!A:A,"0000"),Catalog!B:B),"")</f>
        <v xml:space="preserve">KABELGOOT 16X10MM 10020 FBR   </v>
      </c>
      <c r="F135">
        <v>27</v>
      </c>
      <c r="K135" t="s">
        <v>4791</v>
      </c>
    </row>
    <row r="136" spans="2:11" x14ac:dyDescent="0.25">
      <c r="B136" s="22">
        <v>46114</v>
      </c>
      <c r="C136">
        <v>4200</v>
      </c>
      <c r="D136" s="3" t="str" cm="1">
        <f t="array" ref="D136">IFERROR(_xlfn.XLOOKUP(TEXT(C136,"0000"),TEXT(Catalog!A:A,"0000"),Catalog!B:B),"")</f>
        <v xml:space="preserve">KABELGOOT 12x7MM 10010 FBR    </v>
      </c>
      <c r="E136" t="s">
        <v>4783</v>
      </c>
      <c r="F136">
        <v>45</v>
      </c>
      <c r="K136" t="s">
        <v>4791</v>
      </c>
    </row>
    <row r="137" spans="2:11" x14ac:dyDescent="0.25">
      <c r="B137" s="22">
        <v>46114</v>
      </c>
      <c r="C137" s="21" t="s">
        <v>4779</v>
      </c>
      <c r="D137" s="3" t="str" cm="1">
        <f t="array" ref="D137">IFERROR(_xlfn.XLOOKUP(TEXT(C137,"0000"),TEXT(Catalog!A:A,"0000"),Catalog!B:B),"")</f>
        <v xml:space="preserve">ATEMA TUIT 2X16/19/20 U 50    </v>
      </c>
      <c r="E137" t="s">
        <v>4784</v>
      </c>
      <c r="F137" t="s">
        <v>4785</v>
      </c>
    </row>
    <row r="138" spans="2:11" x14ac:dyDescent="0.25">
      <c r="B138" s="22">
        <v>46114</v>
      </c>
      <c r="C138" s="21" t="s">
        <v>4780</v>
      </c>
      <c r="D138" s="3" t="str" cm="1">
        <f t="array" ref="D138">IFERROR(_xlfn.XLOOKUP(TEXT(C138,"0000"),TEXT(Catalog!A:A,"0000"),Catalog!B:B),"")</f>
        <v xml:space="preserve">ATEMA AFDEK PLAAT U 50        </v>
      </c>
      <c r="E138" t="s">
        <v>4449</v>
      </c>
    </row>
    <row r="139" spans="2:11" x14ac:dyDescent="0.25">
      <c r="B139" s="22">
        <v>46114</v>
      </c>
      <c r="C139" s="21" t="s">
        <v>4781</v>
      </c>
      <c r="D139" s="3" t="str" cm="1">
        <f t="array" ref="D139">IFERROR(_xlfn.XLOOKUP(TEXT(C139,"0000"),TEXT(Catalog!A:A,"0000"),Catalog!B:B),"")</f>
        <v xml:space="preserve">ATEMA U 50 INBDOOS 16-19-20MM </v>
      </c>
      <c r="E139" t="s">
        <v>4622</v>
      </c>
    </row>
    <row r="140" spans="2:11" x14ac:dyDescent="0.25">
      <c r="B140" s="22">
        <v>46114</v>
      </c>
      <c r="C140">
        <v>1804</v>
      </c>
      <c r="D140" s="3" t="str" cm="1">
        <f t="array" ref="D140">IFERROR(_xlfn.XLOOKUP(TEXT(C140,"0000"),TEXT(Catalog!A:A,"0000"),Catalog!B:B),"")</f>
        <v>CA-63 CAJA VACIA TAPA TRANSPAR</v>
      </c>
      <c r="E140" t="s">
        <v>4786</v>
      </c>
      <c r="F140">
        <v>2</v>
      </c>
    </row>
    <row r="141" spans="2:11" x14ac:dyDescent="0.25">
      <c r="B141" s="22">
        <v>46114</v>
      </c>
      <c r="C141">
        <v>19271</v>
      </c>
      <c r="D141" s="3" t="str" cm="1">
        <f t="array" ref="D141">IFERROR(_xlfn.XLOOKUP(TEXT(C141,"0000"),TEXT(Catalog!A:A,"0000"),Catalog!B:B),"")</f>
        <v xml:space="preserve">PRONUTEC OPB.KAST 1000X750    </v>
      </c>
      <c r="E141" t="s">
        <v>4787</v>
      </c>
    </row>
    <row r="142" spans="2:11" x14ac:dyDescent="0.25">
      <c r="B142" s="22">
        <v>46114</v>
      </c>
      <c r="C142">
        <v>1653</v>
      </c>
      <c r="D142" s="3" t="str" cm="1">
        <f t="array" ref="D142">IFERROR(_xlfn.XLOOKUP(TEXT(C142,"0000"),TEXT(Catalog!A:A,"0000"),Catalog!B:B),"")</f>
        <v xml:space="preserve">OPBOUWKAST IDE ARM.40COM96    </v>
      </c>
      <c r="E142" t="s">
        <v>4788</v>
      </c>
    </row>
    <row r="143" spans="2:11" x14ac:dyDescent="0.25">
      <c r="B143" s="22">
        <v>46114</v>
      </c>
      <c r="C143">
        <v>1862</v>
      </c>
      <c r="D143" s="3" t="str" cm="1">
        <f t="array" ref="D143">IFERROR(_xlfn.XLOOKUP(TEXT(C143,"0000"),TEXT(Catalog!A:A,"0000"),Catalog!B:B),"")</f>
        <v>ART-107 ARM.TEJADILLO 1000X750</v>
      </c>
      <c r="E143">
        <v>3</v>
      </c>
    </row>
    <row r="144" spans="2:11" x14ac:dyDescent="0.25">
      <c r="B144" s="22">
        <v>46114</v>
      </c>
      <c r="C144">
        <v>1852</v>
      </c>
      <c r="D144" s="3" t="str" cm="1">
        <f t="array" ref="D144">IFERROR(_xlfn.XLOOKUP(TEXT(C144,"0000"),TEXT(Catalog!A:A,"0000"),Catalog!B:B),"")</f>
        <v xml:space="preserve">CC-03-CJ CAJA CABLES CIEGA    </v>
      </c>
      <c r="E144" t="s">
        <v>4789</v>
      </c>
    </row>
    <row r="145" spans="2:11" x14ac:dyDescent="0.25">
      <c r="B145" s="22">
        <v>46144</v>
      </c>
      <c r="C145">
        <v>1644</v>
      </c>
      <c r="D145" s="3" t="str" cm="1">
        <f t="array" ref="D145">IFERROR(_xlfn.XLOOKUP(TEXT(C145,"0000"),TEXT(Catalog!A:A,"0000"),Catalog!B:B),"")</f>
        <v xml:space="preserve">PLP3080                       </v>
      </c>
      <c r="F145">
        <v>1</v>
      </c>
    </row>
    <row r="146" spans="2:11" x14ac:dyDescent="0.25">
      <c r="B146" s="22">
        <v>46144</v>
      </c>
      <c r="C146">
        <v>1632</v>
      </c>
      <c r="D146" s="3" t="str" cm="1">
        <f t="array" ref="D146">IFERROR(_xlfn.XLOOKUP(TEXT(C146,"0000"),TEXT(Catalog!A:A,"0000"),Catalog!B:B),"")</f>
        <v xml:space="preserve">TCA6080                       </v>
      </c>
      <c r="F146">
        <v>10</v>
      </c>
    </row>
    <row r="147" spans="2:11" x14ac:dyDescent="0.25">
      <c r="B147" s="22">
        <v>46144</v>
      </c>
      <c r="C147">
        <v>1840</v>
      </c>
      <c r="D147" s="3" t="str" cm="1">
        <f t="array" ref="D147">IFERROR(_xlfn.XLOOKUP(TEXT(C147,"0000"),TEXT(Catalog!A:A,"0000"),Catalog!B:B),"")</f>
        <v xml:space="preserve">TO-86A-CJ TAPA POLICARB.OPACO </v>
      </c>
      <c r="F147">
        <v>4</v>
      </c>
    </row>
    <row r="148" spans="2:11" x14ac:dyDescent="0.25">
      <c r="B148" s="22">
        <v>46144</v>
      </c>
      <c r="C148">
        <v>1637</v>
      </c>
      <c r="D148" s="3" t="str" cm="1">
        <f t="array" ref="D148">IFERROR(_xlfn.XLOOKUP(TEXT(C148,"0000"),TEXT(Catalog!A:A,"0000"),Catalog!B:B),"")</f>
        <v xml:space="preserve">ZCL 1080                      </v>
      </c>
      <c r="F148">
        <v>1</v>
      </c>
    </row>
    <row r="149" spans="2:11" x14ac:dyDescent="0.25">
      <c r="B149" s="22">
        <v>46144</v>
      </c>
      <c r="C149">
        <v>1628</v>
      </c>
      <c r="D149" s="3" t="str" cm="1">
        <f t="array" ref="D149">IFERROR(_xlfn.XLOOKUP(TEXT(C149,"0000"),TEXT(Catalog!A:A,"0000"),Catalog!B:B),"")</f>
        <v xml:space="preserve">ZCL 1040                      </v>
      </c>
      <c r="F149">
        <v>4</v>
      </c>
    </row>
    <row r="150" spans="2:11" x14ac:dyDescent="0.25">
      <c r="B150" s="22">
        <v>46144</v>
      </c>
      <c r="C150" s="8"/>
      <c r="D150" s="3" cm="1">
        <f t="array" ref="D150">IFERROR(_xlfn.XLOOKUP(TEXT(C150,"0000"),TEXT(Catalog!A:A,"0000"),Catalog!B:B),"")</f>
        <v>0</v>
      </c>
      <c r="E150" t="s">
        <v>4798</v>
      </c>
      <c r="F150">
        <v>2</v>
      </c>
      <c r="K150" t="s">
        <v>4797</v>
      </c>
    </row>
    <row r="151" spans="2:11" x14ac:dyDescent="0.25">
      <c r="B151" s="22">
        <v>46144</v>
      </c>
      <c r="C151">
        <v>1650</v>
      </c>
      <c r="D151" s="3" t="str" cm="1">
        <f t="array" ref="D151">IFERROR(_xlfn.XLOOKUP(TEXT(C151,"0000"),TEXT(Catalog!A:A,"0000"),Catalog!B:B),"")</f>
        <v>IDE RAIL SOPORT 160-400A 48454</v>
      </c>
      <c r="F151" t="s">
        <v>4799</v>
      </c>
    </row>
    <row r="152" spans="2:11" x14ac:dyDescent="0.25">
      <c r="B152" s="22">
        <v>46144</v>
      </c>
      <c r="C152">
        <v>1831</v>
      </c>
      <c r="D152" s="3" t="str" cm="1">
        <f t="array" ref="D152">IFERROR(_xlfn.XLOOKUP(TEXT(C152,"0000"),TEXT(Catalog!A:A,"0000"),Catalog!B:B),"")</f>
        <v>TT-66-CJ TAPA POLICARB.TRANSP.</v>
      </c>
      <c r="F152">
        <v>6</v>
      </c>
    </row>
    <row r="153" spans="2:11" x14ac:dyDescent="0.25">
      <c r="B153" s="22">
        <v>46144</v>
      </c>
      <c r="C153">
        <v>1822</v>
      </c>
      <c r="D153" s="3" t="str" cm="1">
        <f t="array" ref="D153">IFERROR(_xlfn.XLOOKUP(TEXT(C153,"0000"),TEXT(Catalog!A:A,"0000"),Catalog!B:B),"")</f>
        <v xml:space="preserve">CU-66 CAJA CUERPO CA-66       </v>
      </c>
      <c r="F153">
        <v>3</v>
      </c>
    </row>
    <row r="154" spans="2:11" x14ac:dyDescent="0.25">
      <c r="B154" s="22"/>
    </row>
    <row r="156" spans="2:11" ht="24" x14ac:dyDescent="0.4">
      <c r="B156" s="42" t="s">
        <v>4525</v>
      </c>
      <c r="C156" s="42"/>
      <c r="D156" s="42"/>
      <c r="E156" s="42"/>
      <c r="F156" s="42"/>
      <c r="G156" s="42"/>
      <c r="H156" s="42"/>
      <c r="I156" s="43" t="s">
        <v>4459</v>
      </c>
      <c r="J156" s="13" t="s">
        <v>4432</v>
      </c>
      <c r="K156" s="44" t="s">
        <v>4460</v>
      </c>
    </row>
    <row r="157" spans="2:11" ht="18.75" x14ac:dyDescent="0.3">
      <c r="B157" s="11" t="s">
        <v>4445</v>
      </c>
      <c r="C157" s="11" t="s">
        <v>4433</v>
      </c>
      <c r="D157" s="11" t="s">
        <v>4434</v>
      </c>
      <c r="E157" s="11" t="s">
        <v>4435</v>
      </c>
      <c r="F157" s="11" t="s">
        <v>4436</v>
      </c>
      <c r="G157" s="11" t="s">
        <v>4444</v>
      </c>
      <c r="H157" s="11" t="s">
        <v>4436</v>
      </c>
      <c r="I157" s="43"/>
      <c r="J157" s="11" t="s">
        <v>4447</v>
      </c>
      <c r="K157" s="44"/>
    </row>
    <row r="158" spans="2:11" x14ac:dyDescent="0.25">
      <c r="B158" s="22">
        <v>46114</v>
      </c>
      <c r="C158">
        <v>1802</v>
      </c>
      <c r="D158" s="3" t="str" cm="1">
        <f t="array" ref="D158">IFERROR(_xlfn.XLOOKUP(TEXT(C158,"0000"),TEXT(Catalog!A:A,"0000"),Catalog!B:B),"")</f>
        <v>CA-43 CAJA VACIA TAPA TRANSPAR</v>
      </c>
      <c r="E158" t="s">
        <v>4790</v>
      </c>
      <c r="F158">
        <v>1</v>
      </c>
    </row>
    <row r="159" spans="2:11" x14ac:dyDescent="0.25">
      <c r="B159" s="22">
        <v>46114</v>
      </c>
      <c r="C159">
        <v>1804</v>
      </c>
      <c r="D159" s="3" t="str" cm="1">
        <f t="array" ref="D159">IFERROR(_xlfn.XLOOKUP(TEXT(C159,"0000"),TEXT(Catalog!A:A,"0000"),Catalog!B:B),"")</f>
        <v>CA-63 CAJA VACIA TAPA TRANSPAR</v>
      </c>
      <c r="E159">
        <v>1</v>
      </c>
    </row>
    <row r="160" spans="2:11" x14ac:dyDescent="0.25">
      <c r="B160" s="22">
        <v>46114</v>
      </c>
      <c r="C160">
        <v>1801</v>
      </c>
      <c r="D160" s="3" t="str" cm="1">
        <f t="array" ref="D160">IFERROR(_xlfn.XLOOKUP(TEXT(C160,"0000"),TEXT(Catalog!A:A,"0000"),Catalog!B:B),"")</f>
        <v>CA-33 CAJA VACIA TAPA TRANSPAR</v>
      </c>
      <c r="F160">
        <v>2</v>
      </c>
    </row>
    <row r="161" spans="2:11" x14ac:dyDescent="0.25">
      <c r="B161" s="22">
        <v>46114</v>
      </c>
      <c r="C161">
        <v>1800</v>
      </c>
      <c r="D161" s="3" t="str" cm="1">
        <f t="array" ref="D161">IFERROR(_xlfn.XLOOKUP(TEXT(C161,"0000"),TEXT(Catalog!A:A,"0000"),Catalog!B:B),"")</f>
        <v>CA-32 CAJA VACIA TAPA TRANSPAR</v>
      </c>
      <c r="E161">
        <v>1</v>
      </c>
    </row>
    <row r="163" spans="2:11" ht="24" x14ac:dyDescent="0.4">
      <c r="B163" s="42" t="s">
        <v>4509</v>
      </c>
      <c r="C163" s="42"/>
      <c r="D163" s="42"/>
      <c r="E163" s="42"/>
      <c r="F163" s="42"/>
      <c r="G163" s="42"/>
      <c r="H163" s="42"/>
      <c r="I163" s="43" t="s">
        <v>4459</v>
      </c>
      <c r="J163" s="13" t="s">
        <v>4432</v>
      </c>
      <c r="K163" s="44" t="s">
        <v>4460</v>
      </c>
    </row>
    <row r="164" spans="2:11" ht="18.75" x14ac:dyDescent="0.3">
      <c r="B164" s="11" t="s">
        <v>4445</v>
      </c>
      <c r="C164" s="11" t="s">
        <v>4433</v>
      </c>
      <c r="D164" s="11" t="s">
        <v>4434</v>
      </c>
      <c r="E164" s="11" t="s">
        <v>4435</v>
      </c>
      <c r="F164" s="11" t="s">
        <v>4436</v>
      </c>
      <c r="G164" s="11" t="s">
        <v>4444</v>
      </c>
      <c r="H164" s="11" t="s">
        <v>4436</v>
      </c>
      <c r="I164" s="43"/>
      <c r="J164" s="11" t="s">
        <v>4447</v>
      </c>
      <c r="K164" s="44"/>
    </row>
    <row r="165" spans="2:11" x14ac:dyDescent="0.25">
      <c r="B165" s="22">
        <v>46114</v>
      </c>
      <c r="C165">
        <v>1837</v>
      </c>
      <c r="D165" s="3" t="str" cm="1">
        <f t="array" ref="D165">IFERROR(_xlfn.XLOOKUP(TEXT(C165,"0000"),TEXT(Catalog!A:A,"0000"),Catalog!B:B),"")</f>
        <v>TO-63-CJ TAPA POLICARB.OPACO C</v>
      </c>
      <c r="F165">
        <v>22</v>
      </c>
    </row>
    <row r="166" spans="2:11" x14ac:dyDescent="0.25">
      <c r="B166" s="22">
        <v>46114</v>
      </c>
      <c r="C166">
        <v>1839</v>
      </c>
      <c r="D166" s="3" t="str" cm="1">
        <f t="array" ref="D166">IFERROR(_xlfn.XLOOKUP(TEXT(C166,"0000"),TEXT(Catalog!A:A,"0000"),Catalog!B:B),"")</f>
        <v xml:space="preserve">TO-84A-CJ TAPA POLICARB.OPACO </v>
      </c>
      <c r="F166">
        <v>6</v>
      </c>
    </row>
    <row r="167" spans="2:11" x14ac:dyDescent="0.25">
      <c r="B167" s="22">
        <v>46114</v>
      </c>
      <c r="C167">
        <v>1838</v>
      </c>
      <c r="D167" s="3" t="str" cm="1">
        <f t="array" ref="D167">IFERROR(_xlfn.XLOOKUP(TEXT(C167,"0000"),TEXT(Catalog!A:A,"0000"),Catalog!B:B),"")</f>
        <v>TO-66-CJ TAPA POLICARB.OPACO C</v>
      </c>
      <c r="F167">
        <v>9</v>
      </c>
    </row>
    <row r="168" spans="2:11" x14ac:dyDescent="0.25">
      <c r="B168" s="22">
        <v>46114</v>
      </c>
      <c r="C168">
        <v>1840</v>
      </c>
      <c r="D168" s="3" t="str" cm="1">
        <f t="array" ref="D168">IFERROR(_xlfn.XLOOKUP(TEXT(C168,"0000"),TEXT(Catalog!A:A,"0000"),Catalog!B:B),"")</f>
        <v xml:space="preserve">TO-86A-CJ TAPA POLICARB.OPACO </v>
      </c>
      <c r="F168">
        <v>6</v>
      </c>
    </row>
    <row r="170" spans="2:11" ht="24" x14ac:dyDescent="0.4">
      <c r="B170" s="42" t="s">
        <v>4526</v>
      </c>
      <c r="C170" s="42"/>
      <c r="D170" s="42"/>
      <c r="E170" s="42"/>
      <c r="F170" s="42"/>
      <c r="G170" s="42"/>
      <c r="H170" s="42"/>
      <c r="I170" s="43" t="s">
        <v>4459</v>
      </c>
      <c r="J170" s="13" t="s">
        <v>4432</v>
      </c>
      <c r="K170" s="44" t="s">
        <v>4460</v>
      </c>
    </row>
    <row r="171" spans="2:11" ht="18.75" x14ac:dyDescent="0.3">
      <c r="B171" s="11" t="s">
        <v>4445</v>
      </c>
      <c r="C171" s="11" t="s">
        <v>4433</v>
      </c>
      <c r="D171" s="11" t="s">
        <v>4434</v>
      </c>
      <c r="E171" s="11" t="s">
        <v>4435</v>
      </c>
      <c r="F171" s="11" t="s">
        <v>4436</v>
      </c>
      <c r="G171" s="11" t="s">
        <v>4444</v>
      </c>
      <c r="H171" s="11" t="s">
        <v>4436</v>
      </c>
      <c r="I171" s="43"/>
      <c r="J171" s="11" t="s">
        <v>4447</v>
      </c>
      <c r="K171" s="44"/>
    </row>
    <row r="172" spans="2:11" x14ac:dyDescent="0.25">
      <c r="B172" s="22">
        <v>46114</v>
      </c>
      <c r="C172">
        <v>1835</v>
      </c>
      <c r="D172" s="3" t="str" cm="1">
        <f t="array" ref="D172">IFERROR(_xlfn.XLOOKUP(TEXT(C172,"0000"),TEXT(Catalog!A:A,"0000"),Catalog!B:B),"")</f>
        <v>TO-33-CJ TAPA POLICARB.OPACO C</v>
      </c>
      <c r="F172">
        <v>35</v>
      </c>
    </row>
    <row r="173" spans="2:11" x14ac:dyDescent="0.25">
      <c r="B173" s="22">
        <v>46114</v>
      </c>
      <c r="C173">
        <v>1828</v>
      </c>
      <c r="D173" s="3" t="str" cm="1">
        <f t="array" ref="D173">IFERROR(_xlfn.XLOOKUP(TEXT(C173,"0000"),TEXT(Catalog!A:A,"0000"),Catalog!B:B),"")</f>
        <v>TT-44-CJ TAPA POLICARB.TRANSP.</v>
      </c>
      <c r="F173">
        <v>25</v>
      </c>
    </row>
    <row r="174" spans="2:11" x14ac:dyDescent="0.25">
      <c r="B174" s="22">
        <v>46114</v>
      </c>
      <c r="C174">
        <v>1826</v>
      </c>
      <c r="D174" s="3" t="str" cm="1">
        <f t="array" ref="D174">IFERROR(_xlfn.XLOOKUP(TEXT(C174,"0000"),TEXT(Catalog!A:A,"0000"),Catalog!B:B),"")</f>
        <v>TT-33-CJ TAPA POLICARB.TRANSP.</v>
      </c>
      <c r="F174">
        <v>13</v>
      </c>
    </row>
    <row r="175" spans="2:11" x14ac:dyDescent="0.25">
      <c r="B175" s="22">
        <v>46114</v>
      </c>
      <c r="C175">
        <v>1827</v>
      </c>
      <c r="D175" s="3" t="str" cm="1">
        <f t="array" ref="D175">IFERROR(_xlfn.XLOOKUP(TEXT(C175,"0000"),TEXT(Catalog!A:A,"0000"),Catalog!B:B),"")</f>
        <v>TT-43-CJ TAPA POLICARB.TRANSP.</v>
      </c>
      <c r="F175" t="s">
        <v>4793</v>
      </c>
    </row>
    <row r="176" spans="2:11" x14ac:dyDescent="0.25">
      <c r="B176" s="22">
        <v>46114</v>
      </c>
      <c r="C176">
        <v>1822</v>
      </c>
      <c r="D176" s="3" t="str" cm="1">
        <f t="array" ref="D176">IFERROR(_xlfn.XLOOKUP(TEXT(C176,"0000"),TEXT(Catalog!A:A,"0000"),Catalog!B:B),"")</f>
        <v xml:space="preserve">CU-66 CAJA CUERPO CA-66       </v>
      </c>
      <c r="F176">
        <v>6</v>
      </c>
    </row>
    <row r="178" spans="2:11" ht="24" x14ac:dyDescent="0.4">
      <c r="B178" s="42" t="s">
        <v>4792</v>
      </c>
      <c r="C178" s="42"/>
      <c r="D178" s="42"/>
      <c r="E178" s="42"/>
      <c r="F178" s="42"/>
      <c r="G178" s="42"/>
      <c r="H178" s="42"/>
      <c r="I178" s="43" t="s">
        <v>4459</v>
      </c>
      <c r="J178" s="13" t="s">
        <v>4432</v>
      </c>
      <c r="K178" s="44" t="s">
        <v>4460</v>
      </c>
    </row>
    <row r="179" spans="2:11" ht="18.75" x14ac:dyDescent="0.3">
      <c r="B179" s="11" t="s">
        <v>4445</v>
      </c>
      <c r="C179" s="11" t="s">
        <v>4433</v>
      </c>
      <c r="D179" s="11" t="s">
        <v>4434</v>
      </c>
      <c r="E179" s="11" t="s">
        <v>4435</v>
      </c>
      <c r="F179" s="11" t="s">
        <v>4436</v>
      </c>
      <c r="G179" s="11" t="s">
        <v>4444</v>
      </c>
      <c r="H179" s="11" t="s">
        <v>4436</v>
      </c>
      <c r="I179" s="43"/>
      <c r="J179" s="11" t="s">
        <v>4447</v>
      </c>
      <c r="K179" s="44"/>
    </row>
    <row r="180" spans="2:11" x14ac:dyDescent="0.25">
      <c r="B180" s="22">
        <v>46114</v>
      </c>
      <c r="C180">
        <v>1839</v>
      </c>
      <c r="D180" s="3" t="str" cm="1">
        <f t="array" ref="D180">IFERROR(_xlfn.XLOOKUP(TEXT(C180,"0000"),TEXT(Catalog!A:A,"0000"),Catalog!B:B),"")</f>
        <v xml:space="preserve">TO-84A-CJ TAPA POLICARB.OPACO </v>
      </c>
      <c r="F180">
        <v>7</v>
      </c>
      <c r="K180" t="s">
        <v>4794</v>
      </c>
    </row>
    <row r="181" spans="2:11" x14ac:dyDescent="0.25">
      <c r="B181" s="22">
        <v>46114</v>
      </c>
      <c r="C181" s="8">
        <v>1645</v>
      </c>
      <c r="D181" s="3" t="str" cm="1">
        <f t="array" ref="D181">IFERROR(_xlfn.XLOOKUP(TEXT(C181,"0000"),TEXT(Catalog!A:A,"0000"),Catalog!B:B),"")</f>
        <v xml:space="preserve">TCA4080                       </v>
      </c>
      <c r="K181" t="s">
        <v>4795</v>
      </c>
    </row>
    <row r="182" spans="2:11" x14ac:dyDescent="0.25">
      <c r="B182" s="22">
        <v>46114</v>
      </c>
      <c r="C182">
        <v>1640</v>
      </c>
      <c r="D182" s="3" t="str" cm="1">
        <f t="array" ref="D182">IFERROR(_xlfn.XLOOKUP(TEXT(C182,"0000"),TEXT(Catalog!A:A,"0000"),Catalog!B:B),"")</f>
        <v xml:space="preserve">KIT SUJECION 48156 DINRAIL    </v>
      </c>
      <c r="F182">
        <v>10</v>
      </c>
    </row>
    <row r="183" spans="2:11" x14ac:dyDescent="0.25">
      <c r="B183" s="22">
        <v>46114</v>
      </c>
      <c r="C183">
        <v>1642</v>
      </c>
      <c r="D183" s="3" t="str" cm="1">
        <f t="array" ref="D183">IFERROR(_xlfn.XLOOKUP(TEXT(C183,"0000"),TEXT(Catalog!A:A,"0000"),Catalog!B:B),"")</f>
        <v xml:space="preserve">TMA3080                       </v>
      </c>
      <c r="F183">
        <v>10</v>
      </c>
    </row>
    <row r="184" spans="2:11" x14ac:dyDescent="0.25">
      <c r="B184" s="22">
        <v>46144</v>
      </c>
      <c r="C184">
        <v>1629</v>
      </c>
      <c r="D184" s="3" t="str" cm="1">
        <f t="array" ref="D184">IFERROR(_xlfn.XLOOKUP(TEXT(C184,"0000"),TEXT(Catalog!A:A,"0000"),Catalog!B:B),"")</f>
        <v xml:space="preserve">TAPA 48642                    </v>
      </c>
      <c r="F184">
        <v>1</v>
      </c>
    </row>
    <row r="185" spans="2:11" x14ac:dyDescent="0.25">
      <c r="B185" s="22">
        <v>46144</v>
      </c>
      <c r="C185" s="8"/>
      <c r="D185" s="3" cm="1">
        <f t="array" ref="D185">IFERROR(_xlfn.XLOOKUP(TEXT(C185,"0000"),TEXT(Catalog!A:A,"0000"),Catalog!B:B),"")</f>
        <v>0</v>
      </c>
      <c r="F185">
        <v>27</v>
      </c>
      <c r="K185" t="s">
        <v>4796</v>
      </c>
    </row>
    <row r="186" spans="2:11" x14ac:dyDescent="0.25">
      <c r="B186" s="22">
        <v>46144</v>
      </c>
      <c r="C186">
        <v>1627</v>
      </c>
      <c r="D186" s="3" t="str" cm="1">
        <f t="array" ref="D186">IFERROR(_xlfn.XLOOKUP(TEXT(C186,"0000"),TEXT(Catalog!A:A,"0000"),Catalog!B:B),"")</f>
        <v xml:space="preserve">PLP4080                       </v>
      </c>
      <c r="F186">
        <v>5</v>
      </c>
    </row>
    <row r="187" spans="2:11" x14ac:dyDescent="0.25">
      <c r="B187" s="22">
        <v>46144</v>
      </c>
      <c r="C187">
        <v>1639</v>
      </c>
      <c r="D187" s="3" t="str" cm="1">
        <f t="array" ref="D187">IFERROR(_xlfn.XLOOKUP(TEXT(C187,"0000"),TEXT(Catalog!A:A,"0000"),Catalog!B:B),"")</f>
        <v xml:space="preserve">PACK UNION 48112              </v>
      </c>
      <c r="F187">
        <v>2</v>
      </c>
    </row>
    <row r="189" spans="2:11" ht="24" x14ac:dyDescent="0.4">
      <c r="B189" s="42" t="s">
        <v>4774</v>
      </c>
      <c r="C189" s="42"/>
      <c r="D189" s="42"/>
      <c r="E189" s="42"/>
      <c r="F189" s="42"/>
      <c r="G189" s="42"/>
      <c r="H189" s="42"/>
      <c r="I189" s="43" t="s">
        <v>4459</v>
      </c>
      <c r="J189" s="13" t="s">
        <v>4432</v>
      </c>
      <c r="K189" s="44" t="s">
        <v>4460</v>
      </c>
    </row>
    <row r="190" spans="2:11" ht="18.75" x14ac:dyDescent="0.3">
      <c r="B190" s="11" t="s">
        <v>4445</v>
      </c>
      <c r="C190" s="11" t="s">
        <v>4433</v>
      </c>
      <c r="D190" s="11" t="s">
        <v>4434</v>
      </c>
      <c r="E190" s="11" t="s">
        <v>4435</v>
      </c>
      <c r="F190" s="11" t="s">
        <v>4436</v>
      </c>
      <c r="G190" s="11" t="s">
        <v>4444</v>
      </c>
      <c r="H190" s="11" t="s">
        <v>4436</v>
      </c>
      <c r="I190" s="43"/>
      <c r="J190" s="11" t="s">
        <v>4447</v>
      </c>
      <c r="K190" s="44"/>
    </row>
    <row r="191" spans="2:11" x14ac:dyDescent="0.25">
      <c r="B191" s="22">
        <v>46144</v>
      </c>
      <c r="C191">
        <v>1833</v>
      </c>
      <c r="D191" s="3" t="str" cm="1">
        <f t="array" ref="D191">IFERROR(_xlfn.XLOOKUP(TEXT(C191,"0000"),TEXT(Catalog!A:A,"0000"),Catalog!B:B),"")</f>
        <v>TT-86A-CJ TAPA POLICARB.TRANSP</v>
      </c>
      <c r="F191">
        <v>4</v>
      </c>
    </row>
    <row r="192" spans="2:11" x14ac:dyDescent="0.25">
      <c r="B192" s="22">
        <v>46144</v>
      </c>
      <c r="C192">
        <v>1824</v>
      </c>
      <c r="D192" s="3" t="str" cm="1">
        <f t="array" ref="D192">IFERROR(_xlfn.XLOOKUP(TEXT(C192,"0000"),TEXT(Catalog!A:A,"0000"),Catalog!B:B),"")</f>
        <v xml:space="preserve">CU-86 CAJA CUERPO CA-86       </v>
      </c>
      <c r="F192">
        <v>5</v>
      </c>
    </row>
    <row r="193" spans="2:11" x14ac:dyDescent="0.25">
      <c r="B193" s="22">
        <v>46144</v>
      </c>
      <c r="C193">
        <v>15805</v>
      </c>
      <c r="D193" s="3" t="str" cm="1">
        <f t="array" ref="D193">IFERROR(_xlfn.XLOOKUP(TEXT(C193,"0000"),TEXT(Catalog!A:A,"0000"),Catalog!B:B),"")</f>
        <v xml:space="preserve">VEILIGHEIDS TRAFO 63VA 12/24V </v>
      </c>
      <c r="F193">
        <v>3</v>
      </c>
      <c r="K193" t="s">
        <v>4802</v>
      </c>
    </row>
    <row r="195" spans="2:11" ht="24" x14ac:dyDescent="0.4">
      <c r="B195" s="42" t="s">
        <v>4800</v>
      </c>
      <c r="C195" s="42"/>
      <c r="D195" s="42"/>
      <c r="E195" s="42"/>
      <c r="F195" s="42"/>
      <c r="G195" s="42"/>
      <c r="H195" s="42"/>
      <c r="I195" s="43" t="s">
        <v>4459</v>
      </c>
      <c r="J195" s="13" t="s">
        <v>4432</v>
      </c>
      <c r="K195" s="44" t="s">
        <v>4460</v>
      </c>
    </row>
    <row r="196" spans="2:11" ht="18.75" x14ac:dyDescent="0.3">
      <c r="B196" s="11" t="s">
        <v>4445</v>
      </c>
      <c r="C196" s="11" t="s">
        <v>4433</v>
      </c>
      <c r="D196" s="11" t="s">
        <v>4434</v>
      </c>
      <c r="E196" s="11" t="s">
        <v>4435</v>
      </c>
      <c r="F196" s="11" t="s">
        <v>4436</v>
      </c>
      <c r="G196" s="11" t="s">
        <v>4444</v>
      </c>
      <c r="H196" s="11" t="s">
        <v>4436</v>
      </c>
      <c r="I196" s="43"/>
      <c r="J196" s="11" t="s">
        <v>4447</v>
      </c>
      <c r="K196" s="44"/>
    </row>
    <row r="197" spans="2:11" x14ac:dyDescent="0.25">
      <c r="B197" s="22">
        <v>46144</v>
      </c>
      <c r="C197">
        <v>1805</v>
      </c>
      <c r="D197" s="3" t="str" cm="1">
        <f t="array" ref="D197">IFERROR(_xlfn.XLOOKUP(TEXT(C197,"0000"),TEXT(Catalog!A:A,"0000"),Catalog!B:B),"")</f>
        <v>CA-64 CAJA VACIA TAPA TRANSPAR</v>
      </c>
      <c r="E197">
        <v>4</v>
      </c>
      <c r="F197">
        <v>1</v>
      </c>
    </row>
    <row r="200" spans="2:11" ht="24" x14ac:dyDescent="0.4">
      <c r="B200" s="42" t="s">
        <v>4801</v>
      </c>
      <c r="C200" s="42"/>
      <c r="D200" s="42"/>
      <c r="E200" s="42"/>
      <c r="F200" s="42"/>
      <c r="G200" s="42"/>
      <c r="H200" s="42"/>
      <c r="I200" s="43" t="s">
        <v>4459</v>
      </c>
      <c r="J200" s="13" t="s">
        <v>4432</v>
      </c>
      <c r="K200" s="44" t="s">
        <v>4460</v>
      </c>
    </row>
    <row r="201" spans="2:11" ht="18.75" x14ac:dyDescent="0.3">
      <c r="B201" s="11" t="s">
        <v>4445</v>
      </c>
      <c r="C201" s="11" t="s">
        <v>4433</v>
      </c>
      <c r="D201" s="11" t="s">
        <v>4434</v>
      </c>
      <c r="E201" s="11" t="s">
        <v>4435</v>
      </c>
      <c r="F201" s="11" t="s">
        <v>4436</v>
      </c>
      <c r="G201" s="11" t="s">
        <v>4444</v>
      </c>
      <c r="H201" s="11" t="s">
        <v>4436</v>
      </c>
      <c r="I201" s="43"/>
      <c r="J201" s="11" t="s">
        <v>4447</v>
      </c>
      <c r="K201" s="44"/>
    </row>
    <row r="202" spans="2:11" x14ac:dyDescent="0.25">
      <c r="B202" s="22">
        <v>46144</v>
      </c>
      <c r="C202">
        <v>1829</v>
      </c>
      <c r="D202" s="3" t="str" cm="1">
        <f t="array" ref="D202">IFERROR(_xlfn.XLOOKUP(TEXT(C202,"0000"),TEXT(Catalog!A:A,"0000"),Catalog!B:B),"")</f>
        <v>TT-63-CJ TAPA POLICARB.TRANSP.</v>
      </c>
      <c r="F202">
        <v>13</v>
      </c>
    </row>
    <row r="203" spans="2:11" x14ac:dyDescent="0.25">
      <c r="B203" s="22">
        <v>46144</v>
      </c>
      <c r="C203">
        <v>1829</v>
      </c>
      <c r="D203" s="3" t="str" cm="1">
        <f t="array" ref="D203">IFERROR(_xlfn.XLOOKUP(TEXT(C203,"0000"),TEXT(Catalog!A:A,"0000"),Catalog!B:B),"")</f>
        <v>TT-63-CJ TAPA POLICARB.TRANSP.</v>
      </c>
      <c r="E203" t="s">
        <v>4724</v>
      </c>
    </row>
    <row r="204" spans="2:11" x14ac:dyDescent="0.25">
      <c r="B204" s="22">
        <v>46144</v>
      </c>
      <c r="C204" s="21" t="s">
        <v>4803</v>
      </c>
      <c r="D204" s="3" t="str" cm="1">
        <f t="array" ref="D204">IFERROR(_xlfn.XLOOKUP(TEXT(C204,"0000"),TEXT(Catalog!A:A,"0000"),Catalog!B:B),"")</f>
        <v xml:space="preserve">PERSKABELSCHOEN  240 mm M12   </v>
      </c>
      <c r="F204">
        <v>9</v>
      </c>
    </row>
    <row r="205" spans="2:11" x14ac:dyDescent="0.25">
      <c r="B205" s="22">
        <v>46144</v>
      </c>
      <c r="C205" s="21" t="s">
        <v>4803</v>
      </c>
      <c r="D205" s="3" t="str" cm="1">
        <f t="array" ref="D205">IFERROR(_xlfn.XLOOKUP(TEXT(C205,"0000"),TEXT(Catalog!A:A,"0000"),Catalog!B:B),"")</f>
        <v xml:space="preserve">PERSKABELSCHOEN  240 mm M12   </v>
      </c>
      <c r="E205">
        <v>10</v>
      </c>
    </row>
    <row r="206" spans="2:11" x14ac:dyDescent="0.25">
      <c r="B206" s="22">
        <v>46144</v>
      </c>
      <c r="C206" s="21" t="s">
        <v>4804</v>
      </c>
      <c r="D206" s="3" t="str" cm="1">
        <f t="array" ref="D206">IFERROR(_xlfn.XLOOKUP(TEXT(C206,"0000"),TEXT(Catalog!A:A,"0000"),Catalog!B:B),"")</f>
        <v>PERSKABELSCHOEN SMALL 240-10MM</v>
      </c>
      <c r="F206" t="s">
        <v>4724</v>
      </c>
    </row>
    <row r="207" spans="2:11" x14ac:dyDescent="0.25">
      <c r="B207" s="22">
        <v>46144</v>
      </c>
      <c r="C207" s="21" t="s">
        <v>4805</v>
      </c>
      <c r="D207" s="3" t="str" cm="1">
        <f t="array" ref="D207">IFERROR(_xlfn.XLOOKUP(TEXT(C207,"0000"),TEXT(Catalog!A:A,"0000"),Catalog!B:B),"")</f>
        <v xml:space="preserve">PERSKABELSCHOEN 120 mm  M12   </v>
      </c>
      <c r="F207">
        <v>240</v>
      </c>
    </row>
    <row r="208" spans="2:11" x14ac:dyDescent="0.25">
      <c r="B208" s="22">
        <v>46144</v>
      </c>
      <c r="C208" s="21" t="s">
        <v>4806</v>
      </c>
      <c r="D208" s="3" t="str" cm="1">
        <f t="array" ref="D208">IFERROR(_xlfn.XLOOKUP(TEXT(C208,"0000"),TEXT(Catalog!A:A,"0000"),Catalog!B:B),"")</f>
        <v xml:space="preserve">PERSKABELSCHOEN  120  mm  M10 </v>
      </c>
      <c r="F208" t="s">
        <v>4807</v>
      </c>
    </row>
    <row r="211" spans="2:11" ht="24" x14ac:dyDescent="0.4">
      <c r="B211" s="42" t="s">
        <v>4808</v>
      </c>
      <c r="C211" s="42"/>
      <c r="D211" s="42"/>
      <c r="E211" s="42"/>
      <c r="F211" s="42"/>
      <c r="G211" s="42"/>
      <c r="H211" s="42"/>
      <c r="I211" s="43" t="s">
        <v>4459</v>
      </c>
      <c r="J211" s="13" t="s">
        <v>4432</v>
      </c>
      <c r="K211" s="44" t="s">
        <v>4460</v>
      </c>
    </row>
    <row r="212" spans="2:11" ht="18.75" x14ac:dyDescent="0.3">
      <c r="B212" s="11" t="s">
        <v>4445</v>
      </c>
      <c r="C212" s="11" t="s">
        <v>4433</v>
      </c>
      <c r="D212" s="11" t="s">
        <v>4434</v>
      </c>
      <c r="E212" s="11" t="s">
        <v>4435</v>
      </c>
      <c r="F212" s="11" t="s">
        <v>4436</v>
      </c>
      <c r="G212" s="11" t="s">
        <v>4444</v>
      </c>
      <c r="H212" s="11" t="s">
        <v>4436</v>
      </c>
      <c r="I212" s="43"/>
      <c r="J212" s="11" t="s">
        <v>4447</v>
      </c>
      <c r="K212" s="44"/>
    </row>
    <row r="213" spans="2:11" x14ac:dyDescent="0.25">
      <c r="B213" s="22">
        <v>46144</v>
      </c>
      <c r="C213">
        <v>1842</v>
      </c>
      <c r="D213" s="3" t="str" cm="1">
        <f t="array" ref="D213">IFERROR(_xlfn.XLOOKUP(TEXT(C213,"0000"),TEXT(Catalog!A:A,"0000"),Catalog!B:B),"")</f>
        <v xml:space="preserve">CHASSIS CA-43-1 EN KIT        </v>
      </c>
      <c r="F213">
        <v>60</v>
      </c>
    </row>
    <row r="214" spans="2:11" x14ac:dyDescent="0.25">
      <c r="B214" s="22">
        <v>46144</v>
      </c>
      <c r="C214">
        <v>1844</v>
      </c>
      <c r="D214" s="3" t="str" cm="1">
        <f t="array" ref="D214">IFERROR(_xlfn.XLOOKUP(TEXT(C214,"0000"),TEXT(Catalog!A:A,"0000"),Catalog!B:B),"")</f>
        <v xml:space="preserve">CHASSIS CA-63-1 EN KIT        </v>
      </c>
      <c r="F214">
        <v>58</v>
      </c>
      <c r="H214">
        <v>13</v>
      </c>
      <c r="K214" t="s">
        <v>4809</v>
      </c>
    </row>
    <row r="215" spans="2:11" x14ac:dyDescent="0.25">
      <c r="B215" s="22">
        <v>46144</v>
      </c>
      <c r="C215">
        <v>1845</v>
      </c>
      <c r="D215" s="3" t="str" cm="1">
        <f t="array" ref="D215">IFERROR(_xlfn.XLOOKUP(TEXT(C215,"0000"),TEXT(Catalog!A:A,"0000"),Catalog!B:B),"")</f>
        <v xml:space="preserve">CHASSIS CA-64-1 EN KIT        </v>
      </c>
      <c r="F215">
        <v>9</v>
      </c>
      <c r="K215" t="s">
        <v>4810</v>
      </c>
    </row>
    <row r="216" spans="2:11" x14ac:dyDescent="0.25">
      <c r="B216" s="22">
        <v>46144</v>
      </c>
      <c r="C216">
        <v>1845</v>
      </c>
      <c r="D216" s="3" t="str" cm="1">
        <f t="array" ref="D216">IFERROR(_xlfn.XLOOKUP(TEXT(C216,"0000"),TEXT(Catalog!A:A,"0000"),Catalog!B:B),"")</f>
        <v xml:space="preserve">CHASSIS CA-64-1 EN KIT        </v>
      </c>
      <c r="F216">
        <v>28</v>
      </c>
      <c r="K216" t="s">
        <v>4809</v>
      </c>
    </row>
    <row r="217" spans="2:11" x14ac:dyDescent="0.25">
      <c r="B217" s="22">
        <v>46144</v>
      </c>
      <c r="C217">
        <v>1841</v>
      </c>
      <c r="D217" s="3" t="str" cm="1">
        <f t="array" ref="D217">IFERROR(_xlfn.XLOOKUP(TEXT(C217,"0000"),TEXT(Catalog!A:A,"0000"),Catalog!B:B),"")</f>
        <v xml:space="preserve">CHASSIS CA-33-1 EN KIT        </v>
      </c>
      <c r="F217">
        <v>21</v>
      </c>
    </row>
    <row r="218" spans="2:11" x14ac:dyDescent="0.25">
      <c r="B218" s="22">
        <v>46144</v>
      </c>
      <c r="C218">
        <v>1844</v>
      </c>
      <c r="D218" s="3" t="str" cm="1">
        <f t="array" ref="D218">IFERROR(_xlfn.XLOOKUP(TEXT(C218,"0000"),TEXT(Catalog!A:A,"0000"),Catalog!B:B),"")</f>
        <v xml:space="preserve">CHASSIS CA-63-1 EN KIT        </v>
      </c>
      <c r="F218" t="s">
        <v>4811</v>
      </c>
    </row>
    <row r="219" spans="2:11" x14ac:dyDescent="0.25">
      <c r="B219" s="22">
        <v>46144</v>
      </c>
      <c r="C219">
        <v>1841</v>
      </c>
      <c r="D219" s="3" t="str" cm="1">
        <f t="array" ref="D219">IFERROR(_xlfn.XLOOKUP(TEXT(C219,"0000"),TEXT(Catalog!A:A,"0000"),Catalog!B:B),"")</f>
        <v xml:space="preserve">CHASSIS CA-33-1 EN KIT        </v>
      </c>
      <c r="F219">
        <v>78</v>
      </c>
    </row>
    <row r="220" spans="2:11" x14ac:dyDescent="0.25">
      <c r="B220" s="22">
        <v>46144</v>
      </c>
      <c r="C220">
        <v>1843</v>
      </c>
      <c r="D220" s="3" t="str" cm="1">
        <f t="array" ref="D220">IFERROR(_xlfn.XLOOKUP(TEXT(C220,"0000"),TEXT(Catalog!A:A,"0000"),Catalog!B:B),"")</f>
        <v xml:space="preserve">CHASSIS CA-44-1 EN KIT        </v>
      </c>
      <c r="F220">
        <v>24</v>
      </c>
    </row>
    <row r="223" spans="2:11" ht="24" x14ac:dyDescent="0.4">
      <c r="B223" s="42" t="s">
        <v>4812</v>
      </c>
      <c r="C223" s="42"/>
      <c r="D223" s="42"/>
      <c r="E223" s="42"/>
      <c r="F223" s="42"/>
      <c r="G223" s="42"/>
      <c r="H223" s="42"/>
      <c r="I223" s="43" t="s">
        <v>4459</v>
      </c>
      <c r="J223" s="13" t="s">
        <v>4432</v>
      </c>
      <c r="K223" s="44" t="s">
        <v>4460</v>
      </c>
    </row>
    <row r="224" spans="2:11" ht="18.75" x14ac:dyDescent="0.3">
      <c r="B224" s="11" t="s">
        <v>4445</v>
      </c>
      <c r="C224" s="11" t="s">
        <v>4433</v>
      </c>
      <c r="D224" s="11" t="s">
        <v>4434</v>
      </c>
      <c r="E224" s="11" t="s">
        <v>4435</v>
      </c>
      <c r="F224" s="11" t="s">
        <v>4436</v>
      </c>
      <c r="G224" s="11" t="s">
        <v>4444</v>
      </c>
      <c r="H224" s="11" t="s">
        <v>4436</v>
      </c>
      <c r="I224" s="43"/>
      <c r="J224" s="11" t="s">
        <v>4447</v>
      </c>
      <c r="K224" s="44"/>
    </row>
    <row r="225" spans="2:11" x14ac:dyDescent="0.25">
      <c r="B225" s="22">
        <v>46144</v>
      </c>
      <c r="C225">
        <v>1816</v>
      </c>
      <c r="D225" s="3" t="str" cm="1">
        <f t="array" ref="D225">IFERROR(_xlfn.XLOOKUP(TEXT(C225,"0000"),TEXT(Catalog!A:A,"0000"),Catalog!B:B),"")</f>
        <v xml:space="preserve">PP-86 PLACA POLIESTER PP-86   </v>
      </c>
      <c r="F225">
        <v>17</v>
      </c>
    </row>
    <row r="226" spans="2:11" x14ac:dyDescent="0.25">
      <c r="B226" s="22">
        <v>46144</v>
      </c>
      <c r="C226">
        <v>1814</v>
      </c>
      <c r="D226" s="3" t="str" cm="1">
        <f t="array" ref="D226">IFERROR(_xlfn.XLOOKUP(TEXT(C226,"0000"),TEXT(Catalog!A:A,"0000"),Catalog!B:B),"")</f>
        <v xml:space="preserve">PP-66 PLACA POLIESTER PP-66   </v>
      </c>
      <c r="F226">
        <v>27</v>
      </c>
    </row>
    <row r="227" spans="2:11" x14ac:dyDescent="0.25">
      <c r="B227" s="22">
        <v>46144</v>
      </c>
      <c r="C227">
        <v>1815</v>
      </c>
      <c r="D227" s="3" t="str" cm="1">
        <f t="array" ref="D227">IFERROR(_xlfn.XLOOKUP(TEXT(C227,"0000"),TEXT(Catalog!A:A,"0000"),Catalog!B:B),"")</f>
        <v xml:space="preserve"> PP-84 PLACA POLIESTER PP-84  </v>
      </c>
      <c r="F227">
        <v>16</v>
      </c>
    </row>
    <row r="228" spans="2:11" x14ac:dyDescent="0.25">
      <c r="B228" s="22">
        <v>46144</v>
      </c>
      <c r="C228">
        <v>18131</v>
      </c>
      <c r="D228" s="3" t="str" cm="1">
        <f t="array" ref="D228">IFERROR(_xlfn.XLOOKUP(TEXT(C228,"0000"),TEXT(Catalog!A:A,"0000"),Catalog!B:B),"")</f>
        <v xml:space="preserve"> PP-64 PLACA POLIESTER PP-64  </v>
      </c>
      <c r="F228">
        <v>46</v>
      </c>
    </row>
    <row r="229" spans="2:11" x14ac:dyDescent="0.25">
      <c r="B229" s="22">
        <v>46144</v>
      </c>
      <c r="C229" s="21" t="s">
        <v>4711</v>
      </c>
      <c r="D229" s="3" t="str" cm="1">
        <f t="array" ref="D229">IFERROR(_xlfn.XLOOKUP(TEXT(C229,"0000"),TEXT(Catalog!A:A,"0000"),Catalog!B:B),"")</f>
        <v xml:space="preserve">PG 13,5 + MOER                </v>
      </c>
      <c r="F229" t="s">
        <v>4813</v>
      </c>
    </row>
    <row r="230" spans="2:11" x14ac:dyDescent="0.25">
      <c r="B230" s="22">
        <v>46144</v>
      </c>
      <c r="C230" s="21" t="s">
        <v>4756</v>
      </c>
      <c r="D230" s="3" t="str" cm="1">
        <f t="array" ref="D230">IFERROR(_xlfn.XLOOKUP(TEXT(C230,"0000"),TEXT(Catalog!A:A,"0000"),Catalog!B:B),"")</f>
        <v xml:space="preserve">PG+MOER M40                   </v>
      </c>
      <c r="F230" t="s">
        <v>4814</v>
      </c>
    </row>
    <row r="231" spans="2:11" x14ac:dyDescent="0.25">
      <c r="B231" s="22">
        <v>46144</v>
      </c>
      <c r="C231" s="21" t="s">
        <v>4757</v>
      </c>
      <c r="D231" s="3" t="str" cm="1">
        <f t="array" ref="D231">IFERROR(_xlfn.XLOOKUP(TEXT(C231,"0000"),TEXT(Catalog!A:A,"0000"),Catalog!B:B),"")</f>
        <v xml:space="preserve">PG+MOER M50                   </v>
      </c>
      <c r="F231" t="s">
        <v>4815</v>
      </c>
    </row>
    <row r="232" spans="2:11" x14ac:dyDescent="0.25">
      <c r="B232" s="22">
        <v>46144</v>
      </c>
      <c r="C232" s="21" t="s">
        <v>4758</v>
      </c>
      <c r="D232" s="3" t="str" cm="1">
        <f t="array" ref="D232">IFERROR(_xlfn.XLOOKUP(TEXT(C232,"0000"),TEXT(Catalog!A:A,"0000"),Catalog!B:B),"")</f>
        <v xml:space="preserve">PG+MOER M63                   </v>
      </c>
      <c r="F232" t="s">
        <v>4783</v>
      </c>
    </row>
    <row r="233" spans="2:11" x14ac:dyDescent="0.25">
      <c r="B233" s="22">
        <v>46144</v>
      </c>
      <c r="C233" s="21" t="s">
        <v>4731</v>
      </c>
      <c r="D233" s="3" t="str" cm="1">
        <f t="array" ref="D233">IFERROR(_xlfn.XLOOKUP(TEXT(C233,"0000"),TEXT(Catalog!A:A,"0000"),Catalog!B:B),"")</f>
        <v xml:space="preserve">PG+MOER M25                   </v>
      </c>
      <c r="F233" t="s">
        <v>4763</v>
      </c>
    </row>
    <row r="234" spans="2:11" x14ac:dyDescent="0.25">
      <c r="B234" s="22">
        <v>46144</v>
      </c>
      <c r="C234">
        <v>1811</v>
      </c>
      <c r="D234" s="3" t="str" cm="1">
        <f t="array" ref="D234">IFERROR(_xlfn.XLOOKUP(TEXT(C234,"0000"),TEXT(Catalog!A:A,"0000"),Catalog!B:B),"")</f>
        <v xml:space="preserve">PP-43 PLACA POLIESTER PP-43   </v>
      </c>
      <c r="G234">
        <v>31</v>
      </c>
    </row>
    <row r="235" spans="2:11" x14ac:dyDescent="0.25">
      <c r="B235" s="22">
        <v>46144</v>
      </c>
      <c r="C235">
        <v>1812</v>
      </c>
      <c r="D235" s="3" t="str" cm="1">
        <f t="array" ref="D235">IFERROR(_xlfn.XLOOKUP(TEXT(C235,"0000"),TEXT(Catalog!A:A,"0000"),Catalog!B:B),"")</f>
        <v xml:space="preserve">PP-44 PLACA POLIESTER PP-44   </v>
      </c>
      <c r="G235">
        <v>26</v>
      </c>
    </row>
    <row r="236" spans="2:11" x14ac:dyDescent="0.25">
      <c r="B236" s="22">
        <v>46144</v>
      </c>
      <c r="C236">
        <v>1813</v>
      </c>
      <c r="D236" s="3" t="str" cm="1">
        <f t="array" ref="D236">IFERROR(_xlfn.XLOOKUP(TEXT(C236,"0000"),TEXT(Catalog!A:A,"0000"),Catalog!B:B),"")</f>
        <v xml:space="preserve"> PP-63 PLACA POLIESTER PP-63  </v>
      </c>
      <c r="G236">
        <v>39</v>
      </c>
    </row>
    <row r="237" spans="2:11" x14ac:dyDescent="0.25">
      <c r="B237" s="22"/>
    </row>
    <row r="238" spans="2:11" ht="24" x14ac:dyDescent="0.4">
      <c r="B238" s="42" t="s">
        <v>4816</v>
      </c>
      <c r="C238" s="42"/>
      <c r="D238" s="42"/>
      <c r="E238" s="42"/>
      <c r="F238" s="42"/>
      <c r="G238" s="42"/>
      <c r="H238" s="42"/>
      <c r="I238" s="43" t="s">
        <v>4459</v>
      </c>
      <c r="J238" s="13" t="s">
        <v>4432</v>
      </c>
      <c r="K238" s="44" t="s">
        <v>4460</v>
      </c>
    </row>
    <row r="239" spans="2:11" ht="18.75" x14ac:dyDescent="0.3">
      <c r="B239" s="11" t="s">
        <v>4445</v>
      </c>
      <c r="C239" s="11" t="s">
        <v>4433</v>
      </c>
      <c r="D239" s="11" t="s">
        <v>4434</v>
      </c>
      <c r="E239" s="11" t="s">
        <v>4435</v>
      </c>
      <c r="F239" s="11" t="s">
        <v>4436</v>
      </c>
      <c r="G239" s="11" t="s">
        <v>4444</v>
      </c>
      <c r="H239" s="11" t="s">
        <v>4436</v>
      </c>
      <c r="I239" s="43"/>
      <c r="J239" s="11" t="s">
        <v>4447</v>
      </c>
      <c r="K239" s="44"/>
    </row>
    <row r="240" spans="2:11" x14ac:dyDescent="0.25">
      <c r="B240" s="22">
        <v>46144</v>
      </c>
      <c r="C240" s="21" t="s">
        <v>4817</v>
      </c>
      <c r="D240" s="3" t="str" cm="1">
        <f t="array" ref="D240">IFERROR(_xlfn.XLOOKUP(TEXT(C240,"0000"),TEXT(Catalog!A:A,"0000"),Catalog!B:B),"")</f>
        <v xml:space="preserve">PERSKABELSCHOEN  95  mm  M10  </v>
      </c>
      <c r="E240" t="s">
        <v>4825</v>
      </c>
    </row>
    <row r="241" spans="2:11" x14ac:dyDescent="0.25">
      <c r="B241" s="22">
        <v>46144</v>
      </c>
      <c r="C241" s="21" t="s">
        <v>4818</v>
      </c>
      <c r="D241" s="3" t="str" cm="1">
        <f t="array" ref="D241">IFERROR(_xlfn.XLOOKUP(TEXT(C241,"0000"),TEXT(Catalog!A:A,"0000"),Catalog!B:B),"")</f>
        <v xml:space="preserve">PERSKABELSCHOEN  95  mm  M8   </v>
      </c>
      <c r="E241" t="s">
        <v>4826</v>
      </c>
    </row>
    <row r="242" spans="2:11" x14ac:dyDescent="0.25">
      <c r="B242" s="22">
        <v>46144</v>
      </c>
      <c r="C242" s="21" t="s">
        <v>4819</v>
      </c>
      <c r="D242" s="3" t="str" cm="1">
        <f t="array" ref="D242">IFERROR(_xlfn.XLOOKUP(TEXT(C242,"0000"),TEXT(Catalog!A:A,"0000"),Catalog!B:B),"")</f>
        <v xml:space="preserve">PERSKABELSCHOEN  70  mm  M12  </v>
      </c>
      <c r="E242" t="s">
        <v>4827</v>
      </c>
      <c r="F242" t="s">
        <v>4828</v>
      </c>
    </row>
    <row r="243" spans="2:11" x14ac:dyDescent="0.25">
      <c r="B243" s="22">
        <v>46144</v>
      </c>
      <c r="C243" s="21" t="s">
        <v>4820</v>
      </c>
      <c r="D243" s="3" t="str" cm="1">
        <f t="array" ref="D243">IFERROR(_xlfn.XLOOKUP(TEXT(C243,"0000"),TEXT(Catalog!A:A,"0000"),Catalog!B:B),"")</f>
        <v xml:space="preserve">PERSKABELSCHOEN  50  mm  M12  </v>
      </c>
      <c r="E243" t="s">
        <v>4830</v>
      </c>
      <c r="K243" t="s">
        <v>4829</v>
      </c>
    </row>
    <row r="244" spans="2:11" x14ac:dyDescent="0.25">
      <c r="B244" s="22">
        <v>46144</v>
      </c>
      <c r="C244" s="21" t="s">
        <v>4821</v>
      </c>
      <c r="D244" s="3" t="str" cm="1">
        <f t="array" ref="D244">IFERROR(_xlfn.XLOOKUP(TEXT(C244,"0000"),TEXT(Catalog!A:A,"0000"),Catalog!B:B),"")</f>
        <v xml:space="preserve">PERSKABELSCHOEN 50  mm  M10   </v>
      </c>
      <c r="E244" t="s">
        <v>4831</v>
      </c>
    </row>
    <row r="245" spans="2:11" x14ac:dyDescent="0.25">
      <c r="B245" s="22">
        <v>46144</v>
      </c>
      <c r="C245" s="21" t="s">
        <v>4822</v>
      </c>
      <c r="D245" s="3" t="str" cm="1">
        <f t="array" ref="D245">IFERROR(_xlfn.XLOOKUP(TEXT(C245,"0000"),TEXT(Catalog!A:A,"0000"),Catalog!B:B),"")</f>
        <v xml:space="preserve">PERSKABELSCHOEN  50  mm  M8   </v>
      </c>
      <c r="E245" t="s">
        <v>4832</v>
      </c>
    </row>
    <row r="246" spans="2:11" x14ac:dyDescent="0.25">
      <c r="B246" s="22">
        <v>46144</v>
      </c>
      <c r="C246" s="21" t="s">
        <v>4823</v>
      </c>
      <c r="D246" s="3" t="str" cm="1">
        <f t="array" ref="D246">IFERROR(_xlfn.XLOOKUP(TEXT(C246,"0000"),TEXT(Catalog!A:A,"0000"),Catalog!B:B),"")</f>
        <v xml:space="preserve">PERSKABELSCHOEN  35  mm  M12  </v>
      </c>
      <c r="E246" t="s">
        <v>4833</v>
      </c>
    </row>
    <row r="247" spans="2:11" x14ac:dyDescent="0.25">
      <c r="B247" s="22">
        <v>46144</v>
      </c>
      <c r="C247" s="21" t="s">
        <v>4824</v>
      </c>
      <c r="D247" s="3" t="str" cm="1">
        <f t="array" ref="D247">IFERROR(_xlfn.XLOOKUP(TEXT(C247,"0000"),TEXT(Catalog!A:A,"0000"),Catalog!B:B),"")</f>
        <v xml:space="preserve">PERSKABELSCHOEN  35  mm  M10  </v>
      </c>
      <c r="E247" t="s">
        <v>4834</v>
      </c>
    </row>
    <row r="248" spans="2:11" x14ac:dyDescent="0.25">
      <c r="B248" s="22"/>
    </row>
    <row r="249" spans="2:11" x14ac:dyDescent="0.25">
      <c r="B249" s="22"/>
    </row>
    <row r="250" spans="2:11" x14ac:dyDescent="0.25">
      <c r="B250" s="22"/>
    </row>
  </sheetData>
  <mergeCells count="82">
    <mergeCell ref="B1:I1"/>
    <mergeCell ref="B2:H2"/>
    <mergeCell ref="I2:I3"/>
    <mergeCell ref="K2:K3"/>
    <mergeCell ref="B9:H9"/>
    <mergeCell ref="I9:I10"/>
    <mergeCell ref="K9:K10"/>
    <mergeCell ref="B14:H14"/>
    <mergeCell ref="I14:I15"/>
    <mergeCell ref="K14:K15"/>
    <mergeCell ref="B26:H26"/>
    <mergeCell ref="I26:I27"/>
    <mergeCell ref="K26:K27"/>
    <mergeCell ref="B35:H35"/>
    <mergeCell ref="I35:I36"/>
    <mergeCell ref="K35:K36"/>
    <mergeCell ref="B40:H40"/>
    <mergeCell ref="I40:I41"/>
    <mergeCell ref="K40:K41"/>
    <mergeCell ref="B48:H48"/>
    <mergeCell ref="I48:I49"/>
    <mergeCell ref="K48:K49"/>
    <mergeCell ref="B61:H61"/>
    <mergeCell ref="I61:I62"/>
    <mergeCell ref="K61:K62"/>
    <mergeCell ref="B69:H69"/>
    <mergeCell ref="I69:I70"/>
    <mergeCell ref="K69:K70"/>
    <mergeCell ref="B77:H77"/>
    <mergeCell ref="I77:I78"/>
    <mergeCell ref="K77:K78"/>
    <mergeCell ref="B84:H84"/>
    <mergeCell ref="I84:I85"/>
    <mergeCell ref="K84:K85"/>
    <mergeCell ref="B94:H94"/>
    <mergeCell ref="I94:I95"/>
    <mergeCell ref="K94:K95"/>
    <mergeCell ref="B104:H104"/>
    <mergeCell ref="I104:I105"/>
    <mergeCell ref="K104:K105"/>
    <mergeCell ref="B111:H111"/>
    <mergeCell ref="I111:I112"/>
    <mergeCell ref="K111:K112"/>
    <mergeCell ref="B116:H116"/>
    <mergeCell ref="I116:I117"/>
    <mergeCell ref="K116:K117"/>
    <mergeCell ref="B121:H121"/>
    <mergeCell ref="I121:I122"/>
    <mergeCell ref="K121:K122"/>
    <mergeCell ref="B127:H127"/>
    <mergeCell ref="I127:I128"/>
    <mergeCell ref="K127:K128"/>
    <mergeCell ref="B156:H156"/>
    <mergeCell ref="I156:I157"/>
    <mergeCell ref="K156:K157"/>
    <mergeCell ref="B163:H163"/>
    <mergeCell ref="I163:I164"/>
    <mergeCell ref="K163:K164"/>
    <mergeCell ref="B170:H170"/>
    <mergeCell ref="I170:I171"/>
    <mergeCell ref="K170:K171"/>
    <mergeCell ref="B178:H178"/>
    <mergeCell ref="I178:I179"/>
    <mergeCell ref="K178:K179"/>
    <mergeCell ref="B189:H189"/>
    <mergeCell ref="I189:I190"/>
    <mergeCell ref="K189:K190"/>
    <mergeCell ref="B195:H195"/>
    <mergeCell ref="I195:I196"/>
    <mergeCell ref="K195:K196"/>
    <mergeCell ref="B200:H200"/>
    <mergeCell ref="I200:I201"/>
    <mergeCell ref="K200:K201"/>
    <mergeCell ref="B238:H238"/>
    <mergeCell ref="I238:I239"/>
    <mergeCell ref="K238:K239"/>
    <mergeCell ref="B211:H211"/>
    <mergeCell ref="I211:I212"/>
    <mergeCell ref="K211:K212"/>
    <mergeCell ref="B223:H223"/>
    <mergeCell ref="I223:I224"/>
    <mergeCell ref="K223:K22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408A0-45A4-4358-8E84-DD50BA2E0527}">
  <dimension ref="A1:M108"/>
  <sheetViews>
    <sheetView topLeftCell="A83" workbookViewId="0">
      <selection activeCell="K96" sqref="K96:K97"/>
    </sheetView>
  </sheetViews>
  <sheetFormatPr defaultColWidth="11.42578125" defaultRowHeight="15" x14ac:dyDescent="0.25"/>
  <cols>
    <col min="1" max="1" width="13.7109375" bestFit="1" customWidth="1"/>
    <col min="2" max="2" width="10.28515625" bestFit="1" customWidth="1"/>
    <col min="3" max="3" width="7.85546875" bestFit="1" customWidth="1"/>
    <col min="4" max="4" width="13.85546875" bestFit="1" customWidth="1"/>
    <col min="5" max="5" width="11.5703125" bestFit="1" customWidth="1"/>
    <col min="6" max="6" width="33.85546875" bestFit="1" customWidth="1"/>
    <col min="7" max="7" width="8.7109375" bestFit="1" customWidth="1"/>
    <col min="8" max="8" width="13" bestFit="1" customWidth="1"/>
    <col min="9" max="9" width="7.28515625" customWidth="1"/>
    <col min="10" max="10" width="9.5703125" bestFit="1" customWidth="1"/>
    <col min="11" max="11" width="11.85546875" bestFit="1" customWidth="1"/>
    <col min="12" max="12" width="11.5703125" bestFit="1" customWidth="1"/>
    <col min="13" max="13" width="11.42578125" style="10"/>
  </cols>
  <sheetData>
    <row r="1" spans="1:12" ht="30" customHeight="1" x14ac:dyDescent="0.4">
      <c r="D1" s="45" t="s">
        <v>4483</v>
      </c>
      <c r="E1" s="45"/>
      <c r="F1" s="45"/>
      <c r="G1" s="45"/>
      <c r="H1" s="45"/>
      <c r="I1" s="45"/>
      <c r="J1" s="45"/>
      <c r="K1" s="45"/>
    </row>
    <row r="2" spans="1:12" ht="24" x14ac:dyDescent="0.4">
      <c r="D2" s="42" t="s">
        <v>4856</v>
      </c>
      <c r="E2" s="42"/>
      <c r="F2" s="42"/>
      <c r="G2" s="42"/>
      <c r="H2" s="42"/>
      <c r="I2" s="42"/>
      <c r="J2" s="42"/>
      <c r="K2" s="42"/>
      <c r="L2" s="13" t="s">
        <v>4432</v>
      </c>
    </row>
    <row r="3" spans="1:12" ht="15.75" x14ac:dyDescent="0.25">
      <c r="A3" s="28" t="s">
        <v>5044</v>
      </c>
      <c r="B3" s="28" t="s">
        <v>5054</v>
      </c>
      <c r="C3" s="28" t="s">
        <v>5055</v>
      </c>
      <c r="D3" s="28" t="s">
        <v>5045</v>
      </c>
      <c r="E3" s="28" t="s">
        <v>5046</v>
      </c>
      <c r="F3" s="28" t="s">
        <v>4434</v>
      </c>
      <c r="G3" s="28" t="s">
        <v>5047</v>
      </c>
      <c r="H3" s="28" t="s">
        <v>5048</v>
      </c>
      <c r="I3" s="28" t="s">
        <v>5049</v>
      </c>
      <c r="J3" s="28" t="s">
        <v>5050</v>
      </c>
      <c r="K3" s="28" t="s">
        <v>5051</v>
      </c>
      <c r="L3" s="28" t="s">
        <v>5052</v>
      </c>
    </row>
    <row r="4" spans="1:12" x14ac:dyDescent="0.25">
      <c r="A4" t="s">
        <v>5053</v>
      </c>
      <c r="B4">
        <v>1</v>
      </c>
      <c r="C4">
        <v>16</v>
      </c>
      <c r="D4" t="s">
        <v>4857</v>
      </c>
      <c r="E4">
        <v>4040</v>
      </c>
      <c r="F4" s="3" t="str" cm="1">
        <f t="array" ref="F4">IFERROR(_xlfn.XLOOKUP(TEXT(E4,"0000"),TEXT(Catalog!A:A,"0000"),Catalog!B:B),"")</f>
        <v xml:space="preserve">SINGLE POLE SWITCH 37011 OPB  </v>
      </c>
      <c r="G4">
        <v>2</v>
      </c>
      <c r="H4">
        <v>100</v>
      </c>
      <c r="I4">
        <f>G4*H4</f>
        <v>200</v>
      </c>
      <c r="J4">
        <v>1</v>
      </c>
      <c r="K4">
        <v>0</v>
      </c>
      <c r="L4">
        <f>I4+J4+K4</f>
        <v>201</v>
      </c>
    </row>
    <row r="5" spans="1:12" x14ac:dyDescent="0.25">
      <c r="A5" t="s">
        <v>5053</v>
      </c>
      <c r="B5">
        <v>1</v>
      </c>
      <c r="C5">
        <v>16</v>
      </c>
      <c r="D5" t="s">
        <v>4857</v>
      </c>
      <c r="E5">
        <v>4042</v>
      </c>
      <c r="F5" s="3" t="str" cm="1">
        <f t="array" ref="F5">IFERROR(_xlfn.XLOOKUP(TEXT(E5,"0000"),TEXT(Catalog!A:A,"0000"),Catalog!B:B),"")</f>
        <v xml:space="preserve">TWO-WAY SWITCH 37071 OPB      </v>
      </c>
      <c r="G5">
        <v>24</v>
      </c>
      <c r="H5">
        <v>1</v>
      </c>
      <c r="I5">
        <f t="shared" ref="I5:I14" si="0">G5*H5</f>
        <v>24</v>
      </c>
      <c r="J5">
        <v>0</v>
      </c>
      <c r="K5">
        <v>0</v>
      </c>
      <c r="L5">
        <f t="shared" ref="L5:L14" si="1">I5+J5+K5</f>
        <v>24</v>
      </c>
    </row>
    <row r="6" spans="1:12" x14ac:dyDescent="0.25">
      <c r="A6" t="s">
        <v>5053</v>
      </c>
      <c r="B6">
        <v>1</v>
      </c>
      <c r="C6">
        <v>16</v>
      </c>
      <c r="D6" t="s">
        <v>4857</v>
      </c>
      <c r="E6">
        <v>4041</v>
      </c>
      <c r="F6" s="3" t="str" cm="1">
        <f t="array" ref="F6">IFERROR(_xlfn.XLOOKUP(TEXT(E6,"0000"),TEXT(Catalog!A:A,"0000"),Catalog!B:B),"")</f>
        <v xml:space="preserve">TWO CIRCUITS SWITCH 37061 OPB </v>
      </c>
      <c r="G6">
        <v>31</v>
      </c>
      <c r="H6">
        <v>1</v>
      </c>
      <c r="I6">
        <f t="shared" si="0"/>
        <v>31</v>
      </c>
      <c r="J6">
        <v>0</v>
      </c>
      <c r="K6">
        <v>0</v>
      </c>
      <c r="L6">
        <f t="shared" si="1"/>
        <v>31</v>
      </c>
    </row>
    <row r="7" spans="1:12" x14ac:dyDescent="0.25">
      <c r="A7" t="s">
        <v>5053</v>
      </c>
      <c r="B7">
        <v>1</v>
      </c>
      <c r="C7">
        <v>16</v>
      </c>
      <c r="D7" t="s">
        <v>4857</v>
      </c>
      <c r="E7">
        <v>4043</v>
      </c>
      <c r="F7" s="3" t="str" cm="1">
        <f t="array" ref="F7">IFERROR(_xlfn.XLOOKUP(TEXT(E7,"0000"),TEXT(Catalog!A:A,"0000"),Catalog!B:B),"")</f>
        <v>DOUBLE 2-WAY SWITCH  37101 OPB</v>
      </c>
      <c r="G7">
        <v>15</v>
      </c>
      <c r="H7">
        <v>1</v>
      </c>
      <c r="I7">
        <f t="shared" si="0"/>
        <v>15</v>
      </c>
      <c r="J7">
        <v>0</v>
      </c>
      <c r="K7">
        <v>0</v>
      </c>
      <c r="L7">
        <f t="shared" si="1"/>
        <v>15</v>
      </c>
    </row>
    <row r="8" spans="1:12" x14ac:dyDescent="0.25">
      <c r="A8" t="s">
        <v>5053</v>
      </c>
      <c r="B8">
        <v>1</v>
      </c>
      <c r="C8">
        <v>16</v>
      </c>
      <c r="D8" t="s">
        <v>4857</v>
      </c>
      <c r="E8">
        <v>4050</v>
      </c>
      <c r="F8" s="3" t="str" cm="1">
        <f t="array" ref="F8">IFERROR(_xlfn.XLOOKUP(TEXT(E8,"0000"),TEXT(Catalog!A:A,"0000"),Catalog!B:B),"")</f>
        <v xml:space="preserve">EARTH SOCKET  48131 OPB  WD   </v>
      </c>
      <c r="G8">
        <v>3</v>
      </c>
      <c r="H8">
        <v>1</v>
      </c>
      <c r="I8">
        <f t="shared" si="0"/>
        <v>3</v>
      </c>
      <c r="J8">
        <v>0</v>
      </c>
      <c r="K8">
        <v>0</v>
      </c>
      <c r="L8">
        <f t="shared" si="1"/>
        <v>3</v>
      </c>
    </row>
    <row r="9" spans="1:12" x14ac:dyDescent="0.25">
      <c r="A9" t="s">
        <v>5053</v>
      </c>
      <c r="B9">
        <v>1</v>
      </c>
      <c r="C9">
        <v>16</v>
      </c>
      <c r="D9" t="s">
        <v>4857</v>
      </c>
      <c r="E9">
        <v>4046</v>
      </c>
      <c r="F9" s="3" t="str" cm="1">
        <f t="array" ref="F9">IFERROR(_xlfn.XLOOKUP(TEXT(E9,"0000"),TEXT(Catalog!A:A,"0000"),Catalog!B:B),"")</f>
        <v>SINGLE POLE SWITCH 48011 OP WD</v>
      </c>
      <c r="G9">
        <v>11</v>
      </c>
      <c r="H9">
        <v>1</v>
      </c>
      <c r="I9">
        <f t="shared" si="0"/>
        <v>11</v>
      </c>
      <c r="J9">
        <v>0</v>
      </c>
      <c r="K9">
        <v>0</v>
      </c>
      <c r="L9">
        <f t="shared" si="1"/>
        <v>11</v>
      </c>
    </row>
    <row r="10" spans="1:12" x14ac:dyDescent="0.25">
      <c r="A10" t="s">
        <v>5053</v>
      </c>
      <c r="B10">
        <v>1</v>
      </c>
      <c r="C10">
        <v>16</v>
      </c>
      <c r="D10" t="s">
        <v>4857</v>
      </c>
      <c r="E10">
        <v>4049</v>
      </c>
      <c r="F10" s="3" t="str" cm="1">
        <f t="array" ref="F10">IFERROR(_xlfn.XLOOKUP(TEXT(E10,"0000"),TEXT(Catalog!A:A,"0000"),Catalog!B:B),"")</f>
        <v xml:space="preserve">TWO WAY SWITCH 48071 OPB WD   </v>
      </c>
      <c r="G10">
        <v>7</v>
      </c>
      <c r="H10">
        <v>1</v>
      </c>
      <c r="I10">
        <f t="shared" si="0"/>
        <v>7</v>
      </c>
      <c r="J10">
        <v>0</v>
      </c>
      <c r="K10">
        <v>0</v>
      </c>
      <c r="L10">
        <f t="shared" si="1"/>
        <v>7</v>
      </c>
    </row>
    <row r="11" spans="1:12" x14ac:dyDescent="0.25">
      <c r="A11" t="s">
        <v>5053</v>
      </c>
      <c r="B11">
        <v>1</v>
      </c>
      <c r="C11">
        <v>16</v>
      </c>
      <c r="D11" t="s">
        <v>4857</v>
      </c>
      <c r="E11">
        <v>4047</v>
      </c>
      <c r="F11" s="3" t="str" cm="1">
        <f t="array" ref="F11">IFERROR(_xlfn.XLOOKUP(TEXT(E11,"0000"),TEXT(Catalog!A:A,"0000"),Catalog!B:B),"")</f>
        <v xml:space="preserve">TWO POLE SWITCH 48021 WD OPB  </v>
      </c>
      <c r="G11">
        <v>7</v>
      </c>
      <c r="H11">
        <v>1</v>
      </c>
      <c r="I11">
        <f t="shared" si="0"/>
        <v>7</v>
      </c>
      <c r="J11">
        <v>0</v>
      </c>
      <c r="K11">
        <v>0</v>
      </c>
      <c r="L11">
        <f t="shared" si="1"/>
        <v>7</v>
      </c>
    </row>
    <row r="12" spans="1:12" x14ac:dyDescent="0.25">
      <c r="A12" t="s">
        <v>5053</v>
      </c>
      <c r="B12">
        <v>1</v>
      </c>
      <c r="C12">
        <v>16</v>
      </c>
      <c r="D12" t="s">
        <v>4857</v>
      </c>
      <c r="E12">
        <v>4048</v>
      </c>
      <c r="F12" s="3" t="str" cm="1">
        <f t="array" ref="F12">IFERROR(_xlfn.XLOOKUP(TEXT(E12,"0000"),TEXT(Catalog!A:A,"0000"),Catalog!B:B),"")</f>
        <v>2 CIRCUITS SWITCH 48061 OPB WD</v>
      </c>
      <c r="G12">
        <v>9</v>
      </c>
      <c r="H12">
        <v>1</v>
      </c>
      <c r="I12">
        <f t="shared" si="0"/>
        <v>9</v>
      </c>
      <c r="J12">
        <v>0</v>
      </c>
      <c r="K12">
        <v>0</v>
      </c>
      <c r="L12">
        <f t="shared" si="1"/>
        <v>9</v>
      </c>
    </row>
    <row r="13" spans="1:12" x14ac:dyDescent="0.25">
      <c r="A13" t="s">
        <v>5053</v>
      </c>
      <c r="B13">
        <v>1</v>
      </c>
      <c r="C13">
        <v>16</v>
      </c>
      <c r="D13" t="s">
        <v>4857</v>
      </c>
      <c r="E13">
        <v>4024</v>
      </c>
      <c r="F13" s="3" t="str" cm="1">
        <f t="array" ref="F13">IFERROR(_xlfn.XLOOKUP(TEXT(E13,"0000"),TEXT(Catalog!A:A,"0000"),Catalog!B:B),"")</f>
        <v>COV PL SCHUK SOCKET IP44 70634</v>
      </c>
      <c r="G13">
        <v>12</v>
      </c>
      <c r="H13">
        <v>1</v>
      </c>
      <c r="I13">
        <f t="shared" si="0"/>
        <v>12</v>
      </c>
      <c r="J13">
        <v>0</v>
      </c>
      <c r="K13">
        <v>0</v>
      </c>
      <c r="L13">
        <f t="shared" si="1"/>
        <v>12</v>
      </c>
    </row>
    <row r="14" spans="1:12" x14ac:dyDescent="0.25">
      <c r="A14" t="s">
        <v>5053</v>
      </c>
      <c r="B14">
        <v>1</v>
      </c>
      <c r="C14">
        <v>16</v>
      </c>
      <c r="D14" t="s">
        <v>4857</v>
      </c>
      <c r="E14">
        <v>4035</v>
      </c>
      <c r="F14" s="3" t="str" cm="1">
        <f t="array" ref="F14">IFERROR(_xlfn.XLOOKUP(TEXT(E14,"0000"),TEXT(Catalog!A:A,"0000"),Catalog!B:B),"")</f>
        <v xml:space="preserve">WATERPROOF FRAME IP 44  70961 </v>
      </c>
      <c r="G14">
        <v>4</v>
      </c>
      <c r="H14">
        <v>1</v>
      </c>
      <c r="I14">
        <f t="shared" si="0"/>
        <v>4</v>
      </c>
      <c r="J14">
        <v>0</v>
      </c>
      <c r="K14">
        <v>0</v>
      </c>
      <c r="L14">
        <f t="shared" si="1"/>
        <v>4</v>
      </c>
    </row>
    <row r="16" spans="1:12" ht="24" x14ac:dyDescent="0.4">
      <c r="D16" s="42" t="s">
        <v>4439</v>
      </c>
      <c r="E16" s="42"/>
      <c r="F16" s="42"/>
      <c r="G16" s="42"/>
      <c r="H16" s="42"/>
      <c r="I16" s="42"/>
      <c r="J16" s="42"/>
      <c r="K16" s="42"/>
      <c r="L16" s="13" t="s">
        <v>4432</v>
      </c>
    </row>
    <row r="17" spans="1:12" ht="18.75" x14ac:dyDescent="0.3">
      <c r="D17" s="11" t="s">
        <v>4445</v>
      </c>
      <c r="E17" s="11" t="s">
        <v>4433</v>
      </c>
      <c r="F17" s="11" t="s">
        <v>4434</v>
      </c>
      <c r="G17" s="11" t="s">
        <v>4435</v>
      </c>
      <c r="H17" s="11"/>
      <c r="I17" s="11"/>
      <c r="J17" s="11" t="s">
        <v>4436</v>
      </c>
      <c r="K17" s="11" t="s">
        <v>4444</v>
      </c>
      <c r="L17" s="11" t="s">
        <v>4447</v>
      </c>
    </row>
    <row r="18" spans="1:12" x14ac:dyDescent="0.25">
      <c r="A18" t="s">
        <v>5053</v>
      </c>
      <c r="B18">
        <v>1</v>
      </c>
      <c r="C18">
        <v>27</v>
      </c>
      <c r="D18" t="s">
        <v>4857</v>
      </c>
      <c r="E18" s="16">
        <v>4106</v>
      </c>
      <c r="F18" s="3" t="str" cm="1">
        <f t="array" ref="F18">IFERROR(_xlfn.XLOOKUP(TEXT(E18,"0000"),TEXT(Catalog!A:A,"0000"),Catalog!B:B),"")</f>
        <v xml:space="preserve">COVER PLATE - TELEPHONE 90712 </v>
      </c>
      <c r="G18">
        <v>0</v>
      </c>
      <c r="H18">
        <v>1</v>
      </c>
      <c r="I18">
        <f t="shared" ref="I18:I35" si="2">G18*H18</f>
        <v>0</v>
      </c>
      <c r="J18">
        <v>0</v>
      </c>
      <c r="K18">
        <v>0</v>
      </c>
      <c r="L18">
        <f t="shared" ref="L18" si="3">I18+J18+K18</f>
        <v>0</v>
      </c>
    </row>
    <row r="19" spans="1:12" x14ac:dyDescent="0.25">
      <c r="A19" t="s">
        <v>5053</v>
      </c>
      <c r="B19">
        <v>1</v>
      </c>
      <c r="C19">
        <v>27</v>
      </c>
      <c r="D19" t="s">
        <v>4857</v>
      </c>
      <c r="E19" s="18">
        <v>4145</v>
      </c>
      <c r="F19" s="3" t="str" cm="1">
        <f t="array" ref="F19">IFERROR(_xlfn.XLOOKUP(TEXT(E19,"0000"),TEXT(Catalog!A:A,"0000"),Catalog!B:B),"")</f>
        <v>COV PLATE  TELEPHONE 90712 TPM</v>
      </c>
      <c r="G19">
        <v>10</v>
      </c>
      <c r="H19">
        <v>1</v>
      </c>
      <c r="I19">
        <f t="shared" si="2"/>
        <v>10</v>
      </c>
      <c r="J19">
        <v>0</v>
      </c>
      <c r="K19">
        <v>0</v>
      </c>
      <c r="L19">
        <f t="shared" ref="L19:L35" si="4">I19+J19+K19</f>
        <v>10</v>
      </c>
    </row>
    <row r="20" spans="1:12" x14ac:dyDescent="0.25">
      <c r="A20" t="s">
        <v>5053</v>
      </c>
      <c r="B20">
        <v>1</v>
      </c>
      <c r="C20">
        <v>27</v>
      </c>
      <c r="D20" t="s">
        <v>4857</v>
      </c>
      <c r="E20" s="16">
        <v>4105</v>
      </c>
      <c r="F20" s="3" t="str" cm="1">
        <f t="array" ref="F20">IFERROR(_xlfn.XLOOKUP(TEXT(E20,"0000"),TEXT(Catalog!A:A,"0000"),Catalog!B:B),"")</f>
        <v xml:space="preserve">COVER PLATE SINGLE RJ45 90751 </v>
      </c>
      <c r="G20">
        <v>0</v>
      </c>
      <c r="H20">
        <v>1</v>
      </c>
      <c r="I20">
        <f t="shared" si="2"/>
        <v>0</v>
      </c>
      <c r="J20">
        <v>0</v>
      </c>
      <c r="K20">
        <v>0</v>
      </c>
      <c r="L20">
        <f t="shared" si="4"/>
        <v>0</v>
      </c>
    </row>
    <row r="21" spans="1:12" x14ac:dyDescent="0.25">
      <c r="A21" t="s">
        <v>5053</v>
      </c>
      <c r="B21">
        <v>1</v>
      </c>
      <c r="C21">
        <v>27</v>
      </c>
      <c r="D21" t="s">
        <v>4857</v>
      </c>
      <c r="E21" s="17">
        <v>4144</v>
      </c>
      <c r="F21" s="3" t="str" cm="1">
        <f t="array" ref="F21">IFERROR(_xlfn.XLOOKUP(TEXT(E21,"0000"),TEXT(Catalog!A:A,"0000"),Catalog!B:B),"")</f>
        <v>COV PLATE SINGLE RJ45 90751TPM</v>
      </c>
      <c r="G21">
        <v>0</v>
      </c>
      <c r="H21">
        <v>1</v>
      </c>
      <c r="I21">
        <f t="shared" si="2"/>
        <v>0</v>
      </c>
      <c r="J21">
        <v>0</v>
      </c>
      <c r="K21">
        <v>0</v>
      </c>
      <c r="L21">
        <f t="shared" si="4"/>
        <v>0</v>
      </c>
    </row>
    <row r="22" spans="1:12" x14ac:dyDescent="0.25">
      <c r="A22" t="s">
        <v>5053</v>
      </c>
      <c r="B22">
        <v>1</v>
      </c>
      <c r="C22">
        <v>27</v>
      </c>
      <c r="D22" t="s">
        <v>4857</v>
      </c>
      <c r="E22" s="18">
        <v>90106</v>
      </c>
      <c r="F22" s="3" t="str" cm="1">
        <f t="array" ref="F22">IFERROR(_xlfn.XLOOKUP(TEXT(E22,"0000"),TEXT(Catalog!A:A,"0000"),Catalog!B:B),"")</f>
        <v xml:space="preserve">COV PLATE SINGL RJ45 90751TAL </v>
      </c>
      <c r="G22">
        <v>4</v>
      </c>
      <c r="H22">
        <v>1</v>
      </c>
      <c r="I22">
        <f t="shared" si="2"/>
        <v>4</v>
      </c>
      <c r="J22">
        <v>0</v>
      </c>
      <c r="K22">
        <v>0</v>
      </c>
      <c r="L22">
        <f t="shared" si="4"/>
        <v>4</v>
      </c>
    </row>
    <row r="23" spans="1:12" x14ac:dyDescent="0.25">
      <c r="A23" t="s">
        <v>5053</v>
      </c>
      <c r="B23">
        <v>1</v>
      </c>
      <c r="C23">
        <v>27</v>
      </c>
      <c r="D23" t="s">
        <v>4857</v>
      </c>
      <c r="E23">
        <v>4103</v>
      </c>
      <c r="F23" s="3" t="str" cm="1">
        <f t="array" ref="F23">IFERROR(_xlfn.XLOOKUP(TEXT(E23,"0000"),TEXT(Catalog!A:A,"0000"),Catalog!B:B),"")</f>
        <v xml:space="preserve">COVER PLATE  PULL CORD 90741  </v>
      </c>
      <c r="G23">
        <v>18</v>
      </c>
      <c r="H23">
        <v>1</v>
      </c>
      <c r="I23">
        <f t="shared" si="2"/>
        <v>18</v>
      </c>
      <c r="J23">
        <v>0</v>
      </c>
      <c r="K23">
        <v>0</v>
      </c>
      <c r="L23">
        <f t="shared" si="4"/>
        <v>18</v>
      </c>
    </row>
    <row r="24" spans="1:12" x14ac:dyDescent="0.25">
      <c r="A24" t="s">
        <v>5053</v>
      </c>
      <c r="B24">
        <v>1</v>
      </c>
      <c r="C24">
        <v>27</v>
      </c>
      <c r="D24" t="s">
        <v>4857</v>
      </c>
      <c r="E24" s="16">
        <v>4112</v>
      </c>
      <c r="F24" s="3" t="str" cm="1">
        <f t="array" ref="F24">IFERROR(_xlfn.XLOOKUP(TEXT(E24,"0000"),TEXT(Catalog!A:A,"0000"),Catalog!B:B),"")</f>
        <v xml:space="preserve">DOUBLE HORIZONTAL FRAME 90920 </v>
      </c>
      <c r="G24">
        <v>0</v>
      </c>
      <c r="H24">
        <v>1</v>
      </c>
      <c r="I24">
        <f t="shared" si="2"/>
        <v>0</v>
      </c>
      <c r="J24">
        <v>0</v>
      </c>
      <c r="K24">
        <v>0</v>
      </c>
      <c r="L24">
        <f t="shared" si="4"/>
        <v>0</v>
      </c>
    </row>
    <row r="25" spans="1:12" x14ac:dyDescent="0.25">
      <c r="A25" t="s">
        <v>5053</v>
      </c>
      <c r="B25">
        <v>1</v>
      </c>
      <c r="C25">
        <v>27</v>
      </c>
      <c r="D25" t="s">
        <v>4857</v>
      </c>
      <c r="E25" s="17">
        <v>4151</v>
      </c>
      <c r="F25" s="3" t="str" cm="1">
        <f t="array" ref="F25">IFERROR(_xlfn.XLOOKUP(TEXT(E25,"0000"),TEXT(Catalog!A:A,"0000"),Catalog!B:B),"")</f>
        <v>2 X HORIZONTAL FRAME 90920 TPM</v>
      </c>
      <c r="G25">
        <v>0</v>
      </c>
      <c r="H25">
        <v>1</v>
      </c>
      <c r="I25">
        <f t="shared" si="2"/>
        <v>0</v>
      </c>
      <c r="J25">
        <v>0</v>
      </c>
      <c r="K25">
        <v>0</v>
      </c>
      <c r="L25">
        <f t="shared" si="4"/>
        <v>0</v>
      </c>
    </row>
    <row r="26" spans="1:12" x14ac:dyDescent="0.25">
      <c r="A26" t="s">
        <v>5053</v>
      </c>
      <c r="B26">
        <v>1</v>
      </c>
      <c r="C26">
        <v>27</v>
      </c>
      <c r="D26" t="s">
        <v>4857</v>
      </c>
      <c r="E26" s="18">
        <v>90101</v>
      </c>
      <c r="F26" s="3" t="str" cm="1">
        <f t="array" ref="F26">IFERROR(_xlfn.XLOOKUP(TEXT(E26,"0000"),TEXT(Catalog!A:A,"0000"),Catalog!B:B),"")</f>
        <v xml:space="preserve">DOUBLE FRAME ALU 90920TAA     </v>
      </c>
      <c r="G26">
        <v>41</v>
      </c>
      <c r="H26">
        <v>1</v>
      </c>
      <c r="I26">
        <f t="shared" si="2"/>
        <v>41</v>
      </c>
      <c r="J26">
        <v>0</v>
      </c>
      <c r="K26">
        <v>0</v>
      </c>
      <c r="L26">
        <f t="shared" si="4"/>
        <v>41</v>
      </c>
    </row>
    <row r="27" spans="1:12" x14ac:dyDescent="0.25">
      <c r="A27" t="s">
        <v>5053</v>
      </c>
      <c r="B27">
        <v>1</v>
      </c>
      <c r="C27">
        <v>27</v>
      </c>
      <c r="D27" t="s">
        <v>4857</v>
      </c>
      <c r="E27" s="16">
        <v>4109</v>
      </c>
      <c r="F27" s="3" t="str" cm="1">
        <f t="array" ref="F27">IFERROR(_xlfn.XLOOKUP(TEXT(E27,"0000"),TEXT(Catalog!A:A,"0000"),Catalog!B:B),"")</f>
        <v>COVER PLATE SCHUKO SOCKET90634</v>
      </c>
      <c r="G27">
        <v>0</v>
      </c>
      <c r="H27">
        <v>1</v>
      </c>
      <c r="I27">
        <f t="shared" si="2"/>
        <v>0</v>
      </c>
      <c r="J27">
        <v>0</v>
      </c>
      <c r="K27">
        <v>0</v>
      </c>
      <c r="L27">
        <f t="shared" si="4"/>
        <v>0</v>
      </c>
    </row>
    <row r="28" spans="1:12" x14ac:dyDescent="0.25">
      <c r="A28" t="s">
        <v>5053</v>
      </c>
      <c r="B28">
        <v>1</v>
      </c>
      <c r="C28">
        <v>27</v>
      </c>
      <c r="D28" t="s">
        <v>4857</v>
      </c>
      <c r="E28" s="18">
        <v>4148</v>
      </c>
      <c r="F28" s="3" t="str" cm="1">
        <f t="array" ref="F28">IFERROR(_xlfn.XLOOKUP(TEXT(E28,"0000"),TEXT(Catalog!A:A,"0000"),Catalog!B:B),"")</f>
        <v>COV PLATE SOCKET IP44 90634TPM</v>
      </c>
      <c r="G28">
        <v>2</v>
      </c>
      <c r="H28">
        <v>1</v>
      </c>
      <c r="I28">
        <f t="shared" si="2"/>
        <v>2</v>
      </c>
      <c r="J28">
        <v>0</v>
      </c>
      <c r="K28">
        <v>0</v>
      </c>
      <c r="L28">
        <f t="shared" si="4"/>
        <v>2</v>
      </c>
    </row>
    <row r="29" spans="1:12" x14ac:dyDescent="0.25">
      <c r="A29" t="s">
        <v>5053</v>
      </c>
      <c r="B29">
        <v>1</v>
      </c>
      <c r="C29">
        <v>27</v>
      </c>
      <c r="D29" t="s">
        <v>4857</v>
      </c>
      <c r="E29">
        <v>4116</v>
      </c>
      <c r="F29" s="3" t="str" cm="1">
        <f t="array" ref="F29">IFERROR(_xlfn.XLOOKUP(TEXT(E29,"0000"),TEXT(Catalog!A:A,"0000"),Catalog!B:B),"")</f>
        <v xml:space="preserve">WATERPROOF FRAME IP 44  90961 </v>
      </c>
      <c r="G29">
        <v>5</v>
      </c>
      <c r="H29">
        <v>1</v>
      </c>
      <c r="I29">
        <f t="shared" si="2"/>
        <v>5</v>
      </c>
      <c r="J29">
        <v>0</v>
      </c>
      <c r="K29">
        <v>0</v>
      </c>
      <c r="L29">
        <f t="shared" si="4"/>
        <v>5</v>
      </c>
    </row>
    <row r="30" spans="1:12" x14ac:dyDescent="0.25">
      <c r="A30" t="s">
        <v>5053</v>
      </c>
      <c r="B30">
        <v>1</v>
      </c>
      <c r="C30">
        <v>27</v>
      </c>
      <c r="D30" t="s">
        <v>4857</v>
      </c>
      <c r="E30">
        <v>4119</v>
      </c>
      <c r="F30" s="3" t="str" cm="1">
        <f t="array" ref="F30">IFERROR(_xlfn.XLOOKUP(TEXT(E30,"0000"),TEXT(Catalog!A:A,"0000"),Catalog!B:B),"")</f>
        <v xml:space="preserve">SURFACE MOUNTINGBOX 10976 ABR </v>
      </c>
      <c r="G30">
        <v>4</v>
      </c>
      <c r="H30">
        <v>1</v>
      </c>
      <c r="I30">
        <f t="shared" si="2"/>
        <v>4</v>
      </c>
      <c r="J30">
        <v>0</v>
      </c>
      <c r="K30">
        <v>0</v>
      </c>
      <c r="L30">
        <f t="shared" si="4"/>
        <v>4</v>
      </c>
    </row>
    <row r="31" spans="1:12" x14ac:dyDescent="0.25">
      <c r="A31" t="s">
        <v>5053</v>
      </c>
      <c r="B31">
        <v>1</v>
      </c>
      <c r="C31">
        <v>27</v>
      </c>
      <c r="D31" t="s">
        <v>4857</v>
      </c>
      <c r="E31" s="16">
        <v>4118</v>
      </c>
      <c r="F31" s="3" t="str" cm="1">
        <f t="array" ref="F31">IFERROR(_xlfn.XLOOKUP(TEXT(E31,"0000"),TEXT(Catalog!A:A,"0000"),Catalog!B:B),"")</f>
        <v xml:space="preserve">COVER PLATE  DBL USB CHA90673 </v>
      </c>
      <c r="G31">
        <v>0</v>
      </c>
      <c r="H31">
        <v>1</v>
      </c>
      <c r="I31">
        <f t="shared" si="2"/>
        <v>0</v>
      </c>
      <c r="J31">
        <v>0</v>
      </c>
      <c r="K31">
        <v>0</v>
      </c>
      <c r="L31">
        <f t="shared" si="4"/>
        <v>0</v>
      </c>
    </row>
    <row r="32" spans="1:12" x14ac:dyDescent="0.25">
      <c r="A32" t="s">
        <v>5053</v>
      </c>
      <c r="B32">
        <v>1</v>
      </c>
      <c r="C32">
        <v>27</v>
      </c>
      <c r="D32" t="s">
        <v>4857</v>
      </c>
      <c r="E32" s="18">
        <v>4156</v>
      </c>
      <c r="F32" s="3" t="str" cm="1">
        <f t="array" ref="F32">IFERROR(_xlfn.XLOOKUP(TEXT(E32,"0000"),TEXT(Catalog!A:A,"0000"),Catalog!B:B),"")</f>
        <v xml:space="preserve">COV PLATE FOR USB 90673 TPM   </v>
      </c>
      <c r="G32">
        <v>24</v>
      </c>
      <c r="H32">
        <v>1</v>
      </c>
      <c r="I32">
        <f t="shared" si="2"/>
        <v>24</v>
      </c>
      <c r="J32">
        <v>0</v>
      </c>
      <c r="K32">
        <v>0</v>
      </c>
      <c r="L32">
        <f t="shared" si="4"/>
        <v>24</v>
      </c>
    </row>
    <row r="33" spans="1:12" x14ac:dyDescent="0.25">
      <c r="A33" t="s">
        <v>5053</v>
      </c>
      <c r="B33">
        <v>1</v>
      </c>
      <c r="C33">
        <v>27</v>
      </c>
      <c r="D33" t="s">
        <v>4857</v>
      </c>
      <c r="E33">
        <v>8021</v>
      </c>
      <c r="F33" s="3" t="str" cm="1">
        <f t="array" ref="F33">IFERROR(_xlfn.XLOOKUP(TEXT(E33,"0000"),TEXT(Catalog!A:A,"0000"),Catalog!B:B),"")</f>
        <v>CMH100/TT/UVC/730/E40 SKU 7739</v>
      </c>
      <c r="G33">
        <v>3</v>
      </c>
      <c r="H33">
        <v>1</v>
      </c>
      <c r="I33">
        <f t="shared" si="2"/>
        <v>3</v>
      </c>
      <c r="J33">
        <v>0</v>
      </c>
      <c r="K33">
        <v>0</v>
      </c>
      <c r="L33">
        <f t="shared" si="4"/>
        <v>3</v>
      </c>
    </row>
    <row r="34" spans="1:12" x14ac:dyDescent="0.25">
      <c r="A34" t="s">
        <v>5053</v>
      </c>
      <c r="B34">
        <v>1</v>
      </c>
      <c r="C34">
        <v>27</v>
      </c>
      <c r="D34" t="s">
        <v>4857</v>
      </c>
      <c r="E34">
        <v>15142</v>
      </c>
      <c r="F34" s="3" t="str" cm="1">
        <f t="array" ref="F34">IFERROR(_xlfn.XLOOKUP(TEXT(E34,"0000"),TEXT(Catalog!A:A,"0000"),Catalog!B:B),"")</f>
        <v xml:space="preserve">OPBOUW KAST WD CSG13PT/RR     </v>
      </c>
      <c r="G34">
        <v>6</v>
      </c>
      <c r="H34">
        <v>1</v>
      </c>
      <c r="I34">
        <f t="shared" si="2"/>
        <v>6</v>
      </c>
      <c r="J34">
        <v>0</v>
      </c>
      <c r="K34">
        <v>0</v>
      </c>
      <c r="L34">
        <f t="shared" si="4"/>
        <v>6</v>
      </c>
    </row>
    <row r="35" spans="1:12" x14ac:dyDescent="0.25">
      <c r="A35" t="s">
        <v>5053</v>
      </c>
      <c r="B35">
        <v>1</v>
      </c>
      <c r="C35">
        <v>27</v>
      </c>
      <c r="D35" t="s">
        <v>4857</v>
      </c>
      <c r="E35">
        <v>3997</v>
      </c>
      <c r="F35" s="3" t="str" cm="1">
        <f t="array" ref="F35">IFERROR(_xlfn.XLOOKUP(TEXT(E35,"0000"),TEXT(Catalog!A:A,"0000"),Catalog!B:B),"")</f>
        <v xml:space="preserve">SPEED CONTROLLER 21219        </v>
      </c>
      <c r="G35">
        <v>13</v>
      </c>
      <c r="H35">
        <v>1</v>
      </c>
      <c r="I35">
        <f t="shared" si="2"/>
        <v>13</v>
      </c>
      <c r="J35">
        <v>0</v>
      </c>
      <c r="K35">
        <v>0</v>
      </c>
      <c r="L35">
        <f t="shared" si="4"/>
        <v>13</v>
      </c>
    </row>
    <row r="37" spans="1:12" ht="24" x14ac:dyDescent="0.4">
      <c r="D37" s="42" t="s">
        <v>4557</v>
      </c>
      <c r="E37" s="42"/>
      <c r="F37" s="42"/>
      <c r="G37" s="42"/>
      <c r="H37" s="42"/>
      <c r="I37" s="42"/>
      <c r="J37" s="42"/>
      <c r="K37" s="42"/>
      <c r="L37" s="13" t="s">
        <v>4432</v>
      </c>
    </row>
    <row r="38" spans="1:12" ht="18.75" x14ac:dyDescent="0.3">
      <c r="D38" s="11" t="s">
        <v>4445</v>
      </c>
      <c r="E38" s="11" t="s">
        <v>4433</v>
      </c>
      <c r="F38" s="11" t="s">
        <v>4434</v>
      </c>
      <c r="G38" s="11" t="s">
        <v>4435</v>
      </c>
      <c r="H38" s="11"/>
      <c r="I38" s="11"/>
      <c r="J38" s="11" t="s">
        <v>4436</v>
      </c>
      <c r="K38" s="11" t="s">
        <v>4444</v>
      </c>
      <c r="L38" s="11" t="s">
        <v>4447</v>
      </c>
    </row>
    <row r="39" spans="1:12" x14ac:dyDescent="0.25">
      <c r="A39" t="s">
        <v>5053</v>
      </c>
      <c r="B39">
        <v>1</v>
      </c>
      <c r="C39">
        <v>28</v>
      </c>
      <c r="D39" t="s">
        <v>4857</v>
      </c>
      <c r="E39" s="7">
        <v>4209</v>
      </c>
      <c r="F39" s="3" t="str" cm="1">
        <f t="array" ref="F39">IFERROR(_xlfn.XLOOKUP(TEXT(E39,"0000"),TEXT(Catalog!A:A,"0000"),Catalog!B:B),"")</f>
        <v xml:space="preserve">KABELGOOT 75X20MM 10140 CBR   </v>
      </c>
      <c r="G39">
        <v>6</v>
      </c>
      <c r="H39">
        <v>1</v>
      </c>
      <c r="I39">
        <f t="shared" ref="I39:I59" si="5">G39*H39</f>
        <v>6</v>
      </c>
      <c r="J39">
        <v>11</v>
      </c>
      <c r="K39">
        <v>0</v>
      </c>
      <c r="L39">
        <f t="shared" ref="L39:L59" si="6">I39+J39+K39</f>
        <v>17</v>
      </c>
    </row>
    <row r="40" spans="1:12" x14ac:dyDescent="0.25">
      <c r="A40" t="s">
        <v>5053</v>
      </c>
      <c r="B40">
        <v>1</v>
      </c>
      <c r="C40">
        <v>28</v>
      </c>
      <c r="D40" t="s">
        <v>4857</v>
      </c>
      <c r="E40" s="7">
        <v>4212</v>
      </c>
      <c r="F40" s="3" t="str" cm="1">
        <f t="array" ref="F40">IFERROR(_xlfn.XLOOKUP(TEXT(E40,"0000"),TEXT(Catalog!A:A,"0000"),Catalog!B:B),"")</f>
        <v xml:space="preserve">KABELGOOT 90X50MM 10180 RBR   </v>
      </c>
      <c r="G40">
        <v>1</v>
      </c>
      <c r="H40">
        <v>1</v>
      </c>
      <c r="I40">
        <f t="shared" si="5"/>
        <v>1</v>
      </c>
      <c r="J40">
        <v>0</v>
      </c>
      <c r="K40">
        <v>0</v>
      </c>
      <c r="L40">
        <f t="shared" si="6"/>
        <v>1</v>
      </c>
    </row>
    <row r="41" spans="1:12" x14ac:dyDescent="0.25">
      <c r="A41" t="s">
        <v>5053</v>
      </c>
      <c r="B41">
        <v>1</v>
      </c>
      <c r="C41">
        <v>28</v>
      </c>
      <c r="D41" t="s">
        <v>4857</v>
      </c>
      <c r="E41" s="7">
        <v>4213</v>
      </c>
      <c r="F41" s="3" t="str" cm="1">
        <f t="array" ref="F41">IFERROR(_xlfn.XLOOKUP(TEXT(E41,"0000"),TEXT(Catalog!A:A,"0000"),Catalog!B:B),"")</f>
        <v xml:space="preserve">KABELGOOT 180X50MM 10290 RBR  </v>
      </c>
      <c r="G41">
        <v>13</v>
      </c>
      <c r="H41">
        <v>1</v>
      </c>
      <c r="I41">
        <f t="shared" si="5"/>
        <v>13</v>
      </c>
      <c r="J41">
        <v>0</v>
      </c>
      <c r="K41">
        <v>0</v>
      </c>
      <c r="L41">
        <f t="shared" si="6"/>
        <v>13</v>
      </c>
    </row>
    <row r="42" spans="1:12" x14ac:dyDescent="0.25">
      <c r="A42" t="s">
        <v>5053</v>
      </c>
      <c r="B42">
        <v>1</v>
      </c>
      <c r="C42">
        <v>28</v>
      </c>
      <c r="D42" t="s">
        <v>4857</v>
      </c>
      <c r="E42" s="7">
        <v>4260</v>
      </c>
      <c r="F42" s="3" t="str" cm="1">
        <f t="array" ref="F42">IFERROR(_xlfn.XLOOKUP(TEXT(E42,"0000"),TEXT(Catalog!A:A,"0000"),Catalog!B:B),"")</f>
        <v xml:space="preserve">VERLENG 110X50MM 10094 RBR    </v>
      </c>
      <c r="G42">
        <v>0</v>
      </c>
      <c r="H42">
        <v>1</v>
      </c>
      <c r="I42">
        <f t="shared" si="5"/>
        <v>0</v>
      </c>
      <c r="J42">
        <v>13</v>
      </c>
      <c r="K42">
        <v>0</v>
      </c>
      <c r="L42">
        <f t="shared" si="6"/>
        <v>13</v>
      </c>
    </row>
    <row r="43" spans="1:12" x14ac:dyDescent="0.25">
      <c r="A43" t="s">
        <v>5053</v>
      </c>
      <c r="B43">
        <v>1</v>
      </c>
      <c r="C43">
        <v>28</v>
      </c>
      <c r="D43" t="s">
        <v>4857</v>
      </c>
      <c r="E43" s="24">
        <v>1496</v>
      </c>
      <c r="F43" s="3" t="str" cm="1">
        <f t="array" ref="F43">IFERROR(_xlfn.XLOOKUP(TEXT(E43,"0000"),TEXT(Catalog!A:A,"0000"),Catalog!B:B),"")</f>
        <v xml:space="preserve">OPBOUW KAST 2 MOD 610090      </v>
      </c>
      <c r="G43">
        <v>0</v>
      </c>
      <c r="H43">
        <v>1</v>
      </c>
      <c r="I43">
        <f t="shared" si="5"/>
        <v>0</v>
      </c>
      <c r="J43">
        <v>0</v>
      </c>
      <c r="K43">
        <v>0</v>
      </c>
      <c r="L43">
        <f t="shared" si="6"/>
        <v>0</v>
      </c>
    </row>
    <row r="44" spans="1:12" x14ac:dyDescent="0.25">
      <c r="A44" t="s">
        <v>5053</v>
      </c>
      <c r="B44">
        <v>1</v>
      </c>
      <c r="C44">
        <v>28</v>
      </c>
      <c r="D44" t="s">
        <v>4857</v>
      </c>
      <c r="E44" s="25">
        <v>4211</v>
      </c>
      <c r="F44" s="3" t="str" cm="1">
        <f t="array" ref="F44">IFERROR(_xlfn.XLOOKUP(TEXT(E44,"0000"),TEXT(Catalog!A:A,"0000"),Catalog!B:B),"")</f>
        <v xml:space="preserve">KABELGOOT 110X50MM 10090RBR   </v>
      </c>
      <c r="G44">
        <v>2</v>
      </c>
      <c r="H44">
        <v>1</v>
      </c>
      <c r="I44">
        <f t="shared" si="5"/>
        <v>2</v>
      </c>
      <c r="J44">
        <v>0</v>
      </c>
      <c r="K44">
        <v>0</v>
      </c>
      <c r="L44">
        <f t="shared" si="6"/>
        <v>2</v>
      </c>
    </row>
    <row r="45" spans="1:12" x14ac:dyDescent="0.25">
      <c r="A45" t="s">
        <v>5053</v>
      </c>
      <c r="B45">
        <v>1</v>
      </c>
      <c r="C45">
        <v>28</v>
      </c>
      <c r="D45" t="s">
        <v>4857</v>
      </c>
      <c r="E45" s="7">
        <v>4210</v>
      </c>
      <c r="F45" s="3" t="str" cm="1">
        <f t="array" ref="F45">IFERROR(_xlfn.XLOOKUP(TEXT(E45,"0000"),TEXT(Catalog!A:A,"0000"),Catalog!B:B),"")</f>
        <v xml:space="preserve">KABELGOOT 110X34MM 10080 RBR  </v>
      </c>
      <c r="G45">
        <v>5</v>
      </c>
      <c r="H45">
        <v>1</v>
      </c>
      <c r="I45">
        <f t="shared" si="5"/>
        <v>5</v>
      </c>
      <c r="J45">
        <v>0</v>
      </c>
      <c r="K45">
        <v>0</v>
      </c>
      <c r="L45">
        <f t="shared" si="6"/>
        <v>5</v>
      </c>
    </row>
    <row r="46" spans="1:12" x14ac:dyDescent="0.25">
      <c r="A46" t="s">
        <v>5053</v>
      </c>
      <c r="B46">
        <v>1</v>
      </c>
      <c r="C46">
        <v>28</v>
      </c>
      <c r="D46" t="s">
        <v>4857</v>
      </c>
      <c r="E46" s="7">
        <v>4201</v>
      </c>
      <c r="F46" s="3" t="str" cm="1">
        <f t="array" ref="F46">IFERROR(_xlfn.XLOOKUP(TEXT(E46,"0000"),TEXT(Catalog!A:A,"0000"),Catalog!B:B),"")</f>
        <v xml:space="preserve">KABELGOOT 16X10MM 10020 FBR   </v>
      </c>
      <c r="G46">
        <v>1</v>
      </c>
      <c r="H46">
        <v>1</v>
      </c>
      <c r="I46">
        <f t="shared" si="5"/>
        <v>1</v>
      </c>
      <c r="J46">
        <v>56</v>
      </c>
      <c r="K46">
        <v>0</v>
      </c>
      <c r="L46">
        <f t="shared" si="6"/>
        <v>57</v>
      </c>
    </row>
    <row r="47" spans="1:12" x14ac:dyDescent="0.25">
      <c r="A47" t="s">
        <v>5053</v>
      </c>
      <c r="B47">
        <v>1</v>
      </c>
      <c r="C47">
        <v>28</v>
      </c>
      <c r="D47" t="s">
        <v>4857</v>
      </c>
      <c r="E47" s="7">
        <v>4207</v>
      </c>
      <c r="F47" s="3" t="str" cm="1">
        <f t="array" ref="F47">IFERROR(_xlfn.XLOOKUP(TEXT(E47,"0000"),TEXT(Catalog!A:A,"0000"),Catalog!B:B),"")</f>
        <v xml:space="preserve">KABELGOOT 50X20MM 10500 CBR   </v>
      </c>
      <c r="G47">
        <v>2</v>
      </c>
      <c r="H47">
        <v>1</v>
      </c>
      <c r="I47">
        <f t="shared" si="5"/>
        <v>2</v>
      </c>
      <c r="J47">
        <v>6</v>
      </c>
      <c r="K47">
        <v>0</v>
      </c>
      <c r="L47">
        <f t="shared" si="6"/>
        <v>8</v>
      </c>
    </row>
    <row r="48" spans="1:12" x14ac:dyDescent="0.25">
      <c r="A48" t="s">
        <v>5053</v>
      </c>
      <c r="B48">
        <v>1</v>
      </c>
      <c r="C48">
        <v>28</v>
      </c>
      <c r="D48" t="s">
        <v>4857</v>
      </c>
      <c r="E48" s="6" t="s">
        <v>4858</v>
      </c>
      <c r="F48" s="3" t="str" cm="1">
        <f t="array" ref="F48">IFERROR(_xlfn.XLOOKUP(TEXT(E48,"0000"),TEXT(Catalog!A:A,"0000"),Catalog!B:B),"")</f>
        <v xml:space="preserve">KABELGOOT 70x40 mm            </v>
      </c>
      <c r="G48">
        <v>5</v>
      </c>
      <c r="H48">
        <v>1</v>
      </c>
      <c r="I48">
        <f t="shared" si="5"/>
        <v>5</v>
      </c>
      <c r="J48">
        <v>4</v>
      </c>
      <c r="K48">
        <v>0</v>
      </c>
      <c r="L48">
        <f t="shared" si="6"/>
        <v>9</v>
      </c>
    </row>
    <row r="49" spans="1:12" x14ac:dyDescent="0.25">
      <c r="A49" t="s">
        <v>5053</v>
      </c>
      <c r="B49">
        <v>1</v>
      </c>
      <c r="C49">
        <v>28</v>
      </c>
      <c r="D49" t="s">
        <v>4857</v>
      </c>
      <c r="E49" s="6" t="s">
        <v>4859</v>
      </c>
      <c r="F49" s="3" t="str" cm="1">
        <f t="array" ref="F49">IFERROR(_xlfn.XLOOKUP(TEXT(E49,"0000"),TEXT(Catalog!A:A,"0000"),Catalog!B:B),"")</f>
        <v xml:space="preserve">KABELGOOT  DEKSEL70x40 mm     </v>
      </c>
      <c r="G49">
        <v>5</v>
      </c>
      <c r="H49">
        <v>1</v>
      </c>
      <c r="I49">
        <f t="shared" si="5"/>
        <v>5</v>
      </c>
      <c r="J49">
        <v>4</v>
      </c>
      <c r="K49">
        <v>0</v>
      </c>
      <c r="L49">
        <f t="shared" si="6"/>
        <v>9</v>
      </c>
    </row>
    <row r="50" spans="1:12" x14ac:dyDescent="0.25">
      <c r="A50" t="s">
        <v>5053</v>
      </c>
      <c r="B50">
        <v>1</v>
      </c>
      <c r="C50">
        <v>28</v>
      </c>
      <c r="D50" t="s">
        <v>4857</v>
      </c>
      <c r="E50" s="6" t="s">
        <v>4860</v>
      </c>
      <c r="F50" s="3" t="str" cm="1">
        <f t="array" ref="F50">IFERROR(_xlfn.XLOOKUP(TEXT(E50,"0000"),TEXT(Catalog!A:A,"0000"),Catalog!B:B),"")</f>
        <v xml:space="preserve">KABELGOOT 70x60 mm            </v>
      </c>
      <c r="G50">
        <v>7</v>
      </c>
      <c r="H50">
        <v>1</v>
      </c>
      <c r="I50">
        <f t="shared" si="5"/>
        <v>7</v>
      </c>
      <c r="J50">
        <v>0</v>
      </c>
      <c r="K50">
        <v>0</v>
      </c>
      <c r="L50">
        <f t="shared" si="6"/>
        <v>7</v>
      </c>
    </row>
    <row r="51" spans="1:12" x14ac:dyDescent="0.25">
      <c r="A51" t="s">
        <v>5053</v>
      </c>
      <c r="B51">
        <v>1</v>
      </c>
      <c r="C51">
        <v>28</v>
      </c>
      <c r="D51" t="s">
        <v>4857</v>
      </c>
      <c r="E51" s="6" t="s">
        <v>4861</v>
      </c>
      <c r="F51" s="3" t="str" cm="1">
        <f t="array" ref="F51">IFERROR(_xlfn.XLOOKUP(TEXT(E51,"0000"),TEXT(Catalog!A:A,"0000"),Catalog!B:B),"")</f>
        <v xml:space="preserve">KABELGOOT DEKSEL 70x60 mm     </v>
      </c>
      <c r="G51">
        <v>6</v>
      </c>
      <c r="H51">
        <v>1</v>
      </c>
      <c r="I51">
        <f t="shared" si="5"/>
        <v>6</v>
      </c>
      <c r="J51">
        <v>10</v>
      </c>
      <c r="K51">
        <v>0</v>
      </c>
      <c r="L51">
        <f t="shared" si="6"/>
        <v>16</v>
      </c>
    </row>
    <row r="52" spans="1:12" x14ac:dyDescent="0.25">
      <c r="A52" t="s">
        <v>5053</v>
      </c>
      <c r="B52">
        <v>1</v>
      </c>
      <c r="C52">
        <v>28</v>
      </c>
      <c r="D52" t="s">
        <v>4857</v>
      </c>
      <c r="E52" s="6" t="s">
        <v>4862</v>
      </c>
      <c r="F52" s="3" t="str" cm="1">
        <f t="array" ref="F52">IFERROR(_xlfn.XLOOKUP(TEXT(E52,"0000"),TEXT(Catalog!A:A,"0000"),Catalog!B:B),"")</f>
        <v xml:space="preserve">KABELGOOT 100x40 mm           </v>
      </c>
      <c r="G52">
        <v>0</v>
      </c>
      <c r="H52">
        <v>1</v>
      </c>
      <c r="I52">
        <f t="shared" si="5"/>
        <v>0</v>
      </c>
      <c r="J52">
        <v>4</v>
      </c>
      <c r="K52">
        <v>0</v>
      </c>
      <c r="L52">
        <f t="shared" si="6"/>
        <v>4</v>
      </c>
    </row>
    <row r="53" spans="1:12" x14ac:dyDescent="0.25">
      <c r="A53" t="s">
        <v>5053</v>
      </c>
      <c r="B53">
        <v>1</v>
      </c>
      <c r="C53">
        <v>28</v>
      </c>
      <c r="D53" t="s">
        <v>4857</v>
      </c>
      <c r="E53" s="6" t="s">
        <v>4863</v>
      </c>
      <c r="F53" s="3" t="str" cm="1">
        <f t="array" ref="F53">IFERROR(_xlfn.XLOOKUP(TEXT(E53,"0000"),TEXT(Catalog!A:A,"0000"),Catalog!B:B),"")</f>
        <v xml:space="preserve">KABELGOOT 100x60 mm           </v>
      </c>
      <c r="G53">
        <v>2</v>
      </c>
      <c r="H53">
        <v>1</v>
      </c>
      <c r="I53">
        <f t="shared" si="5"/>
        <v>2</v>
      </c>
      <c r="J53">
        <v>1</v>
      </c>
      <c r="K53">
        <v>0</v>
      </c>
      <c r="L53">
        <f t="shared" si="6"/>
        <v>3</v>
      </c>
    </row>
    <row r="54" spans="1:12" x14ac:dyDescent="0.25">
      <c r="A54" t="s">
        <v>5053</v>
      </c>
      <c r="B54">
        <v>1</v>
      </c>
      <c r="C54">
        <v>28</v>
      </c>
      <c r="D54" t="s">
        <v>4857</v>
      </c>
      <c r="E54" s="6" t="s">
        <v>4864</v>
      </c>
      <c r="F54" s="3" t="str" cm="1">
        <f t="array" ref="F54">IFERROR(_xlfn.XLOOKUP(TEXT(E54,"0000"),TEXT(Catalog!A:A,"0000"),Catalog!B:B),"")</f>
        <v xml:space="preserve">KABELGOOT DEKSEL 100x60 mm    </v>
      </c>
      <c r="G54" s="8">
        <v>13</v>
      </c>
      <c r="H54">
        <v>1</v>
      </c>
      <c r="I54">
        <f t="shared" si="5"/>
        <v>13</v>
      </c>
      <c r="J54">
        <v>3</v>
      </c>
      <c r="K54">
        <v>0</v>
      </c>
      <c r="L54">
        <f t="shared" si="6"/>
        <v>16</v>
      </c>
    </row>
    <row r="55" spans="1:12" x14ac:dyDescent="0.25">
      <c r="A55" t="s">
        <v>5053</v>
      </c>
      <c r="B55">
        <v>1</v>
      </c>
      <c r="C55">
        <v>28</v>
      </c>
      <c r="D55" t="s">
        <v>4857</v>
      </c>
      <c r="E55" s="6">
        <v>4200</v>
      </c>
      <c r="F55" s="3" t="str" cm="1">
        <f t="array" ref="F55">IFERROR(_xlfn.XLOOKUP(TEXT(E55,"0000"),TEXT(Catalog!A:A,"0000"),Catalog!B:B),"")</f>
        <v xml:space="preserve">KABELGOOT 12x7MM 10010 FBR    </v>
      </c>
      <c r="G55">
        <v>3</v>
      </c>
      <c r="H55">
        <v>1</v>
      </c>
      <c r="I55">
        <f t="shared" si="5"/>
        <v>3</v>
      </c>
      <c r="J55">
        <v>0</v>
      </c>
      <c r="K55">
        <v>0</v>
      </c>
      <c r="L55">
        <f t="shared" si="6"/>
        <v>3</v>
      </c>
    </row>
    <row r="56" spans="1:12" x14ac:dyDescent="0.25">
      <c r="A56" t="s">
        <v>5053</v>
      </c>
      <c r="B56">
        <v>1</v>
      </c>
      <c r="C56">
        <v>28</v>
      </c>
      <c r="D56" t="s">
        <v>4857</v>
      </c>
      <c r="E56" s="6" t="s">
        <v>4865</v>
      </c>
      <c r="F56" s="3" t="str" cm="1">
        <f t="array" ref="F56">IFERROR(_xlfn.XLOOKUP(TEXT(E56,"0000"),TEXT(Catalog!A:A,"0000"),Catalog!B:B),"")</f>
        <v xml:space="preserve">KABELGOOT 10x8 mm             </v>
      </c>
      <c r="G56">
        <v>0</v>
      </c>
      <c r="H56">
        <v>1</v>
      </c>
      <c r="I56">
        <f t="shared" si="5"/>
        <v>0</v>
      </c>
      <c r="J56">
        <v>113</v>
      </c>
      <c r="K56">
        <v>0</v>
      </c>
      <c r="L56">
        <f t="shared" si="6"/>
        <v>113</v>
      </c>
    </row>
    <row r="57" spans="1:12" x14ac:dyDescent="0.25">
      <c r="A57" t="s">
        <v>5053</v>
      </c>
      <c r="B57">
        <v>1</v>
      </c>
      <c r="C57">
        <v>28</v>
      </c>
      <c r="D57" t="s">
        <v>4857</v>
      </c>
      <c r="E57" s="6" t="s">
        <v>4866</v>
      </c>
      <c r="F57" s="3" t="str" cm="1">
        <f t="array" ref="F57">IFERROR(_xlfn.XLOOKUP(TEXT(E57,"0000"),TEXT(Catalog!A:A,"0000"),Catalog!B:B),"")</f>
        <v xml:space="preserve">KABELGOOT 60x40 mm            </v>
      </c>
      <c r="G57">
        <v>0</v>
      </c>
      <c r="H57">
        <v>1</v>
      </c>
      <c r="I57">
        <f t="shared" si="5"/>
        <v>0</v>
      </c>
      <c r="J57">
        <v>1</v>
      </c>
      <c r="K57">
        <v>0</v>
      </c>
      <c r="L57">
        <f t="shared" si="6"/>
        <v>1</v>
      </c>
    </row>
    <row r="58" spans="1:12" x14ac:dyDescent="0.25">
      <c r="A58" t="s">
        <v>5053</v>
      </c>
      <c r="B58">
        <v>1</v>
      </c>
      <c r="C58">
        <v>28</v>
      </c>
      <c r="D58" t="s">
        <v>4857</v>
      </c>
      <c r="E58" s="7">
        <v>4201</v>
      </c>
      <c r="F58" s="3" t="str" cm="1">
        <f t="array" ref="F58">IFERROR(_xlfn.XLOOKUP(TEXT(E58,"0000"),TEXT(Catalog!A:A,"0000"),Catalog!B:B),"")</f>
        <v xml:space="preserve">KABELGOOT 16X10MM 10020 FBR   </v>
      </c>
      <c r="G58">
        <v>2</v>
      </c>
      <c r="H58">
        <v>1</v>
      </c>
      <c r="I58">
        <f t="shared" si="5"/>
        <v>2</v>
      </c>
      <c r="J58">
        <v>38</v>
      </c>
      <c r="K58">
        <v>0</v>
      </c>
      <c r="L58">
        <f t="shared" si="6"/>
        <v>40</v>
      </c>
    </row>
    <row r="59" spans="1:12" x14ac:dyDescent="0.25">
      <c r="A59" t="s">
        <v>5053</v>
      </c>
      <c r="B59">
        <v>1</v>
      </c>
      <c r="C59">
        <v>28</v>
      </c>
      <c r="D59" t="s">
        <v>4857</v>
      </c>
      <c r="E59" s="6" t="s">
        <v>4867</v>
      </c>
      <c r="F59" s="3" t="str" cm="1">
        <f t="array" ref="F59">IFERROR(_xlfn.XLOOKUP(TEXT(E59,"0000"),TEXT(Catalog!A:A,"0000"),Catalog!B:B),"")</f>
        <v xml:space="preserve">KABEL YMvK 3G2.5mm rol/100mtr </v>
      </c>
      <c r="G59">
        <v>11</v>
      </c>
      <c r="H59">
        <v>1</v>
      </c>
      <c r="I59">
        <f t="shared" si="5"/>
        <v>11</v>
      </c>
      <c r="J59">
        <v>0</v>
      </c>
      <c r="K59">
        <v>0</v>
      </c>
      <c r="L59">
        <f t="shared" si="6"/>
        <v>11</v>
      </c>
    </row>
    <row r="61" spans="1:12" ht="24" x14ac:dyDescent="0.4">
      <c r="D61" s="42" t="s">
        <v>4513</v>
      </c>
      <c r="E61" s="42"/>
      <c r="F61" s="42"/>
      <c r="G61" s="42"/>
      <c r="H61" s="42"/>
      <c r="I61" s="42"/>
      <c r="J61" s="42"/>
      <c r="K61" s="42"/>
      <c r="L61" s="13" t="s">
        <v>4432</v>
      </c>
    </row>
    <row r="62" spans="1:12" ht="18.75" x14ac:dyDescent="0.3">
      <c r="D62" s="11" t="s">
        <v>4445</v>
      </c>
      <c r="E62" s="11" t="s">
        <v>4433</v>
      </c>
      <c r="F62" s="11" t="s">
        <v>4434</v>
      </c>
      <c r="G62" s="11" t="s">
        <v>4435</v>
      </c>
      <c r="H62" s="11"/>
      <c r="I62" s="11"/>
      <c r="J62" s="11" t="s">
        <v>4436</v>
      </c>
      <c r="K62" s="11" t="s">
        <v>4444</v>
      </c>
      <c r="L62" s="11" t="s">
        <v>4447</v>
      </c>
    </row>
    <row r="63" spans="1:12" x14ac:dyDescent="0.25">
      <c r="A63" t="s">
        <v>5053</v>
      </c>
      <c r="B63">
        <v>1</v>
      </c>
      <c r="C63">
        <v>1</v>
      </c>
      <c r="D63" t="s">
        <v>4857</v>
      </c>
      <c r="E63">
        <v>3319</v>
      </c>
      <c r="F63" s="3" t="str" cm="1">
        <f t="array" ref="F63">IFERROR(_xlfn.XLOOKUP(TEXT(E63,"0000"),TEXT(Catalog!A:A,"0000"),Catalog!B:B),"")</f>
        <v xml:space="preserve">PICKENS RFTL 100W 6500K UFO   </v>
      </c>
      <c r="G63">
        <v>16</v>
      </c>
      <c r="H63">
        <v>1</v>
      </c>
      <c r="I63">
        <f t="shared" ref="I63" si="7">G63*H63</f>
        <v>16</v>
      </c>
      <c r="J63">
        <v>3</v>
      </c>
      <c r="K63">
        <v>0</v>
      </c>
      <c r="L63">
        <f t="shared" ref="L63" si="8">I63+J63+K63</f>
        <v>19</v>
      </c>
    </row>
    <row r="64" spans="1:12" x14ac:dyDescent="0.25">
      <c r="A64" t="s">
        <v>5053</v>
      </c>
      <c r="B64">
        <v>1</v>
      </c>
      <c r="C64">
        <v>1</v>
      </c>
      <c r="D64" t="s">
        <v>4857</v>
      </c>
      <c r="E64" s="6" t="s">
        <v>4867</v>
      </c>
      <c r="F64" s="3" t="str" cm="1">
        <f t="array" ref="F64">IFERROR(_xlfn.XLOOKUP(TEXT(E64,"0000"),TEXT(Catalog!A:A,"0000"),Catalog!B:B),"")</f>
        <v xml:space="preserve">KABEL YMvK 3G2.5mm rol/100mtr </v>
      </c>
      <c r="G64" s="8">
        <v>0</v>
      </c>
      <c r="H64" s="8">
        <v>0</v>
      </c>
      <c r="I64">
        <f t="shared" ref="I64" si="9">G64*H64</f>
        <v>0</v>
      </c>
      <c r="J64">
        <v>0</v>
      </c>
      <c r="K64">
        <v>0</v>
      </c>
      <c r="L64">
        <f t="shared" ref="L64" si="10">I64+J64+K64</f>
        <v>0</v>
      </c>
    </row>
    <row r="65" spans="1:12" x14ac:dyDescent="0.25">
      <c r="F65" s="8" t="s">
        <v>4869</v>
      </c>
    </row>
    <row r="67" spans="1:12" ht="24" x14ac:dyDescent="0.4">
      <c r="D67" s="42" t="s">
        <v>4870</v>
      </c>
      <c r="E67" s="42"/>
      <c r="F67" s="42"/>
      <c r="G67" s="42"/>
      <c r="H67" s="42"/>
      <c r="I67" s="42"/>
      <c r="J67" s="42"/>
      <c r="K67" s="42"/>
      <c r="L67" s="13" t="s">
        <v>4432</v>
      </c>
    </row>
    <row r="68" spans="1:12" ht="18.75" x14ac:dyDescent="0.3">
      <c r="D68" s="11" t="s">
        <v>4445</v>
      </c>
      <c r="E68" s="11" t="s">
        <v>4433</v>
      </c>
      <c r="F68" s="11" t="s">
        <v>4434</v>
      </c>
      <c r="G68" s="11" t="s">
        <v>4435</v>
      </c>
      <c r="H68" s="11"/>
      <c r="I68" s="11"/>
      <c r="J68" s="11" t="s">
        <v>4436</v>
      </c>
      <c r="K68" s="11" t="s">
        <v>4444</v>
      </c>
      <c r="L68" s="11" t="s">
        <v>4447</v>
      </c>
    </row>
    <row r="69" spans="1:12" x14ac:dyDescent="0.25">
      <c r="A69" t="s">
        <v>5053</v>
      </c>
      <c r="B69">
        <v>1</v>
      </c>
      <c r="C69">
        <v>17</v>
      </c>
      <c r="D69" t="s">
        <v>4871</v>
      </c>
      <c r="E69">
        <v>4001</v>
      </c>
      <c r="F69" s="3" t="str" cm="1">
        <f t="array" ref="F69">IFERROR(_xlfn.XLOOKUP(TEXT(E69,"0000"),TEXT(Catalog!A:A,"0000"),Catalog!B:B),"")</f>
        <v xml:space="preserve">TWO POLE SWITCH 21021         </v>
      </c>
      <c r="G69">
        <v>32</v>
      </c>
      <c r="H69">
        <v>1</v>
      </c>
      <c r="I69">
        <f t="shared" ref="I69:I81" si="11">G69*H69</f>
        <v>32</v>
      </c>
      <c r="J69">
        <v>0</v>
      </c>
      <c r="K69">
        <v>0</v>
      </c>
      <c r="L69">
        <f t="shared" ref="L69:L80" si="12">I69+J69+K69</f>
        <v>32</v>
      </c>
    </row>
    <row r="70" spans="1:12" x14ac:dyDescent="0.25">
      <c r="A70" t="s">
        <v>5053</v>
      </c>
      <c r="B70">
        <v>1</v>
      </c>
      <c r="C70">
        <v>17</v>
      </c>
      <c r="D70" t="s">
        <v>4871</v>
      </c>
      <c r="E70">
        <v>4000</v>
      </c>
      <c r="F70" s="3" t="str" cm="1">
        <f t="array" ref="F70">IFERROR(_xlfn.XLOOKUP(TEXT(E70,"0000"),TEXT(Catalog!A:A,"0000"),Catalog!B:B),"")</f>
        <v xml:space="preserve">SINGEL POLE SWITCH 21011      </v>
      </c>
      <c r="G70">
        <v>18</v>
      </c>
      <c r="H70">
        <v>1</v>
      </c>
      <c r="I70">
        <f t="shared" si="11"/>
        <v>18</v>
      </c>
      <c r="J70">
        <v>0</v>
      </c>
      <c r="K70">
        <v>0</v>
      </c>
      <c r="L70">
        <f t="shared" si="12"/>
        <v>18</v>
      </c>
    </row>
    <row r="71" spans="1:12" x14ac:dyDescent="0.25">
      <c r="A71" t="s">
        <v>5053</v>
      </c>
      <c r="B71">
        <v>1</v>
      </c>
      <c r="C71">
        <v>17</v>
      </c>
      <c r="D71" t="s">
        <v>4871</v>
      </c>
      <c r="E71">
        <v>4002</v>
      </c>
      <c r="F71" s="3" t="str" cm="1">
        <f t="array" ref="F71">IFERROR(_xlfn.XLOOKUP(TEXT(E71,"0000"),TEXT(Catalog!A:A,"0000"),Catalog!B:B),"")</f>
        <v xml:space="preserve">TWO CIRCUITS SWITCH 21061     </v>
      </c>
      <c r="G71">
        <v>17</v>
      </c>
      <c r="H71">
        <v>1</v>
      </c>
      <c r="I71">
        <f t="shared" si="11"/>
        <v>17</v>
      </c>
      <c r="J71">
        <v>0</v>
      </c>
      <c r="K71">
        <v>0</v>
      </c>
      <c r="L71">
        <f t="shared" si="12"/>
        <v>17</v>
      </c>
    </row>
    <row r="72" spans="1:12" x14ac:dyDescent="0.25">
      <c r="A72" t="s">
        <v>5053</v>
      </c>
      <c r="B72">
        <v>1</v>
      </c>
      <c r="C72">
        <v>17</v>
      </c>
      <c r="D72" t="s">
        <v>4871</v>
      </c>
      <c r="E72">
        <v>4250</v>
      </c>
      <c r="F72" s="3" t="str" cm="1">
        <f t="array" ref="F72">IFERROR(_xlfn.XLOOKUP(TEXT(E72,"0000"),TEXT(Catalog!A:A,"0000"),Catalog!B:B),"")</f>
        <v xml:space="preserve">VLAKHOEK 180X50MM  10293  RBR </v>
      </c>
      <c r="G72">
        <v>2</v>
      </c>
      <c r="H72">
        <v>1</v>
      </c>
      <c r="I72">
        <f t="shared" si="11"/>
        <v>2</v>
      </c>
      <c r="J72">
        <v>0</v>
      </c>
      <c r="K72">
        <v>0</v>
      </c>
      <c r="L72">
        <f t="shared" si="12"/>
        <v>2</v>
      </c>
    </row>
    <row r="73" spans="1:12" x14ac:dyDescent="0.25">
      <c r="A73" t="s">
        <v>5053</v>
      </c>
      <c r="B73">
        <v>1</v>
      </c>
      <c r="C73">
        <v>17</v>
      </c>
      <c r="D73" t="s">
        <v>4871</v>
      </c>
      <c r="E73">
        <v>4017</v>
      </c>
      <c r="F73" s="3" t="str" cm="1">
        <f t="array" ref="F73">IFERROR(_xlfn.XLOOKUP(TEXT(E73,"0000"),TEXT(Catalog!A:A,"0000"),Catalog!B:B),"")</f>
        <v xml:space="preserve">ROCKER FOR SWITCHES 70601     </v>
      </c>
      <c r="G73">
        <v>8</v>
      </c>
      <c r="H73">
        <v>100</v>
      </c>
      <c r="I73">
        <f t="shared" si="11"/>
        <v>800</v>
      </c>
      <c r="J73">
        <v>0</v>
      </c>
      <c r="K73">
        <v>0</v>
      </c>
      <c r="L73">
        <f t="shared" si="12"/>
        <v>800</v>
      </c>
    </row>
    <row r="74" spans="1:12" x14ac:dyDescent="0.25">
      <c r="A74" t="s">
        <v>5053</v>
      </c>
      <c r="B74">
        <v>1</v>
      </c>
      <c r="C74">
        <v>17</v>
      </c>
      <c r="D74" t="s">
        <v>4871</v>
      </c>
      <c r="E74">
        <v>4018</v>
      </c>
      <c r="F74" s="3" t="str" cm="1">
        <f t="array" ref="F74">IFERROR(_xlfn.XLOOKUP(TEXT(E74,"0000"),TEXT(Catalog!A:A,"0000"),Catalog!B:B),"")</f>
        <v xml:space="preserve">DOUBLE ROCKERS 70611          </v>
      </c>
      <c r="G74">
        <v>2</v>
      </c>
      <c r="H74">
        <v>100</v>
      </c>
      <c r="I74">
        <f t="shared" si="11"/>
        <v>200</v>
      </c>
      <c r="J74">
        <v>0</v>
      </c>
      <c r="K74">
        <v>0</v>
      </c>
      <c r="L74">
        <f t="shared" si="12"/>
        <v>200</v>
      </c>
    </row>
    <row r="75" spans="1:12" x14ac:dyDescent="0.25">
      <c r="A75" t="s">
        <v>5053</v>
      </c>
      <c r="B75">
        <v>1</v>
      </c>
      <c r="C75">
        <v>17</v>
      </c>
      <c r="D75" t="s">
        <v>4871</v>
      </c>
      <c r="E75">
        <v>4003</v>
      </c>
      <c r="F75" s="3" t="str" cm="1">
        <f t="array" ref="F75">IFERROR(_xlfn.XLOOKUP(TEXT(E75,"0000"),TEXT(Catalog!A:A,"0000"),Catalog!B:B),"")</f>
        <v xml:space="preserve">THREE CIRCUITS SWITCH 21088   </v>
      </c>
      <c r="G75">
        <v>5</v>
      </c>
      <c r="H75">
        <v>1</v>
      </c>
      <c r="I75">
        <f t="shared" si="11"/>
        <v>5</v>
      </c>
      <c r="J75">
        <v>0</v>
      </c>
      <c r="K75">
        <v>0</v>
      </c>
      <c r="L75">
        <f t="shared" si="12"/>
        <v>5</v>
      </c>
    </row>
    <row r="76" spans="1:12" x14ac:dyDescent="0.25">
      <c r="A76" t="s">
        <v>5053</v>
      </c>
      <c r="B76">
        <v>1</v>
      </c>
      <c r="C76">
        <v>17</v>
      </c>
      <c r="D76" t="s">
        <v>4871</v>
      </c>
      <c r="E76">
        <v>4019</v>
      </c>
      <c r="F76" s="3" t="str" cm="1">
        <f t="array" ref="F76">IFERROR(_xlfn.XLOOKUP(TEXT(E76,"0000"),TEXT(Catalog!A:A,"0000"),Catalog!B:B),"")</f>
        <v xml:space="preserve">TRIPLE ROCKERS 70661          </v>
      </c>
      <c r="G76">
        <v>16</v>
      </c>
      <c r="H76">
        <v>1</v>
      </c>
      <c r="I76">
        <f t="shared" si="11"/>
        <v>16</v>
      </c>
      <c r="J76">
        <v>0</v>
      </c>
      <c r="K76">
        <v>0</v>
      </c>
      <c r="L76">
        <f t="shared" si="12"/>
        <v>16</v>
      </c>
    </row>
    <row r="77" spans="1:12" x14ac:dyDescent="0.25">
      <c r="A77" t="s">
        <v>5053</v>
      </c>
      <c r="B77">
        <v>1</v>
      </c>
      <c r="C77">
        <v>17</v>
      </c>
      <c r="D77" t="s">
        <v>4871</v>
      </c>
      <c r="E77">
        <v>4005</v>
      </c>
      <c r="F77" s="3" t="str" cm="1">
        <f t="array" ref="F77">IFERROR(_xlfn.XLOOKUP(TEXT(E77,"0000"),TEXT(Catalog!A:A,"0000"),Catalog!B:B),"")</f>
        <v xml:space="preserve">DOUBLE TWO WAY SWITCH 21101   </v>
      </c>
      <c r="G77">
        <v>11</v>
      </c>
      <c r="H77">
        <v>1</v>
      </c>
      <c r="I77">
        <f t="shared" si="11"/>
        <v>11</v>
      </c>
      <c r="J77">
        <v>0</v>
      </c>
      <c r="K77">
        <v>0</v>
      </c>
      <c r="L77">
        <f t="shared" si="12"/>
        <v>11</v>
      </c>
    </row>
    <row r="78" spans="1:12" x14ac:dyDescent="0.25">
      <c r="A78" s="8" t="s">
        <v>5053</v>
      </c>
      <c r="B78" s="8">
        <v>1</v>
      </c>
      <c r="C78" s="8">
        <v>17</v>
      </c>
      <c r="D78" s="8" t="s">
        <v>4871</v>
      </c>
      <c r="E78" s="8"/>
      <c r="F78" s="8">
        <v>21384</v>
      </c>
      <c r="G78" s="8">
        <v>2</v>
      </c>
      <c r="H78" s="8">
        <v>1</v>
      </c>
      <c r="I78" s="8">
        <f t="shared" si="11"/>
        <v>2</v>
      </c>
      <c r="J78" s="8">
        <v>0</v>
      </c>
      <c r="K78" s="8">
        <v>0</v>
      </c>
      <c r="L78" s="8">
        <f t="shared" si="12"/>
        <v>2</v>
      </c>
    </row>
    <row r="79" spans="1:12" x14ac:dyDescent="0.25">
      <c r="A79" t="s">
        <v>5053</v>
      </c>
      <c r="B79">
        <v>1</v>
      </c>
      <c r="C79">
        <v>17</v>
      </c>
      <c r="D79" t="s">
        <v>4871</v>
      </c>
      <c r="E79">
        <v>4058</v>
      </c>
      <c r="F79" s="3" t="str" cm="1">
        <f t="array" ref="F79">IFERROR(_xlfn.XLOOKUP(TEXT(E79,"0000"),TEXT(Catalog!A:A,"0000"),Catalog!B:B),"")</f>
        <v>COVER PLATE DBL USB CHAR 70673</v>
      </c>
      <c r="G79">
        <v>20</v>
      </c>
      <c r="H79">
        <v>1</v>
      </c>
      <c r="I79">
        <f t="shared" si="11"/>
        <v>20</v>
      </c>
      <c r="J79">
        <v>0</v>
      </c>
      <c r="K79">
        <v>0</v>
      </c>
      <c r="L79">
        <f t="shared" si="12"/>
        <v>20</v>
      </c>
    </row>
    <row r="80" spans="1:12" x14ac:dyDescent="0.25">
      <c r="A80" t="s">
        <v>5053</v>
      </c>
      <c r="B80">
        <v>1</v>
      </c>
      <c r="C80">
        <v>17</v>
      </c>
      <c r="D80" t="s">
        <v>4871</v>
      </c>
      <c r="E80">
        <v>3998</v>
      </c>
      <c r="F80" s="3" t="str" cm="1">
        <f t="array" ref="F80">IFERROR(_xlfn.XLOOKUP(TEXT(E80,"0000"),TEXT(Catalog!A:A,"0000"),Catalog!B:B),"")</f>
        <v>ELECTRONIC DIMMER 150W 21215-1</v>
      </c>
      <c r="G80">
        <v>5</v>
      </c>
      <c r="H80">
        <v>1</v>
      </c>
      <c r="I80">
        <f t="shared" si="11"/>
        <v>5</v>
      </c>
      <c r="J80">
        <v>0</v>
      </c>
      <c r="K80">
        <v>0</v>
      </c>
      <c r="L80">
        <f t="shared" si="12"/>
        <v>5</v>
      </c>
    </row>
    <row r="81" spans="1:13" x14ac:dyDescent="0.25">
      <c r="A81" t="s">
        <v>5053</v>
      </c>
      <c r="B81">
        <v>1</v>
      </c>
      <c r="C81">
        <v>17</v>
      </c>
      <c r="D81" t="s">
        <v>4871</v>
      </c>
      <c r="E81">
        <v>4013</v>
      </c>
      <c r="F81" s="3" t="str" cm="1">
        <f t="array" ref="F81">IFERROR(_xlfn.XLOOKUP(TEXT(E81,"0000"),TEXT(Catalog!A:A,"0000"),Catalog!B:B),"")</f>
        <v>RJ 45 CAT6 UTP CONNECTOR 21978</v>
      </c>
      <c r="G81">
        <v>1</v>
      </c>
      <c r="H81">
        <v>1</v>
      </c>
      <c r="I81">
        <f t="shared" si="11"/>
        <v>1</v>
      </c>
      <c r="J81">
        <v>2</v>
      </c>
      <c r="K81">
        <v>0</v>
      </c>
      <c r="L81">
        <f t="shared" ref="L81:L83" si="13">I81+J81+K81</f>
        <v>3</v>
      </c>
    </row>
    <row r="82" spans="1:13" x14ac:dyDescent="0.25">
      <c r="A82" t="s">
        <v>5053</v>
      </c>
      <c r="B82">
        <v>1</v>
      </c>
      <c r="C82">
        <v>17</v>
      </c>
      <c r="D82" t="s">
        <v>4871</v>
      </c>
      <c r="E82">
        <v>4037</v>
      </c>
      <c r="F82" s="3" t="str" cm="1">
        <f t="array" ref="F82">IFERROR(_xlfn.XLOOKUP(TEXT(E82,"0000"),TEXT(Catalog!A:A,"0000"),Catalog!B:B),"")</f>
        <v xml:space="preserve">COVER PLATE MOTION  70401 TBR </v>
      </c>
      <c r="G82">
        <v>22</v>
      </c>
      <c r="H82">
        <v>1</v>
      </c>
      <c r="I82">
        <f t="shared" ref="I82:I83" si="14">G82*H82</f>
        <v>22</v>
      </c>
      <c r="J82">
        <v>0</v>
      </c>
      <c r="K82">
        <v>0</v>
      </c>
      <c r="L82">
        <f t="shared" si="13"/>
        <v>22</v>
      </c>
    </row>
    <row r="83" spans="1:13" x14ac:dyDescent="0.25">
      <c r="A83" t="s">
        <v>5053</v>
      </c>
      <c r="B83">
        <v>1</v>
      </c>
      <c r="C83">
        <v>17</v>
      </c>
      <c r="D83" t="s">
        <v>4871</v>
      </c>
      <c r="E83">
        <v>4030</v>
      </c>
      <c r="F83" s="3" t="str" cm="1">
        <f t="array" ref="F83">IFERROR(_xlfn.XLOOKUP(TEXT(E83,"0000"),TEXT(Catalog!A:A,"0000"),Catalog!B:B),"")</f>
        <v xml:space="preserve"> SURFACE MOUNTING BOX 10975   </v>
      </c>
      <c r="G83">
        <v>8</v>
      </c>
      <c r="H83">
        <v>1</v>
      </c>
      <c r="I83">
        <f t="shared" si="14"/>
        <v>8</v>
      </c>
      <c r="J83">
        <v>0</v>
      </c>
      <c r="K83">
        <v>0</v>
      </c>
      <c r="L83">
        <f t="shared" si="13"/>
        <v>8</v>
      </c>
    </row>
    <row r="84" spans="1:13" x14ac:dyDescent="0.25">
      <c r="F84" s="8" t="s">
        <v>4873</v>
      </c>
    </row>
    <row r="85" spans="1:13" x14ac:dyDescent="0.25">
      <c r="F85" s="8" t="s">
        <v>4874</v>
      </c>
    </row>
    <row r="89" spans="1:13" ht="24" x14ac:dyDescent="0.4">
      <c r="D89" s="42" t="s">
        <v>4872</v>
      </c>
      <c r="E89" s="42"/>
      <c r="F89" s="42"/>
      <c r="G89" s="42"/>
      <c r="H89" s="42"/>
      <c r="I89" s="42"/>
      <c r="J89" s="42"/>
      <c r="K89" s="42"/>
      <c r="L89" s="13" t="s">
        <v>4432</v>
      </c>
    </row>
    <row r="90" spans="1:13" ht="18.75" x14ac:dyDescent="0.3">
      <c r="D90" s="11" t="s">
        <v>4445</v>
      </c>
      <c r="E90" s="11" t="s">
        <v>4433</v>
      </c>
      <c r="F90" s="11" t="s">
        <v>4434</v>
      </c>
      <c r="G90" s="11" t="s">
        <v>4435</v>
      </c>
      <c r="H90" s="11"/>
      <c r="I90" s="11"/>
      <c r="J90" s="11" t="s">
        <v>4436</v>
      </c>
      <c r="K90" s="11" t="s">
        <v>4444</v>
      </c>
      <c r="L90" s="11" t="s">
        <v>4447</v>
      </c>
    </row>
    <row r="91" spans="1:13" x14ac:dyDescent="0.25">
      <c r="A91" t="s">
        <v>5053</v>
      </c>
      <c r="B91">
        <v>1</v>
      </c>
      <c r="C91">
        <v>20</v>
      </c>
      <c r="D91" t="s">
        <v>4871</v>
      </c>
      <c r="E91">
        <v>4023</v>
      </c>
      <c r="F91" s="3" t="str" cm="1">
        <f t="array" ref="F91">IFERROR(_xlfn.XLOOKUP(TEXT(E91,"0000"),TEXT(Catalog!A:A,"0000"),Catalog!B:B),"")</f>
        <v xml:space="preserve"> COV PL  EARTH SOCK USA 70843 </v>
      </c>
      <c r="G91">
        <v>25</v>
      </c>
      <c r="H91">
        <v>1</v>
      </c>
      <c r="I91">
        <f t="shared" ref="I91:I95" si="15">G91*H91</f>
        <v>25</v>
      </c>
      <c r="J91">
        <v>0</v>
      </c>
      <c r="K91">
        <v>0</v>
      </c>
      <c r="L91">
        <f t="shared" ref="L91:L94" si="16">I91+J91+K91</f>
        <v>25</v>
      </c>
    </row>
    <row r="92" spans="1:13" x14ac:dyDescent="0.25">
      <c r="A92" t="s">
        <v>5053</v>
      </c>
      <c r="B92">
        <v>1</v>
      </c>
      <c r="C92">
        <v>20</v>
      </c>
      <c r="D92" t="s">
        <v>4871</v>
      </c>
      <c r="E92">
        <v>4028</v>
      </c>
      <c r="F92" s="3" t="str" cm="1">
        <f t="array" ref="F92">IFERROR(_xlfn.XLOOKUP(TEXT(E92,"0000"),TEXT(Catalog!A:A,"0000"),Catalog!B:B),"")</f>
        <v xml:space="preserve">BLIND COVER PLATE 70677       </v>
      </c>
      <c r="G92">
        <v>40</v>
      </c>
      <c r="H92">
        <v>1</v>
      </c>
      <c r="I92">
        <f t="shared" si="15"/>
        <v>40</v>
      </c>
      <c r="J92">
        <v>0</v>
      </c>
      <c r="K92">
        <v>0</v>
      </c>
      <c r="L92">
        <f t="shared" si="16"/>
        <v>40</v>
      </c>
    </row>
    <row r="93" spans="1:13" x14ac:dyDescent="0.25">
      <c r="A93" t="s">
        <v>5053</v>
      </c>
      <c r="B93">
        <v>1</v>
      </c>
      <c r="C93">
        <v>20</v>
      </c>
      <c r="D93" t="s">
        <v>4871</v>
      </c>
      <c r="E93">
        <v>4009</v>
      </c>
      <c r="F93" s="3" t="str" cm="1">
        <f t="array" ref="F93">IFERROR(_xlfn.XLOOKUP(TEXT(E93,"0000"),TEXT(Catalog!A:A,"0000"),Catalog!B:B),"")</f>
        <v>EARTH SOCKET ( USA TYPE) 21143</v>
      </c>
      <c r="G93">
        <v>12</v>
      </c>
      <c r="H93">
        <v>1</v>
      </c>
      <c r="I93">
        <f t="shared" si="15"/>
        <v>12</v>
      </c>
      <c r="J93">
        <v>0</v>
      </c>
      <c r="K93">
        <v>0</v>
      </c>
      <c r="L93">
        <f t="shared" si="16"/>
        <v>12</v>
      </c>
    </row>
    <row r="94" spans="1:13" x14ac:dyDescent="0.25">
      <c r="A94" s="8" t="s">
        <v>5053</v>
      </c>
      <c r="B94" s="8">
        <v>1</v>
      </c>
      <c r="C94" s="8">
        <v>20</v>
      </c>
      <c r="D94" s="8" t="s">
        <v>4871</v>
      </c>
      <c r="E94" s="29">
        <v>4007</v>
      </c>
      <c r="F94" s="3" t="str" cm="1">
        <f t="array" ref="F94">IFERROR(_xlfn.XLOOKUP(TEXT(E94,"0000"),TEXT(Catalog!A:A,"0000"),Catalog!B:B),"")</f>
        <v xml:space="preserve"> DIMMER/ 2 WAY 320 WRC 21217  </v>
      </c>
      <c r="G94" s="8">
        <v>4</v>
      </c>
      <c r="H94" s="8">
        <v>1</v>
      </c>
      <c r="I94" s="8">
        <f t="shared" si="15"/>
        <v>4</v>
      </c>
      <c r="J94" s="8">
        <v>0</v>
      </c>
      <c r="K94" s="8">
        <v>0</v>
      </c>
      <c r="L94" s="8">
        <f t="shared" si="16"/>
        <v>4</v>
      </c>
      <c r="M94" s="10" t="s">
        <v>5066</v>
      </c>
    </row>
    <row r="95" spans="1:13" x14ac:dyDescent="0.25">
      <c r="A95" s="8" t="s">
        <v>5053</v>
      </c>
      <c r="B95" s="8">
        <v>1</v>
      </c>
      <c r="C95" s="8">
        <v>20</v>
      </c>
      <c r="D95" s="8" t="s">
        <v>4871</v>
      </c>
      <c r="E95" s="29">
        <v>4007</v>
      </c>
      <c r="F95" s="12" t="str" cm="1">
        <f t="array" ref="F95">IFERROR(_xlfn.XLOOKUP(TEXT(E95,"0000"),TEXT(Catalog!A:A,"0000"),Catalog!B:B),"")</f>
        <v xml:space="preserve"> DIMMER/ 2 WAY 320 WRC 21217  </v>
      </c>
      <c r="G95" s="8">
        <v>13</v>
      </c>
      <c r="H95" s="8">
        <v>1</v>
      </c>
      <c r="I95" s="8">
        <f t="shared" si="15"/>
        <v>13</v>
      </c>
      <c r="J95" s="8"/>
      <c r="K95" s="8"/>
      <c r="L95" s="29">
        <v>13</v>
      </c>
      <c r="M95" s="10" t="s">
        <v>5066</v>
      </c>
    </row>
    <row r="96" spans="1:13" x14ac:dyDescent="0.25">
      <c r="A96" t="s">
        <v>5053</v>
      </c>
      <c r="B96">
        <v>1</v>
      </c>
      <c r="C96">
        <v>20</v>
      </c>
      <c r="D96" t="s">
        <v>4871</v>
      </c>
      <c r="E96">
        <v>4021</v>
      </c>
      <c r="F96" s="3" t="str" cm="1">
        <f t="array" ref="F96">IFERROR(_xlfn.XLOOKUP(TEXT(E96,"0000"),TEXT(Catalog!A:A,"0000"),Catalog!B:B),"")</f>
        <v xml:space="preserve">COVER PLATE  DIMMER 70721     </v>
      </c>
      <c r="G96">
        <v>19</v>
      </c>
      <c r="H96">
        <v>1</v>
      </c>
      <c r="I96">
        <f t="shared" ref="I96:I104" si="17">G96*H96</f>
        <v>19</v>
      </c>
      <c r="J96">
        <v>0</v>
      </c>
      <c r="K96">
        <v>0</v>
      </c>
      <c r="L96">
        <f t="shared" ref="L96:L103" si="18">I96+J96+K96</f>
        <v>19</v>
      </c>
    </row>
    <row r="97" spans="1:12" x14ac:dyDescent="0.25">
      <c r="A97" t="s">
        <v>5053</v>
      </c>
      <c r="B97">
        <v>1</v>
      </c>
      <c r="C97">
        <v>20</v>
      </c>
      <c r="D97" t="s">
        <v>4871</v>
      </c>
      <c r="E97">
        <v>4020</v>
      </c>
      <c r="F97" s="3" t="str" cm="1">
        <f t="array" ref="F97">IFERROR(_xlfn.XLOOKUP(TEXT(E97,"0000"),TEXT(Catalog!A:A,"0000"),Catalog!B:B),"")</f>
        <v xml:space="preserve">COV PLATE  PULL CORD 70741    </v>
      </c>
      <c r="G97">
        <v>11</v>
      </c>
      <c r="H97">
        <v>1</v>
      </c>
      <c r="I97">
        <f t="shared" si="17"/>
        <v>11</v>
      </c>
      <c r="J97">
        <v>0</v>
      </c>
      <c r="K97">
        <v>0</v>
      </c>
      <c r="L97">
        <f t="shared" si="18"/>
        <v>11</v>
      </c>
    </row>
    <row r="98" spans="1:12" x14ac:dyDescent="0.25">
      <c r="A98" t="s">
        <v>5053</v>
      </c>
      <c r="B98">
        <v>1</v>
      </c>
      <c r="C98">
        <v>20</v>
      </c>
      <c r="D98" t="s">
        <v>4871</v>
      </c>
      <c r="E98">
        <v>4012</v>
      </c>
      <c r="F98" s="3" t="str" cm="1">
        <f t="array" ref="F98">IFERROR(_xlfn.XLOOKUP(TEXT(E98,"0000"),TEXT(Catalog!A:A,"0000"),Catalog!B:B),"")</f>
        <v>RJ 45 CAT 5 E UTP SOCKET 21453</v>
      </c>
      <c r="G98">
        <v>10</v>
      </c>
      <c r="H98">
        <v>1</v>
      </c>
      <c r="I98">
        <f t="shared" si="17"/>
        <v>10</v>
      </c>
      <c r="J98">
        <v>0</v>
      </c>
      <c r="K98">
        <v>0</v>
      </c>
      <c r="L98">
        <f t="shared" si="18"/>
        <v>10</v>
      </c>
    </row>
    <row r="99" spans="1:12" x14ac:dyDescent="0.25">
      <c r="A99" t="s">
        <v>5053</v>
      </c>
      <c r="B99">
        <v>1</v>
      </c>
      <c r="C99">
        <v>20</v>
      </c>
      <c r="D99" t="s">
        <v>4871</v>
      </c>
      <c r="E99">
        <v>4011</v>
      </c>
      <c r="F99" s="3" t="str" cm="1">
        <f t="array" ref="F99">IFERROR(_xlfn.XLOOKUP(TEXT(E99,"0000"),TEXT(Catalog!A:A,"0000"),Catalog!B:B),"")</f>
        <v xml:space="preserve">RJ 45 CAT 6 UTP  SOCKET 21455 </v>
      </c>
      <c r="G99">
        <v>5</v>
      </c>
      <c r="H99">
        <v>1</v>
      </c>
      <c r="I99">
        <f t="shared" si="17"/>
        <v>5</v>
      </c>
      <c r="J99">
        <v>0</v>
      </c>
      <c r="K99">
        <v>0</v>
      </c>
      <c r="L99">
        <f t="shared" si="18"/>
        <v>5</v>
      </c>
    </row>
    <row r="100" spans="1:12" x14ac:dyDescent="0.25">
      <c r="A100" t="s">
        <v>5053</v>
      </c>
      <c r="B100">
        <v>1</v>
      </c>
      <c r="C100">
        <v>20</v>
      </c>
      <c r="D100" t="s">
        <v>4871</v>
      </c>
      <c r="E100">
        <v>4025</v>
      </c>
      <c r="F100" s="3" t="str" cm="1">
        <f t="array" ref="F100">IFERROR(_xlfn.XLOOKUP(TEXT(E100,"0000"),TEXT(Catalog!A:A,"0000"),Catalog!B:B),"")</f>
        <v>COVER PLATE  SINGLE RJ45 70751</v>
      </c>
      <c r="G100">
        <v>6</v>
      </c>
      <c r="H100">
        <v>1</v>
      </c>
      <c r="I100">
        <f t="shared" si="17"/>
        <v>6</v>
      </c>
      <c r="J100">
        <v>0</v>
      </c>
      <c r="K100">
        <v>0</v>
      </c>
      <c r="L100">
        <f t="shared" si="18"/>
        <v>6</v>
      </c>
    </row>
    <row r="101" spans="1:12" x14ac:dyDescent="0.25">
      <c r="A101" t="s">
        <v>5053</v>
      </c>
      <c r="B101">
        <v>1</v>
      </c>
      <c r="C101">
        <v>20</v>
      </c>
      <c r="D101" t="s">
        <v>4871</v>
      </c>
      <c r="E101">
        <v>4015</v>
      </c>
      <c r="F101" s="3" t="str" cm="1">
        <f t="array" ref="F101">IFERROR(_xlfn.XLOOKUP(TEXT(E101,"0000"),TEXT(Catalog!A:A,"0000"),Catalog!B:B),"")</f>
        <v xml:space="preserve">TELEPHONE SOCKET 21252        </v>
      </c>
      <c r="G101">
        <v>10</v>
      </c>
      <c r="H101">
        <v>1</v>
      </c>
      <c r="I101">
        <f t="shared" si="17"/>
        <v>10</v>
      </c>
      <c r="J101">
        <v>0</v>
      </c>
      <c r="K101">
        <v>0</v>
      </c>
      <c r="L101">
        <f t="shared" si="18"/>
        <v>10</v>
      </c>
    </row>
    <row r="102" spans="1:12" x14ac:dyDescent="0.25">
      <c r="A102" t="s">
        <v>5053</v>
      </c>
      <c r="B102">
        <v>1</v>
      </c>
      <c r="C102">
        <v>20</v>
      </c>
      <c r="D102" t="s">
        <v>4871</v>
      </c>
      <c r="E102">
        <v>4027</v>
      </c>
      <c r="F102" s="3" t="str" cm="1">
        <f t="array" ref="F102">IFERROR(_xlfn.XLOOKUP(TEXT(E102,"0000"),TEXT(Catalog!A:A,"0000"),Catalog!B:B),"")</f>
        <v xml:space="preserve">COVER PLATE  TELEPHONE 70712  </v>
      </c>
      <c r="G102">
        <v>4</v>
      </c>
      <c r="H102">
        <v>1</v>
      </c>
      <c r="I102">
        <f t="shared" si="17"/>
        <v>4</v>
      </c>
      <c r="J102">
        <v>0</v>
      </c>
      <c r="K102">
        <v>0</v>
      </c>
      <c r="L102">
        <f t="shared" si="18"/>
        <v>4</v>
      </c>
    </row>
    <row r="103" spans="1:12" x14ac:dyDescent="0.25">
      <c r="A103" t="s">
        <v>5053</v>
      </c>
      <c r="B103">
        <v>1</v>
      </c>
      <c r="C103">
        <v>20</v>
      </c>
      <c r="D103" t="s">
        <v>4871</v>
      </c>
      <c r="E103">
        <v>4026</v>
      </c>
      <c r="F103" s="3" t="str" cm="1">
        <f t="array" ref="F103">IFERROR(_xlfn.XLOOKUP(TEXT(E103,"0000"),TEXT(Catalog!A:A,"0000"),Catalog!B:B),"")</f>
        <v xml:space="preserve">COVER RING WITH DOUBLE 70442  </v>
      </c>
      <c r="G103">
        <v>65</v>
      </c>
      <c r="H103">
        <v>1</v>
      </c>
      <c r="I103">
        <f t="shared" si="17"/>
        <v>65</v>
      </c>
      <c r="J103">
        <v>0</v>
      </c>
      <c r="K103">
        <v>0</v>
      </c>
      <c r="L103">
        <f t="shared" si="18"/>
        <v>65</v>
      </c>
    </row>
    <row r="104" spans="1:12" x14ac:dyDescent="0.25">
      <c r="A104" t="s">
        <v>5053</v>
      </c>
      <c r="B104">
        <v>1</v>
      </c>
      <c r="C104">
        <v>20</v>
      </c>
      <c r="D104" t="s">
        <v>4871</v>
      </c>
      <c r="E104">
        <v>4031</v>
      </c>
      <c r="F104" s="3" t="str" cm="1">
        <f t="array" ref="F104">IFERROR(_xlfn.XLOOKUP(TEXT(E104,"0000"),TEXT(Catalog!A:A,"0000"),Catalog!B:B),"")</f>
        <v xml:space="preserve">SINGLE FRAME 70910            </v>
      </c>
      <c r="G104">
        <v>2</v>
      </c>
      <c r="H104">
        <v>100</v>
      </c>
      <c r="I104">
        <f t="shared" si="17"/>
        <v>200</v>
      </c>
      <c r="J104">
        <v>0</v>
      </c>
      <c r="K104">
        <v>0</v>
      </c>
      <c r="L104">
        <f t="shared" ref="L104" si="19">I104+J104+K104</f>
        <v>200</v>
      </c>
    </row>
    <row r="105" spans="1:12" x14ac:dyDescent="0.25">
      <c r="A105" t="s">
        <v>5053</v>
      </c>
      <c r="B105">
        <v>1</v>
      </c>
      <c r="C105">
        <v>20</v>
      </c>
      <c r="D105" t="s">
        <v>4871</v>
      </c>
      <c r="E105">
        <v>4032</v>
      </c>
      <c r="F105" s="3" t="str" cm="1">
        <f t="array" ref="F105">IFERROR(_xlfn.XLOOKUP(TEXT(E105,"0000"),TEXT(Catalog!A:A,"0000"),Catalog!B:B),"")</f>
        <v xml:space="preserve">DOUBLE HORIZONTAL FRAME 70921 </v>
      </c>
      <c r="G105">
        <v>13</v>
      </c>
      <c r="H105">
        <v>1</v>
      </c>
      <c r="I105">
        <f t="shared" ref="I105:I107" si="20">G105*H105</f>
        <v>13</v>
      </c>
      <c r="J105">
        <v>0</v>
      </c>
      <c r="K105">
        <v>0</v>
      </c>
      <c r="L105">
        <f t="shared" ref="L105:L107" si="21">I105+J105+K105</f>
        <v>13</v>
      </c>
    </row>
    <row r="106" spans="1:12" x14ac:dyDescent="0.25">
      <c r="A106" t="s">
        <v>5053</v>
      </c>
      <c r="B106">
        <v>1</v>
      </c>
      <c r="C106">
        <v>20</v>
      </c>
      <c r="D106" t="s">
        <v>4871</v>
      </c>
      <c r="E106">
        <v>4033</v>
      </c>
      <c r="F106" s="3" t="str" cm="1">
        <f t="array" ref="F106">IFERROR(_xlfn.XLOOKUP(TEXT(E106,"0000"),TEXT(Catalog!A:A,"0000"),Catalog!B:B),"")</f>
        <v xml:space="preserve">TRIPLE HORIZONTAL FRAME 70931 </v>
      </c>
      <c r="G106">
        <v>36</v>
      </c>
      <c r="H106">
        <v>1</v>
      </c>
      <c r="I106">
        <f t="shared" si="20"/>
        <v>36</v>
      </c>
      <c r="J106">
        <v>0</v>
      </c>
      <c r="K106">
        <v>0</v>
      </c>
      <c r="L106">
        <f t="shared" si="21"/>
        <v>36</v>
      </c>
    </row>
    <row r="107" spans="1:12" x14ac:dyDescent="0.25">
      <c r="A107" t="s">
        <v>5053</v>
      </c>
      <c r="B107">
        <v>1</v>
      </c>
      <c r="C107">
        <v>20</v>
      </c>
      <c r="D107" t="s">
        <v>4871</v>
      </c>
      <c r="E107">
        <v>4034</v>
      </c>
      <c r="F107" s="3" t="str" cm="1">
        <f t="array" ref="F107">IFERROR(_xlfn.XLOOKUP(TEXT(E107,"0000"),TEXT(Catalog!A:A,"0000"),Catalog!B:B),"")</f>
        <v>4- GANG HORIZONTAL FRAME 70941</v>
      </c>
      <c r="G107">
        <f>38+38+3</f>
        <v>79</v>
      </c>
      <c r="H107">
        <v>1</v>
      </c>
      <c r="I107">
        <f t="shared" si="20"/>
        <v>79</v>
      </c>
      <c r="J107">
        <v>0</v>
      </c>
      <c r="K107">
        <v>0</v>
      </c>
      <c r="L107">
        <f t="shared" si="21"/>
        <v>79</v>
      </c>
    </row>
    <row r="108" spans="1:12" x14ac:dyDescent="0.25">
      <c r="A108" t="s">
        <v>5053</v>
      </c>
      <c r="B108">
        <v>1</v>
      </c>
      <c r="C108">
        <v>20</v>
      </c>
      <c r="D108" t="s">
        <v>4871</v>
      </c>
      <c r="E108">
        <v>4011</v>
      </c>
      <c r="F108" s="3" t="str" cm="1">
        <f t="array" ref="F108">IFERROR(_xlfn.XLOOKUP(TEXT(E108,"0000"),TEXT(Catalog!A:A,"0000"),Catalog!B:B),"")</f>
        <v xml:space="preserve">RJ 45 CAT 6 UTP  SOCKET 21455 </v>
      </c>
      <c r="G108">
        <v>2</v>
      </c>
      <c r="H108">
        <v>100</v>
      </c>
      <c r="I108">
        <f t="shared" ref="I108" si="22">G108*H108</f>
        <v>200</v>
      </c>
      <c r="J108">
        <v>0</v>
      </c>
      <c r="K108">
        <v>0</v>
      </c>
      <c r="L108">
        <f t="shared" ref="L108" si="23">I108+J108+K108</f>
        <v>200</v>
      </c>
    </row>
  </sheetData>
  <mergeCells count="7">
    <mergeCell ref="D67:K67"/>
    <mergeCell ref="D89:K89"/>
    <mergeCell ref="D37:K37"/>
    <mergeCell ref="D61:K61"/>
    <mergeCell ref="D1:K1"/>
    <mergeCell ref="D2:K2"/>
    <mergeCell ref="D16:K1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27B13-3307-436E-8E68-B5121A4DC83B}">
  <dimension ref="A1:M207"/>
  <sheetViews>
    <sheetView topLeftCell="A75" workbookViewId="0">
      <selection activeCell="G104" sqref="G104"/>
    </sheetView>
  </sheetViews>
  <sheetFormatPr defaultColWidth="11.42578125" defaultRowHeight="15" x14ac:dyDescent="0.25"/>
  <cols>
    <col min="4" max="4" width="12.5703125" customWidth="1"/>
    <col min="5" max="5" width="10.85546875" customWidth="1"/>
    <col min="6" max="6" width="43.140625" customWidth="1"/>
    <col min="13" max="13" width="31.140625" customWidth="1"/>
  </cols>
  <sheetData>
    <row r="1" spans="1:13" ht="30" customHeight="1" x14ac:dyDescent="0.4">
      <c r="D1" s="45" t="s">
        <v>4446</v>
      </c>
      <c r="E1" s="45"/>
      <c r="F1" s="45"/>
      <c r="G1" s="45"/>
      <c r="H1" s="45"/>
      <c r="I1" s="45"/>
      <c r="J1" s="45"/>
      <c r="K1" s="45"/>
    </row>
    <row r="2" spans="1:13" ht="24" x14ac:dyDescent="0.4">
      <c r="D2" s="35" t="s">
        <v>4513</v>
      </c>
      <c r="E2" s="36"/>
      <c r="F2" s="36"/>
      <c r="G2" s="36"/>
      <c r="H2" s="36"/>
      <c r="I2" s="36"/>
      <c r="J2" s="37"/>
      <c r="K2" s="38" t="s">
        <v>4459</v>
      </c>
      <c r="L2" s="13" t="s">
        <v>4432</v>
      </c>
      <c r="M2" s="40" t="s">
        <v>4460</v>
      </c>
    </row>
    <row r="3" spans="1:13" ht="18.75" x14ac:dyDescent="0.3">
      <c r="A3" s="28" t="s">
        <v>5044</v>
      </c>
      <c r="B3" s="28" t="s">
        <v>5054</v>
      </c>
      <c r="C3" s="28" t="s">
        <v>5055</v>
      </c>
      <c r="D3" s="11" t="s">
        <v>4445</v>
      </c>
      <c r="E3" s="11" t="s">
        <v>4433</v>
      </c>
      <c r="F3" s="11" t="s">
        <v>4434</v>
      </c>
      <c r="G3" s="11" t="s">
        <v>4435</v>
      </c>
      <c r="H3" s="11" t="s">
        <v>4436</v>
      </c>
      <c r="I3" s="11" t="s">
        <v>4444</v>
      </c>
      <c r="J3" s="11" t="s">
        <v>4436</v>
      </c>
      <c r="K3" s="39"/>
      <c r="L3" s="11" t="s">
        <v>4447</v>
      </c>
      <c r="M3" s="41"/>
    </row>
    <row r="4" spans="1:13" x14ac:dyDescent="0.25">
      <c r="A4" t="s">
        <v>5053</v>
      </c>
      <c r="B4">
        <v>2</v>
      </c>
      <c r="C4">
        <v>1</v>
      </c>
      <c r="D4" t="s">
        <v>4457</v>
      </c>
      <c r="E4">
        <v>1611</v>
      </c>
      <c r="F4" s="3" t="str" cm="1">
        <f t="array" ref="F4">IFERROR(_xlfn.XLOOKUP(TEXT(E4,"0000"),TEXT(Catalog!A:A,"0000"),Catalog!B:B),"")</f>
        <v xml:space="preserve">OPB.KAST OLINTHOS 2RIJ 24 PE  </v>
      </c>
      <c r="G4">
        <v>22</v>
      </c>
    </row>
    <row r="5" spans="1:13" x14ac:dyDescent="0.25">
      <c r="A5" t="s">
        <v>5053</v>
      </c>
      <c r="B5">
        <v>2</v>
      </c>
      <c r="C5">
        <v>1</v>
      </c>
      <c r="D5" t="s">
        <v>4457</v>
      </c>
      <c r="E5">
        <v>1612</v>
      </c>
      <c r="F5" s="3" t="str" cm="1">
        <f t="array" ref="F5">IFERROR(_xlfn.XLOOKUP(TEXT(E5,"0000"),TEXT(Catalog!A:A,"0000"),Catalog!B:B),"")</f>
        <v xml:space="preserve">OPB.KAST OLINTHOS 3RIJ 36 PE  </v>
      </c>
      <c r="G5">
        <v>2</v>
      </c>
    </row>
    <row r="6" spans="1:13" x14ac:dyDescent="0.25">
      <c r="A6" t="s">
        <v>5053</v>
      </c>
      <c r="B6">
        <v>2</v>
      </c>
      <c r="C6">
        <v>1</v>
      </c>
      <c r="D6" t="s">
        <v>4457</v>
      </c>
      <c r="E6">
        <v>1506</v>
      </c>
      <c r="F6" s="3" t="str" cm="1">
        <f t="array" ref="F6">IFERROR(_xlfn.XLOOKUP(TEXT(E6,"0000"),TEXT(Catalog!A:A,"0000"),Catalog!B:B),"")</f>
        <v xml:space="preserve">OPBOUWKAST 2-RIJ 36PE 610285  </v>
      </c>
      <c r="G6">
        <v>1</v>
      </c>
      <c r="M6" t="s">
        <v>4529</v>
      </c>
    </row>
    <row r="7" spans="1:13" x14ac:dyDescent="0.25">
      <c r="A7" t="s">
        <v>5053</v>
      </c>
      <c r="B7">
        <v>2</v>
      </c>
      <c r="C7">
        <v>1</v>
      </c>
      <c r="D7" t="s">
        <v>4457</v>
      </c>
      <c r="E7">
        <v>1511</v>
      </c>
      <c r="F7" s="3" t="str" cm="1">
        <f t="array" ref="F7">IFERROR(_xlfn.XLOOKUP(TEXT(E7,"0000"),TEXT(Catalog!A:A,"0000"),Catalog!B:B),"")</f>
        <v>INBOUWKAST 2-RIJ  28MOD 610373</v>
      </c>
      <c r="G7">
        <v>8</v>
      </c>
    </row>
    <row r="8" spans="1:13" x14ac:dyDescent="0.25">
      <c r="A8" t="s">
        <v>5053</v>
      </c>
      <c r="B8">
        <v>2</v>
      </c>
      <c r="C8">
        <v>1</v>
      </c>
      <c r="D8" t="s">
        <v>4457</v>
      </c>
      <c r="E8">
        <v>7196</v>
      </c>
      <c r="F8" s="3" t="str" cm="1">
        <f t="array" ref="F8">IFERROR(_xlfn.XLOOKUP(TEXT(E8,"0000"),TEXT(Catalog!A:A,"0000"),Catalog!B:B),"")</f>
        <v xml:space="preserve">INB.KAST MP56 METALBOX NG     </v>
      </c>
      <c r="G8">
        <v>4</v>
      </c>
    </row>
    <row r="9" spans="1:13" x14ac:dyDescent="0.25">
      <c r="A9" t="s">
        <v>5053</v>
      </c>
      <c r="B9">
        <v>2</v>
      </c>
      <c r="C9">
        <v>1</v>
      </c>
      <c r="D9" t="s">
        <v>4457</v>
      </c>
      <c r="E9">
        <v>7195</v>
      </c>
      <c r="F9" s="3" t="str" cm="1">
        <f t="array" ref="F9">IFERROR(_xlfn.XLOOKUP(TEXT(E9,"0000"),TEXT(Catalog!A:A,"0000"),Catalog!B:B),"")</f>
        <v xml:space="preserve">INB.KAST MP42 METALBOX NG     </v>
      </c>
      <c r="G9">
        <v>7</v>
      </c>
    </row>
    <row r="10" spans="1:13" x14ac:dyDescent="0.25">
      <c r="A10" t="s">
        <v>5053</v>
      </c>
      <c r="B10">
        <v>2</v>
      </c>
      <c r="C10">
        <v>1</v>
      </c>
      <c r="D10" t="s">
        <v>4457</v>
      </c>
      <c r="E10">
        <v>7193</v>
      </c>
      <c r="F10" s="3" t="str" cm="1">
        <f t="array" ref="F10">IFERROR(_xlfn.XLOOKUP(TEXT(E10,"0000"),TEXT(Catalog!A:A,"0000"),Catalog!B:B),"")</f>
        <v xml:space="preserve">INB.KAST MP14 METALBOX NG     </v>
      </c>
      <c r="G10">
        <v>8</v>
      </c>
    </row>
    <row r="11" spans="1:13" x14ac:dyDescent="0.25">
      <c r="F11" s="3"/>
    </row>
    <row r="12" spans="1:13" x14ac:dyDescent="0.25">
      <c r="F12" s="3"/>
    </row>
    <row r="13" spans="1:13" ht="24" x14ac:dyDescent="0.4">
      <c r="D13" s="35" t="s">
        <v>4514</v>
      </c>
      <c r="E13" s="36"/>
      <c r="F13" s="36"/>
      <c r="G13" s="36"/>
      <c r="H13" s="36"/>
      <c r="I13" s="36"/>
      <c r="J13" s="37"/>
      <c r="K13" s="38" t="s">
        <v>4459</v>
      </c>
      <c r="L13" s="13" t="s">
        <v>4432</v>
      </c>
      <c r="M13" s="40" t="s">
        <v>4460</v>
      </c>
    </row>
    <row r="14" spans="1:13" ht="18.75" x14ac:dyDescent="0.3">
      <c r="D14" s="11" t="s">
        <v>4445</v>
      </c>
      <c r="E14" s="11" t="s">
        <v>4433</v>
      </c>
      <c r="F14" s="11" t="s">
        <v>4434</v>
      </c>
      <c r="G14" s="11" t="s">
        <v>4435</v>
      </c>
      <c r="H14" s="11" t="s">
        <v>4436</v>
      </c>
      <c r="I14" s="11" t="s">
        <v>4444</v>
      </c>
      <c r="J14" s="11" t="s">
        <v>4436</v>
      </c>
      <c r="K14" s="39"/>
      <c r="L14" s="11" t="s">
        <v>4447</v>
      </c>
      <c r="M14" s="41"/>
    </row>
    <row r="15" spans="1:13" x14ac:dyDescent="0.25">
      <c r="A15" t="s">
        <v>5053</v>
      </c>
      <c r="B15">
        <v>2</v>
      </c>
      <c r="C15">
        <v>2</v>
      </c>
      <c r="D15" t="s">
        <v>4457</v>
      </c>
      <c r="E15">
        <v>7144</v>
      </c>
      <c r="F15" s="3" t="str" cm="1">
        <f t="array" ref="F15">IFERROR(_xlfn.XLOOKUP(TEXT(E15,"0000"),TEXT(Catalog!A:A,"0000"),Catalog!B:B),"")</f>
        <v xml:space="preserve">OPB.KAST WD 6MD R1306BR1      </v>
      </c>
      <c r="G15">
        <v>8</v>
      </c>
    </row>
    <row r="16" spans="1:13" x14ac:dyDescent="0.25">
      <c r="A16" t="s">
        <v>5053</v>
      </c>
      <c r="B16">
        <v>2</v>
      </c>
      <c r="C16">
        <v>2</v>
      </c>
      <c r="D16" t="s">
        <v>4457</v>
      </c>
      <c r="E16">
        <v>7148</v>
      </c>
      <c r="F16" s="3" t="str" cm="1">
        <f t="array" ref="F16">IFERROR(_xlfn.XLOOKUP(TEXT(E16,"0000"),TEXT(Catalog!A:A,"0000"),Catalog!B:B),"")</f>
        <v xml:space="preserve">OPB.KAST WD 8MD 1308BR1       </v>
      </c>
      <c r="G16">
        <v>6</v>
      </c>
    </row>
    <row r="17" spans="1:13" x14ac:dyDescent="0.25">
      <c r="A17" t="s">
        <v>5053</v>
      </c>
      <c r="B17">
        <v>2</v>
      </c>
      <c r="C17">
        <v>2</v>
      </c>
      <c r="D17" t="s">
        <v>4457</v>
      </c>
      <c r="E17">
        <v>7168</v>
      </c>
      <c r="F17" s="3" t="str" cm="1">
        <f t="array" ref="F17">IFERROR(_xlfn.XLOOKUP(TEXT(E17,"0000"),TEXT(Catalog!A:A,"0000"),Catalog!B:B),"")</f>
        <v xml:space="preserve">OPB.KAST WD 36MD 1336PR1      </v>
      </c>
      <c r="G17">
        <v>2</v>
      </c>
    </row>
    <row r="18" spans="1:13" x14ac:dyDescent="0.25">
      <c r="A18" t="s">
        <v>5053</v>
      </c>
      <c r="B18">
        <v>2</v>
      </c>
      <c r="C18">
        <v>2</v>
      </c>
      <c r="D18" t="s">
        <v>4457</v>
      </c>
      <c r="E18">
        <v>7194</v>
      </c>
      <c r="F18" s="3" t="str" cm="1">
        <f t="array" ref="F18">IFERROR(_xlfn.XLOOKUP(TEXT(E18,"0000"),TEXT(Catalog!A:A,"0000"),Catalog!B:B),"")</f>
        <v xml:space="preserve">INB.KAST MP28 METALBOX NG     </v>
      </c>
      <c r="G18">
        <v>12</v>
      </c>
    </row>
    <row r="21" spans="1:13" ht="24" x14ac:dyDescent="0.4">
      <c r="D21" s="35" t="s">
        <v>4515</v>
      </c>
      <c r="E21" s="36"/>
      <c r="F21" s="36"/>
      <c r="G21" s="36"/>
      <c r="H21" s="36"/>
      <c r="I21" s="36"/>
      <c r="J21" s="37"/>
      <c r="K21" s="38" t="s">
        <v>4459</v>
      </c>
      <c r="L21" s="13" t="s">
        <v>4432</v>
      </c>
      <c r="M21" s="40" t="s">
        <v>4460</v>
      </c>
    </row>
    <row r="22" spans="1:13" ht="18.75" x14ac:dyDescent="0.3">
      <c r="D22" s="11" t="s">
        <v>4445</v>
      </c>
      <c r="E22" s="11" t="s">
        <v>4433</v>
      </c>
      <c r="F22" s="11" t="s">
        <v>4434</v>
      </c>
      <c r="G22" s="11" t="s">
        <v>4435</v>
      </c>
      <c r="H22" s="11" t="s">
        <v>4436</v>
      </c>
      <c r="I22" s="11" t="s">
        <v>4444</v>
      </c>
      <c r="J22" s="11" t="s">
        <v>4436</v>
      </c>
      <c r="K22" s="39"/>
      <c r="L22" s="11" t="s">
        <v>4447</v>
      </c>
      <c r="M22" s="41"/>
    </row>
    <row r="23" spans="1:13" x14ac:dyDescent="0.25">
      <c r="A23" t="s">
        <v>5053</v>
      </c>
      <c r="B23">
        <v>2</v>
      </c>
      <c r="C23">
        <v>3</v>
      </c>
      <c r="D23" t="s">
        <v>4457</v>
      </c>
      <c r="E23">
        <v>1507</v>
      </c>
      <c r="F23" s="3" t="str" cm="1">
        <f t="array" ref="F23">IFERROR(_xlfn.XLOOKUP(TEXT(E23,"0000"),TEXT(Catalog!A:A,"0000"),Catalog!B:B),"")</f>
        <v xml:space="preserve">OPBOUWKAST4-RIJ VA 424 T 48PE </v>
      </c>
      <c r="G23">
        <v>2</v>
      </c>
    </row>
    <row r="24" spans="1:13" x14ac:dyDescent="0.25">
      <c r="A24" t="s">
        <v>5053</v>
      </c>
      <c r="B24">
        <v>2</v>
      </c>
      <c r="C24">
        <v>3</v>
      </c>
      <c r="D24" t="s">
        <v>4457</v>
      </c>
      <c r="E24">
        <v>1665</v>
      </c>
      <c r="F24" s="3" t="str" cm="1">
        <f t="array" ref="F24">IFERROR(_xlfn.XLOOKUP(TEXT(E24,"0000"),TEXT(Catalog!A:A,"0000"),Catalog!B:B),"")</f>
        <v xml:space="preserve">MOELLER INB BF-U-5/120        </v>
      </c>
      <c r="G24">
        <v>2</v>
      </c>
    </row>
    <row r="25" spans="1:13" x14ac:dyDescent="0.25">
      <c r="A25" t="s">
        <v>5053</v>
      </c>
      <c r="B25">
        <v>2</v>
      </c>
      <c r="C25">
        <v>3</v>
      </c>
      <c r="D25" t="s">
        <v>4457</v>
      </c>
      <c r="E25">
        <v>7151</v>
      </c>
      <c r="F25" s="3" t="str" cm="1">
        <f t="array" ref="F25">IFERROR(_xlfn.XLOOKUP(TEXT(E25,"0000"),TEXT(Catalog!A:A,"0000"),Catalog!B:B),"")</f>
        <v xml:space="preserve">OPB.KAST 28MD 5281R1          </v>
      </c>
      <c r="G25">
        <v>31</v>
      </c>
    </row>
    <row r="26" spans="1:13" x14ac:dyDescent="0.25">
      <c r="A26" t="s">
        <v>5053</v>
      </c>
      <c r="B26">
        <v>2</v>
      </c>
      <c r="C26">
        <v>3</v>
      </c>
      <c r="D26" t="s">
        <v>4457</v>
      </c>
      <c r="E26">
        <v>1657</v>
      </c>
      <c r="F26" s="3" t="str" cm="1">
        <f t="array" ref="F26">IFERROR(_xlfn.XLOOKUP(TEXT(E26,"0000"),TEXT(Catalog!A:A,"0000"),Catalog!B:B),"")</f>
        <v xml:space="preserve">MOELLER OPB BF-0-5/120        </v>
      </c>
      <c r="G26">
        <v>1</v>
      </c>
    </row>
    <row r="27" spans="1:13" x14ac:dyDescent="0.25">
      <c r="A27" t="s">
        <v>5053</v>
      </c>
      <c r="B27">
        <v>2</v>
      </c>
      <c r="C27">
        <v>3</v>
      </c>
      <c r="D27" t="s">
        <v>4457</v>
      </c>
      <c r="F27" t="s">
        <v>4531</v>
      </c>
      <c r="M27" t="s">
        <v>4530</v>
      </c>
    </row>
    <row r="30" spans="1:13" ht="24" x14ac:dyDescent="0.4">
      <c r="D30" s="35" t="s">
        <v>4516</v>
      </c>
      <c r="E30" s="36"/>
      <c r="F30" s="36"/>
      <c r="G30" s="36"/>
      <c r="H30" s="36"/>
      <c r="I30" s="36"/>
      <c r="J30" s="37"/>
      <c r="K30" s="38" t="s">
        <v>4459</v>
      </c>
      <c r="L30" s="13" t="s">
        <v>4432</v>
      </c>
      <c r="M30" s="40" t="s">
        <v>4460</v>
      </c>
    </row>
    <row r="31" spans="1:13" ht="18.75" x14ac:dyDescent="0.3">
      <c r="D31" s="11" t="s">
        <v>4445</v>
      </c>
      <c r="E31" s="11" t="s">
        <v>4433</v>
      </c>
      <c r="F31" s="11" t="s">
        <v>4434</v>
      </c>
      <c r="G31" s="11" t="s">
        <v>4435</v>
      </c>
      <c r="H31" s="11" t="s">
        <v>4436</v>
      </c>
      <c r="I31" s="11" t="s">
        <v>4444</v>
      </c>
      <c r="J31" s="11" t="s">
        <v>4436</v>
      </c>
      <c r="K31" s="39"/>
      <c r="L31" s="11" t="s">
        <v>4447</v>
      </c>
      <c r="M31" s="41"/>
    </row>
    <row r="32" spans="1:13" x14ac:dyDescent="0.25">
      <c r="A32" t="s">
        <v>5053</v>
      </c>
      <c r="B32">
        <v>2</v>
      </c>
      <c r="C32">
        <v>4</v>
      </c>
      <c r="D32" t="s">
        <v>4457</v>
      </c>
      <c r="E32">
        <v>1664</v>
      </c>
      <c r="F32" s="3" t="str" cm="1">
        <f t="array" ref="F32">IFERROR(_xlfn.XLOOKUP(TEXT(E32,"0000"),TEXT(Catalog!A:A,"0000"),Catalog!B:B),"")</f>
        <v xml:space="preserve">MOELLER INB BF-U-4/96         </v>
      </c>
      <c r="G32">
        <v>7</v>
      </c>
    </row>
    <row r="33" spans="1:13" x14ac:dyDescent="0.25">
      <c r="A33" t="s">
        <v>5053</v>
      </c>
      <c r="B33">
        <v>2</v>
      </c>
      <c r="C33">
        <v>4</v>
      </c>
      <c r="D33" t="s">
        <v>4457</v>
      </c>
      <c r="E33">
        <v>7147</v>
      </c>
      <c r="F33" s="3" t="str" cm="1">
        <f t="array" ref="F33">IFERROR(_xlfn.XLOOKUP(TEXT(E33,"0000"),TEXT(Catalog!A:A,"0000"),Catalog!B:B),"")</f>
        <v xml:space="preserve">OPB.KAST WD 48MD 1348R1       </v>
      </c>
      <c r="G33">
        <v>6</v>
      </c>
    </row>
    <row r="34" spans="1:13" x14ac:dyDescent="0.25">
      <c r="A34" t="s">
        <v>5053</v>
      </c>
      <c r="B34">
        <v>2</v>
      </c>
      <c r="C34">
        <v>4</v>
      </c>
      <c r="D34" t="s">
        <v>4457</v>
      </c>
      <c r="E34">
        <v>7184</v>
      </c>
      <c r="F34" s="3" t="str" cm="1">
        <f t="array" ref="F34">IFERROR(_xlfn.XLOOKUP(TEXT(E34,"0000"),TEXT(Catalog!A:A,"0000"),Catalog!B:B),"")</f>
        <v xml:space="preserve">INB.KAST MP14 METALBOX        </v>
      </c>
      <c r="G34">
        <v>2</v>
      </c>
    </row>
    <row r="35" spans="1:13" x14ac:dyDescent="0.25">
      <c r="A35" t="s">
        <v>5053</v>
      </c>
      <c r="B35">
        <v>2</v>
      </c>
      <c r="C35">
        <v>4</v>
      </c>
      <c r="D35" t="s">
        <v>4457</v>
      </c>
      <c r="E35">
        <v>7193</v>
      </c>
      <c r="F35" s="3" t="str" cm="1">
        <f t="array" ref="F35">IFERROR(_xlfn.XLOOKUP(TEXT(E35,"0000"),TEXT(Catalog!A:A,"0000"),Catalog!B:B),"")</f>
        <v xml:space="preserve">INB.KAST MP14 METALBOX NG     </v>
      </c>
      <c r="G35">
        <v>22</v>
      </c>
    </row>
    <row r="36" spans="1:13" x14ac:dyDescent="0.25">
      <c r="C36" t="s">
        <v>5056</v>
      </c>
    </row>
    <row r="38" spans="1:13" ht="24" x14ac:dyDescent="0.4">
      <c r="D38" s="35" t="s">
        <v>4517</v>
      </c>
      <c r="E38" s="36"/>
      <c r="F38" s="36"/>
      <c r="G38" s="36"/>
      <c r="H38" s="36"/>
      <c r="I38" s="36"/>
      <c r="J38" s="37"/>
      <c r="K38" s="38" t="s">
        <v>4459</v>
      </c>
      <c r="L38" s="13" t="s">
        <v>4432</v>
      </c>
      <c r="M38" s="40" t="s">
        <v>4460</v>
      </c>
    </row>
    <row r="39" spans="1:13" ht="18.75" x14ac:dyDescent="0.3">
      <c r="D39" s="11" t="s">
        <v>4445</v>
      </c>
      <c r="E39" s="11" t="s">
        <v>4433</v>
      </c>
      <c r="F39" s="11" t="s">
        <v>4434</v>
      </c>
      <c r="G39" s="11" t="s">
        <v>4435</v>
      </c>
      <c r="H39" s="11" t="s">
        <v>4436</v>
      </c>
      <c r="I39" s="11" t="s">
        <v>4444</v>
      </c>
      <c r="J39" s="11" t="s">
        <v>4436</v>
      </c>
      <c r="K39" s="39"/>
      <c r="L39" s="11" t="s">
        <v>4447</v>
      </c>
      <c r="M39" s="41"/>
    </row>
    <row r="40" spans="1:13" x14ac:dyDescent="0.25">
      <c r="A40" t="s">
        <v>5053</v>
      </c>
      <c r="B40">
        <v>2</v>
      </c>
      <c r="C40">
        <v>5</v>
      </c>
      <c r="D40" t="s">
        <v>4457</v>
      </c>
      <c r="E40">
        <v>1985</v>
      </c>
      <c r="F40" s="3" t="str" cm="1">
        <f t="array" ref="F40">IFERROR(_xlfn.XLOOKUP(TEXT(E40,"0000"),TEXT(Catalog!A:A,"0000"),Catalog!B:B),"")</f>
        <v xml:space="preserve">MESPATROON HOUDER 160 A-NH-00 </v>
      </c>
      <c r="G40">
        <v>36</v>
      </c>
    </row>
    <row r="41" spans="1:13" x14ac:dyDescent="0.25">
      <c r="A41" t="s">
        <v>5053</v>
      </c>
      <c r="B41">
        <v>2</v>
      </c>
      <c r="C41">
        <v>5</v>
      </c>
      <c r="D41" t="s">
        <v>4457</v>
      </c>
      <c r="E41">
        <v>1988</v>
      </c>
      <c r="F41" s="3" t="str" cm="1">
        <f t="array" ref="F41">IFERROR(_xlfn.XLOOKUP(TEXT(E41,"0000"),TEXT(Catalog!A:A,"0000"),Catalog!B:B),"")</f>
        <v xml:space="preserve">MESPATROON HOUDER 400 A-NH-2  </v>
      </c>
      <c r="G41">
        <v>22</v>
      </c>
    </row>
    <row r="42" spans="1:13" x14ac:dyDescent="0.25">
      <c r="A42" t="s">
        <v>5053</v>
      </c>
      <c r="B42">
        <v>2</v>
      </c>
      <c r="C42">
        <v>5</v>
      </c>
      <c r="D42" t="s">
        <v>4457</v>
      </c>
      <c r="E42">
        <v>1987</v>
      </c>
      <c r="F42" s="3" t="str" cm="1">
        <f t="array" ref="F42">IFERROR(_xlfn.XLOOKUP(TEXT(E42,"0000"),TEXT(Catalog!A:A,"0000"),Catalog!B:B),"")</f>
        <v xml:space="preserve">MESPATROON HOUDER 250 A-NH-1  </v>
      </c>
      <c r="G42">
        <v>1</v>
      </c>
    </row>
    <row r="43" spans="1:13" x14ac:dyDescent="0.25">
      <c r="A43" t="s">
        <v>5053</v>
      </c>
      <c r="B43">
        <v>2</v>
      </c>
      <c r="C43">
        <v>5</v>
      </c>
      <c r="D43" t="s">
        <v>4457</v>
      </c>
      <c r="E43">
        <v>1659</v>
      </c>
      <c r="F43" s="3" t="str" cm="1">
        <f t="array" ref="F43">IFERROR(_xlfn.XLOOKUP(TEXT(E43,"0000"),TEXT(Catalog!A:A,"0000"),Catalog!B:B),"")</f>
        <v xml:space="preserve">MOELLER OPB BF-0-3/72         </v>
      </c>
      <c r="G43">
        <v>7</v>
      </c>
    </row>
    <row r="46" spans="1:13" ht="24" x14ac:dyDescent="0.4">
      <c r="D46" s="35" t="s">
        <v>4518</v>
      </c>
      <c r="E46" s="36"/>
      <c r="F46" s="36"/>
      <c r="G46" s="36"/>
      <c r="H46" s="36"/>
      <c r="I46" s="36"/>
      <c r="J46" s="37"/>
      <c r="K46" s="38" t="s">
        <v>4459</v>
      </c>
      <c r="L46" s="13" t="s">
        <v>4432</v>
      </c>
      <c r="M46" s="40" t="s">
        <v>4460</v>
      </c>
    </row>
    <row r="47" spans="1:13" ht="18.75" x14ac:dyDescent="0.3">
      <c r="D47" s="11" t="s">
        <v>4445</v>
      </c>
      <c r="E47" s="11" t="s">
        <v>4433</v>
      </c>
      <c r="F47" s="11" t="s">
        <v>4434</v>
      </c>
      <c r="G47" s="11" t="s">
        <v>4435</v>
      </c>
      <c r="H47" s="11" t="s">
        <v>4436</v>
      </c>
      <c r="I47" s="11" t="s">
        <v>4444</v>
      </c>
      <c r="J47" s="11" t="s">
        <v>4436</v>
      </c>
      <c r="K47" s="39"/>
      <c r="L47" s="11" t="s">
        <v>4447</v>
      </c>
      <c r="M47" s="41"/>
    </row>
    <row r="48" spans="1:13" x14ac:dyDescent="0.25">
      <c r="A48" t="s">
        <v>5053</v>
      </c>
      <c r="B48">
        <v>2</v>
      </c>
      <c r="C48">
        <v>6</v>
      </c>
      <c r="D48" t="s">
        <v>4457</v>
      </c>
      <c r="E48">
        <v>7191</v>
      </c>
      <c r="F48" s="3" t="str" cm="1">
        <f t="array" ref="F48">IFERROR(_xlfn.XLOOKUP(TEXT(E48,"0000"),TEXT(Catalog!A:A,"0000"),Catalog!B:B),"")</f>
        <v xml:space="preserve">EARTH TERMINAL GREEN          </v>
      </c>
      <c r="H48">
        <v>53</v>
      </c>
    </row>
    <row r="49" spans="1:13" x14ac:dyDescent="0.25">
      <c r="A49" t="s">
        <v>5053</v>
      </c>
      <c r="B49">
        <v>2</v>
      </c>
      <c r="C49">
        <v>6</v>
      </c>
      <c r="D49" t="s">
        <v>4457</v>
      </c>
      <c r="E49">
        <v>1658</v>
      </c>
      <c r="F49" s="3" t="str" cm="1">
        <f t="array" ref="F49">IFERROR(_xlfn.XLOOKUP(TEXT(E49,"0000"),TEXT(Catalog!A:A,"0000"),Catalog!B:B),"")</f>
        <v xml:space="preserve">MOELLER OPB BF-0-6/144        </v>
      </c>
      <c r="G49">
        <v>3</v>
      </c>
    </row>
    <row r="50" spans="1:13" x14ac:dyDescent="0.25">
      <c r="A50" t="s">
        <v>5053</v>
      </c>
      <c r="B50">
        <v>2</v>
      </c>
      <c r="C50">
        <v>6</v>
      </c>
      <c r="D50" t="s">
        <v>4457</v>
      </c>
      <c r="E50">
        <v>1666</v>
      </c>
      <c r="F50" s="3" t="str" cm="1">
        <f t="array" ref="F50">IFERROR(_xlfn.XLOOKUP(TEXT(E50,"0000"),TEXT(Catalog!A:A,"0000"),Catalog!B:B),"")</f>
        <v xml:space="preserve">MOELLER INB BF-U-6/144        </v>
      </c>
      <c r="G50">
        <v>5</v>
      </c>
    </row>
    <row r="51" spans="1:13" x14ac:dyDescent="0.25">
      <c r="A51" t="s">
        <v>5053</v>
      </c>
      <c r="B51">
        <v>2</v>
      </c>
      <c r="C51">
        <v>6</v>
      </c>
      <c r="D51" t="s">
        <v>4457</v>
      </c>
      <c r="E51" s="16">
        <v>7186</v>
      </c>
      <c r="F51" s="3" t="str" cm="1">
        <f t="array" ref="F51">IFERROR(_xlfn.XLOOKUP(TEXT(E51,"0000"),TEXT(Catalog!A:A,"0000"),Catalog!B:B),"")</f>
        <v xml:space="preserve">INB.KAST MP42 METALBOX        </v>
      </c>
    </row>
    <row r="52" spans="1:13" x14ac:dyDescent="0.25">
      <c r="A52" t="s">
        <v>5053</v>
      </c>
      <c r="B52">
        <v>2</v>
      </c>
      <c r="C52">
        <v>6</v>
      </c>
      <c r="D52" t="s">
        <v>4457</v>
      </c>
      <c r="E52" s="18">
        <v>7195</v>
      </c>
      <c r="F52" s="3" t="str" cm="1">
        <f t="array" ref="F52">IFERROR(_xlfn.XLOOKUP(TEXT(E52,"0000"),TEXT(Catalog!A:A,"0000"),Catalog!B:B),"")</f>
        <v xml:space="preserve">INB.KAST MP42 METALBOX NG     </v>
      </c>
      <c r="G52">
        <v>11</v>
      </c>
    </row>
    <row r="53" spans="1:13" x14ac:dyDescent="0.25">
      <c r="A53" t="s">
        <v>5053</v>
      </c>
      <c r="B53">
        <v>2</v>
      </c>
      <c r="C53">
        <v>6</v>
      </c>
      <c r="D53" t="s">
        <v>4457</v>
      </c>
      <c r="E53">
        <v>1657</v>
      </c>
      <c r="F53" s="3" t="str" cm="1">
        <f t="array" ref="F53">IFERROR(_xlfn.XLOOKUP(TEXT(E53,"0000"),TEXT(Catalog!A:A,"0000"),Catalog!B:B),"")</f>
        <v xml:space="preserve">MOELLER OPB BF-0-5/120        </v>
      </c>
      <c r="G53">
        <v>1</v>
      </c>
    </row>
    <row r="55" spans="1:13" ht="24" x14ac:dyDescent="0.4">
      <c r="D55" s="35" t="s">
        <v>4532</v>
      </c>
      <c r="E55" s="36"/>
      <c r="F55" s="36"/>
      <c r="G55" s="36"/>
      <c r="H55" s="36"/>
      <c r="I55" s="36"/>
      <c r="J55" s="37"/>
      <c r="K55" s="38" t="s">
        <v>4459</v>
      </c>
      <c r="L55" s="13" t="s">
        <v>4432</v>
      </c>
      <c r="M55" s="40" t="s">
        <v>4460</v>
      </c>
    </row>
    <row r="56" spans="1:13" ht="18.75" x14ac:dyDescent="0.3">
      <c r="D56" s="11" t="s">
        <v>4445</v>
      </c>
      <c r="E56" s="11" t="s">
        <v>4433</v>
      </c>
      <c r="F56" s="11" t="s">
        <v>4434</v>
      </c>
      <c r="G56" s="11" t="s">
        <v>4435</v>
      </c>
      <c r="H56" s="11" t="s">
        <v>4436</v>
      </c>
      <c r="I56" s="11" t="s">
        <v>4444</v>
      </c>
      <c r="J56" s="11" t="s">
        <v>4436</v>
      </c>
      <c r="K56" s="39"/>
      <c r="L56" s="11" t="s">
        <v>4447</v>
      </c>
      <c r="M56" s="41"/>
    </row>
    <row r="57" spans="1:13" x14ac:dyDescent="0.25">
      <c r="A57" t="s">
        <v>5053</v>
      </c>
      <c r="B57">
        <v>2</v>
      </c>
      <c r="C57">
        <v>37</v>
      </c>
      <c r="D57" t="s">
        <v>4457</v>
      </c>
      <c r="E57">
        <v>7167</v>
      </c>
      <c r="F57" s="3" t="str" cm="1">
        <f t="array" ref="F57">IFERROR(_xlfn.XLOOKUP(TEXT(E57,"0000"),TEXT(Catalog!A:A,"0000"),Catalog!B:B),"")</f>
        <v xml:space="preserve">OPB.KAST 12MD 8703R1          </v>
      </c>
      <c r="G57">
        <v>44</v>
      </c>
    </row>
    <row r="58" spans="1:13" x14ac:dyDescent="0.25">
      <c r="A58" t="s">
        <v>5053</v>
      </c>
      <c r="B58">
        <v>2</v>
      </c>
      <c r="C58">
        <v>37</v>
      </c>
      <c r="D58" t="s">
        <v>4457</v>
      </c>
      <c r="E58">
        <v>7153</v>
      </c>
      <c r="F58" s="3" t="str" cm="1">
        <f t="array" ref="F58">IFERROR(_xlfn.XLOOKUP(TEXT(E58,"0000"),TEXT(Catalog!A:A,"0000"),Catalog!B:B),"")</f>
        <v xml:space="preserve">OPB.KAST 56MD 5271R1          </v>
      </c>
      <c r="G58">
        <v>13</v>
      </c>
    </row>
    <row r="59" spans="1:13" x14ac:dyDescent="0.25">
      <c r="A59" t="s">
        <v>5053</v>
      </c>
      <c r="B59">
        <v>2</v>
      </c>
      <c r="C59">
        <v>37</v>
      </c>
      <c r="D59" t="s">
        <v>4457</v>
      </c>
      <c r="E59">
        <v>7169</v>
      </c>
      <c r="F59" s="3" t="str" cm="1">
        <f t="array" ref="F59">IFERROR(_xlfn.XLOOKUP(TEXT(E59,"0000"),TEXT(Catalog!A:A,"0000"),Catalog!B:B),"")</f>
        <v xml:space="preserve">OPB.KAST WD 11MD BW 1311AR1   </v>
      </c>
      <c r="G59">
        <v>1</v>
      </c>
    </row>
    <row r="60" spans="1:13" x14ac:dyDescent="0.25">
      <c r="F60" s="3"/>
    </row>
    <row r="61" spans="1:13" x14ac:dyDescent="0.25">
      <c r="F61" s="3"/>
    </row>
    <row r="62" spans="1:13" ht="24" x14ac:dyDescent="0.4">
      <c r="D62" s="35" t="s">
        <v>4533</v>
      </c>
      <c r="E62" s="36"/>
      <c r="F62" s="36"/>
      <c r="G62" s="36"/>
      <c r="H62" s="36"/>
      <c r="I62" s="36"/>
      <c r="J62" s="37"/>
      <c r="K62" s="38" t="s">
        <v>4459</v>
      </c>
      <c r="L62" s="13" t="s">
        <v>4432</v>
      </c>
      <c r="M62" s="40" t="s">
        <v>4460</v>
      </c>
    </row>
    <row r="63" spans="1:13" ht="18.75" x14ac:dyDescent="0.3">
      <c r="D63" s="11" t="s">
        <v>4445</v>
      </c>
      <c r="E63" s="11" t="s">
        <v>4433</v>
      </c>
      <c r="F63" s="11" t="s">
        <v>4434</v>
      </c>
      <c r="G63" s="11" t="s">
        <v>4435</v>
      </c>
      <c r="H63" s="11" t="s">
        <v>4436</v>
      </c>
      <c r="I63" s="11" t="s">
        <v>4444</v>
      </c>
      <c r="J63" s="11" t="s">
        <v>4436</v>
      </c>
      <c r="K63" s="39"/>
      <c r="L63" s="11" t="s">
        <v>4447</v>
      </c>
      <c r="M63" s="41"/>
    </row>
    <row r="64" spans="1:13" x14ac:dyDescent="0.25">
      <c r="A64" t="s">
        <v>5053</v>
      </c>
      <c r="B64">
        <v>2</v>
      </c>
      <c r="C64">
        <v>38</v>
      </c>
      <c r="D64" t="s">
        <v>4457</v>
      </c>
      <c r="E64">
        <v>1664</v>
      </c>
      <c r="F64" s="3" t="str" cm="1">
        <f t="array" ref="F64">IFERROR(_xlfn.XLOOKUP(TEXT(E64,"0000"),TEXT(Catalog!A:A,"0000"),Catalog!B:B),"")</f>
        <v xml:space="preserve">MOELLER INB BF-U-4/96         </v>
      </c>
      <c r="G64">
        <v>2</v>
      </c>
    </row>
    <row r="65" spans="1:13" x14ac:dyDescent="0.25">
      <c r="A65" t="s">
        <v>5053</v>
      </c>
      <c r="B65">
        <v>2</v>
      </c>
      <c r="C65">
        <v>38</v>
      </c>
      <c r="D65" t="s">
        <v>4457</v>
      </c>
      <c r="E65">
        <v>7146</v>
      </c>
      <c r="F65" s="3" t="str" cm="1">
        <f t="array" ref="F65">IFERROR(_xlfn.XLOOKUP(TEXT(E65,"0000"),TEXT(Catalog!A:A,"0000"),Catalog!B:B),"")</f>
        <v xml:space="preserve">OPB.KAST WD 8MD 1308PR1 BW    </v>
      </c>
      <c r="G65">
        <v>10</v>
      </c>
    </row>
    <row r="66" spans="1:13" x14ac:dyDescent="0.25">
      <c r="A66" t="s">
        <v>5053</v>
      </c>
      <c r="B66">
        <v>2</v>
      </c>
      <c r="C66">
        <v>38</v>
      </c>
      <c r="D66" t="s">
        <v>4457</v>
      </c>
      <c r="E66">
        <v>7152</v>
      </c>
      <c r="F66" s="3" t="str" cm="1">
        <f t="array" ref="F66">IFERROR(_xlfn.XLOOKUP(TEXT(E66,"0000"),TEXT(Catalog!A:A,"0000"),Catalog!B:B),"")</f>
        <v xml:space="preserve">OPB.KAST 42MD 5261R1          </v>
      </c>
      <c r="G66">
        <v>15</v>
      </c>
    </row>
    <row r="69" spans="1:13" ht="24" x14ac:dyDescent="0.4">
      <c r="D69" s="35" t="s">
        <v>4534</v>
      </c>
      <c r="E69" s="36"/>
      <c r="F69" s="36"/>
      <c r="G69" s="36"/>
      <c r="H69" s="36"/>
      <c r="I69" s="36"/>
      <c r="J69" s="37"/>
      <c r="K69" s="38" t="s">
        <v>4459</v>
      </c>
      <c r="L69" s="13" t="s">
        <v>4432</v>
      </c>
      <c r="M69" s="40" t="s">
        <v>4460</v>
      </c>
    </row>
    <row r="70" spans="1:13" ht="18.75" x14ac:dyDescent="0.3">
      <c r="D70" s="11" t="s">
        <v>4445</v>
      </c>
      <c r="E70" s="11" t="s">
        <v>4433</v>
      </c>
      <c r="F70" s="11" t="s">
        <v>4434</v>
      </c>
      <c r="G70" s="11" t="s">
        <v>4435</v>
      </c>
      <c r="H70" s="11" t="s">
        <v>4436</v>
      </c>
      <c r="I70" s="11" t="s">
        <v>4444</v>
      </c>
      <c r="J70" s="11" t="s">
        <v>4436</v>
      </c>
      <c r="K70" s="39"/>
      <c r="L70" s="11" t="s">
        <v>4447</v>
      </c>
      <c r="M70" s="41"/>
    </row>
    <row r="71" spans="1:13" x14ac:dyDescent="0.25">
      <c r="A71" t="s">
        <v>5053</v>
      </c>
      <c r="B71">
        <v>2</v>
      </c>
      <c r="C71">
        <v>39</v>
      </c>
      <c r="D71" t="s">
        <v>4457</v>
      </c>
      <c r="E71">
        <v>1661</v>
      </c>
      <c r="F71" s="3" t="str" cm="1">
        <f t="array" ref="F71">IFERROR(_xlfn.XLOOKUP(TEXT(E71,"0000"),TEXT(Catalog!A:A,"0000"),Catalog!B:B),"")</f>
        <v xml:space="preserve">MOELLER INB BF-U-5/165        </v>
      </c>
      <c r="G71">
        <v>2</v>
      </c>
    </row>
    <row r="72" spans="1:13" x14ac:dyDescent="0.25">
      <c r="A72" t="s">
        <v>5053</v>
      </c>
      <c r="B72">
        <v>2</v>
      </c>
      <c r="C72">
        <v>39</v>
      </c>
      <c r="D72" t="s">
        <v>4457</v>
      </c>
      <c r="E72">
        <v>1657</v>
      </c>
      <c r="F72" s="3" t="str" cm="1">
        <f t="array" ref="F72">IFERROR(_xlfn.XLOOKUP(TEXT(E72,"0000"),TEXT(Catalog!A:A,"0000"),Catalog!B:B),"")</f>
        <v xml:space="preserve">MOELLER OPB BF-0-5/120        </v>
      </c>
      <c r="G72">
        <v>1</v>
      </c>
    </row>
    <row r="73" spans="1:13" x14ac:dyDescent="0.25">
      <c r="A73" t="s">
        <v>5053</v>
      </c>
      <c r="B73">
        <v>2</v>
      </c>
      <c r="C73">
        <v>39</v>
      </c>
      <c r="D73" t="s">
        <v>4457</v>
      </c>
      <c r="E73">
        <v>7145</v>
      </c>
      <c r="F73" s="3" t="str" cm="1">
        <f t="array" ref="F73">IFERROR(_xlfn.XLOOKUP(TEXT(E73,"0000"),TEXT(Catalog!A:A,"0000"),Catalog!B:B),"")</f>
        <v xml:space="preserve">BW.KAST WD 32MD 1332PR1       </v>
      </c>
      <c r="G73">
        <v>9</v>
      </c>
    </row>
    <row r="74" spans="1:13" x14ac:dyDescent="0.25">
      <c r="A74" t="s">
        <v>5053</v>
      </c>
      <c r="B74">
        <v>2</v>
      </c>
      <c r="C74">
        <v>39</v>
      </c>
      <c r="D74" t="s">
        <v>4457</v>
      </c>
      <c r="E74">
        <v>7141</v>
      </c>
      <c r="F74" s="3" t="str" cm="1">
        <f t="array" ref="F74">IFERROR(_xlfn.XLOOKUP(TEXT(E74,"0000"),TEXT(Catalog!A:A,"0000"),Catalog!B:B),"")</f>
        <v xml:space="preserve">BW.KAST WD 16MD  1316P-R1     </v>
      </c>
      <c r="G74">
        <v>6</v>
      </c>
    </row>
    <row r="75" spans="1:13" x14ac:dyDescent="0.25">
      <c r="F75" t="s">
        <v>4538</v>
      </c>
      <c r="M75" t="s">
        <v>4530</v>
      </c>
    </row>
    <row r="76" spans="1:13" x14ac:dyDescent="0.25">
      <c r="F76" t="s">
        <v>4539</v>
      </c>
      <c r="M76" t="s">
        <v>4530</v>
      </c>
    </row>
    <row r="79" spans="1:13" ht="24" x14ac:dyDescent="0.4">
      <c r="D79" s="35" t="s">
        <v>4535</v>
      </c>
      <c r="E79" s="36"/>
      <c r="F79" s="36"/>
      <c r="G79" s="36"/>
      <c r="H79" s="36"/>
      <c r="I79" s="36"/>
      <c r="J79" s="37"/>
      <c r="K79" s="38" t="s">
        <v>4459</v>
      </c>
      <c r="L79" s="13" t="s">
        <v>4432</v>
      </c>
      <c r="M79" s="40" t="s">
        <v>4460</v>
      </c>
    </row>
    <row r="80" spans="1:13" ht="18.75" x14ac:dyDescent="0.3">
      <c r="D80" s="11" t="s">
        <v>4445</v>
      </c>
      <c r="E80" s="11" t="s">
        <v>4433</v>
      </c>
      <c r="F80" s="11" t="s">
        <v>4434</v>
      </c>
      <c r="G80" s="11" t="s">
        <v>4435</v>
      </c>
      <c r="H80" s="11" t="s">
        <v>4436</v>
      </c>
      <c r="I80" s="11" t="s">
        <v>4444</v>
      </c>
      <c r="J80" s="11" t="s">
        <v>4436</v>
      </c>
      <c r="K80" s="39"/>
      <c r="L80" s="11" t="s">
        <v>4447</v>
      </c>
      <c r="M80" s="41"/>
    </row>
    <row r="81" spans="1:13" x14ac:dyDescent="0.25">
      <c r="A81" t="s">
        <v>5053</v>
      </c>
      <c r="B81">
        <v>2</v>
      </c>
      <c r="C81">
        <v>40</v>
      </c>
      <c r="D81" t="s">
        <v>4457</v>
      </c>
      <c r="E81">
        <v>7150</v>
      </c>
      <c r="F81" s="3" t="str" cm="1">
        <f t="array" ref="F81">IFERROR(_xlfn.XLOOKUP(TEXT(E81,"0000"),TEXT(Catalog!A:A,"0000"),Catalog!B:B),"")</f>
        <v xml:space="preserve">OPB.KAST 14MD 5021R1          </v>
      </c>
      <c r="G81">
        <v>45</v>
      </c>
    </row>
    <row r="82" spans="1:13" x14ac:dyDescent="0.25">
      <c r="A82" t="s">
        <v>5053</v>
      </c>
      <c r="B82">
        <v>2</v>
      </c>
      <c r="C82">
        <v>40</v>
      </c>
      <c r="D82" t="s">
        <v>4457</v>
      </c>
      <c r="E82">
        <v>7149</v>
      </c>
      <c r="F82" s="3" t="str" cm="1">
        <f t="array" ref="F82">IFERROR(_xlfn.XLOOKUP(TEXT(E82,"0000"),TEXT(Catalog!A:A,"0000"),Catalog!B:B),"")</f>
        <v xml:space="preserve">OPB.KAST 8MD 5109R1           </v>
      </c>
      <c r="G82">
        <v>17</v>
      </c>
    </row>
    <row r="83" spans="1:13" x14ac:dyDescent="0.25">
      <c r="A83" t="s">
        <v>5053</v>
      </c>
      <c r="B83">
        <v>2</v>
      </c>
      <c r="C83">
        <v>40</v>
      </c>
      <c r="D83" t="s">
        <v>4457</v>
      </c>
      <c r="E83">
        <v>1656</v>
      </c>
      <c r="F83" s="3" t="str" cm="1">
        <f t="array" ref="F83">IFERROR(_xlfn.XLOOKUP(TEXT(E83,"0000"),TEXT(Catalog!A:A,"0000"),Catalog!B:B),"")</f>
        <v xml:space="preserve">MOELLER OPB BF-0-4/96         </v>
      </c>
      <c r="G83">
        <v>8</v>
      </c>
    </row>
    <row r="86" spans="1:13" ht="24" x14ac:dyDescent="0.4">
      <c r="D86" s="35" t="s">
        <v>4536</v>
      </c>
      <c r="E86" s="36"/>
      <c r="F86" s="36"/>
      <c r="G86" s="36"/>
      <c r="H86" s="36"/>
      <c r="I86" s="36"/>
      <c r="J86" s="37"/>
      <c r="K86" s="38" t="s">
        <v>4459</v>
      </c>
      <c r="L86" s="13" t="s">
        <v>4432</v>
      </c>
      <c r="M86" s="40" t="s">
        <v>4460</v>
      </c>
    </row>
    <row r="87" spans="1:13" ht="18.75" x14ac:dyDescent="0.3">
      <c r="D87" s="11" t="s">
        <v>4445</v>
      </c>
      <c r="E87" s="11" t="s">
        <v>4433</v>
      </c>
      <c r="F87" s="11" t="s">
        <v>4434</v>
      </c>
      <c r="G87" s="11" t="s">
        <v>4435</v>
      </c>
      <c r="H87" s="11" t="s">
        <v>4436</v>
      </c>
      <c r="I87" s="11" t="s">
        <v>4444</v>
      </c>
      <c r="J87" s="11" t="s">
        <v>4436</v>
      </c>
      <c r="K87" s="39"/>
      <c r="L87" s="11" t="s">
        <v>4447</v>
      </c>
      <c r="M87" s="41"/>
    </row>
    <row r="88" spans="1:13" x14ac:dyDescent="0.25">
      <c r="A88" t="s">
        <v>5053</v>
      </c>
      <c r="B88">
        <v>2</v>
      </c>
      <c r="C88">
        <v>41</v>
      </c>
      <c r="D88" t="s">
        <v>4457</v>
      </c>
      <c r="E88">
        <v>3314</v>
      </c>
      <c r="F88" s="3" t="str" cm="1">
        <f t="array" ref="F88">IFERROR(_xlfn.XLOOKUP(TEXT(E88,"0000"),TEXT(Catalog!A:A,"0000"),Catalog!B:B),"")</f>
        <v xml:space="preserve">PICKENS RFTN 150W 7000K FLAT  </v>
      </c>
      <c r="G88">
        <v>3</v>
      </c>
    </row>
    <row r="89" spans="1:13" x14ac:dyDescent="0.25">
      <c r="A89" t="s">
        <v>5053</v>
      </c>
      <c r="B89">
        <v>2</v>
      </c>
      <c r="C89">
        <v>41</v>
      </c>
      <c r="D89" t="s">
        <v>4457</v>
      </c>
      <c r="E89">
        <v>1993</v>
      </c>
      <c r="F89" s="3" t="str" cm="1">
        <f t="array" ref="F89">IFERROR(_xlfn.XLOOKUP(TEXT(E89,"0000"),TEXT(Catalog!A:A,"0000"),Catalog!B:B),"")</f>
        <v xml:space="preserve">SCHAKELKAST MESPATROON 630A   </v>
      </c>
      <c r="G89">
        <v>6</v>
      </c>
    </row>
    <row r="90" spans="1:13" x14ac:dyDescent="0.25">
      <c r="A90" t="s">
        <v>5053</v>
      </c>
      <c r="B90">
        <v>2</v>
      </c>
      <c r="C90">
        <v>41</v>
      </c>
      <c r="D90" t="s">
        <v>4457</v>
      </c>
      <c r="E90">
        <v>1992</v>
      </c>
      <c r="F90" s="3" t="str" cm="1">
        <f t="array" ref="F90">IFERROR(_xlfn.XLOOKUP(TEXT(E90,"0000"),TEXT(Catalog!A:A,"0000"),Catalog!B:B),"")</f>
        <v xml:space="preserve">SCHAKELKAST MESPATROON 400A   </v>
      </c>
      <c r="G90">
        <v>5</v>
      </c>
    </row>
    <row r="91" spans="1:13" x14ac:dyDescent="0.25">
      <c r="A91" t="s">
        <v>5053</v>
      </c>
      <c r="B91">
        <v>2</v>
      </c>
      <c r="C91">
        <v>41</v>
      </c>
      <c r="D91" t="s">
        <v>4457</v>
      </c>
      <c r="F91" t="s">
        <v>4540</v>
      </c>
      <c r="H91">
        <v>49</v>
      </c>
    </row>
    <row r="92" spans="1:13" x14ac:dyDescent="0.25">
      <c r="A92" t="s">
        <v>5053</v>
      </c>
      <c r="B92">
        <v>2</v>
      </c>
      <c r="C92">
        <v>41</v>
      </c>
      <c r="D92" t="s">
        <v>4457</v>
      </c>
      <c r="F92" t="s">
        <v>4540</v>
      </c>
      <c r="H92">
        <v>30</v>
      </c>
    </row>
    <row r="95" spans="1:13" ht="24" x14ac:dyDescent="0.4">
      <c r="D95" s="35" t="s">
        <v>4537</v>
      </c>
      <c r="E95" s="36"/>
      <c r="F95" s="36"/>
      <c r="G95" s="36"/>
      <c r="H95" s="36"/>
      <c r="I95" s="36"/>
      <c r="J95" s="37"/>
      <c r="K95" s="38" t="s">
        <v>4459</v>
      </c>
      <c r="L95" s="13" t="s">
        <v>4432</v>
      </c>
      <c r="M95" s="40" t="s">
        <v>4460</v>
      </c>
    </row>
    <row r="96" spans="1:13" ht="18.75" x14ac:dyDescent="0.3">
      <c r="D96" s="11" t="s">
        <v>4445</v>
      </c>
      <c r="E96" s="11" t="s">
        <v>4433</v>
      </c>
      <c r="F96" s="11" t="s">
        <v>4434</v>
      </c>
      <c r="G96" s="11" t="s">
        <v>4435</v>
      </c>
      <c r="H96" s="11" t="s">
        <v>4436</v>
      </c>
      <c r="I96" s="11" t="s">
        <v>4444</v>
      </c>
      <c r="J96" s="11" t="s">
        <v>4436</v>
      </c>
      <c r="K96" s="39"/>
      <c r="L96" s="11" t="s">
        <v>4447</v>
      </c>
      <c r="M96" s="41"/>
    </row>
    <row r="97" spans="1:8" x14ac:dyDescent="0.25">
      <c r="A97" t="s">
        <v>5053</v>
      </c>
      <c r="B97">
        <v>2</v>
      </c>
      <c r="C97">
        <v>42</v>
      </c>
      <c r="D97" t="s">
        <v>4457</v>
      </c>
      <c r="E97">
        <v>7157</v>
      </c>
      <c r="F97" s="3" t="str" cm="1">
        <f t="array" ref="F97">IFERROR(_xlfn.XLOOKUP(TEXT(E97,"0000"),TEXT(Catalog!A:A,"0000"),Catalog!B:B),"")</f>
        <v xml:space="preserve">INB.KAST 48/56MD 5270R1       </v>
      </c>
      <c r="G97">
        <v>12</v>
      </c>
    </row>
    <row r="98" spans="1:8" x14ac:dyDescent="0.25">
      <c r="A98" t="s">
        <v>5053</v>
      </c>
      <c r="B98">
        <v>2</v>
      </c>
      <c r="C98">
        <v>42</v>
      </c>
      <c r="D98" t="s">
        <v>4457</v>
      </c>
      <c r="E98">
        <v>1991</v>
      </c>
      <c r="F98" s="3" t="str" cm="1">
        <f t="array" ref="F98">IFERROR(_xlfn.XLOOKUP(TEXT(E98,"0000"),TEXT(Catalog!A:A,"0000"),Catalog!B:B),"")</f>
        <v xml:space="preserve">SCHAKELKAST MESPATROON 250A   </v>
      </c>
      <c r="G98">
        <v>4</v>
      </c>
    </row>
    <row r="99" spans="1:8" x14ac:dyDescent="0.25">
      <c r="A99" t="s">
        <v>5053</v>
      </c>
      <c r="B99">
        <v>2</v>
      </c>
      <c r="C99">
        <v>42</v>
      </c>
      <c r="D99" t="s">
        <v>4451</v>
      </c>
      <c r="E99">
        <v>3494</v>
      </c>
      <c r="F99" s="3" t="str" cm="1">
        <f t="array" ref="F99">IFERROR(_xlfn.XLOOKUP(TEXT(E99,"0000"),TEXT(Catalog!A:A,"0000"),Catalog!B:B),"")</f>
        <v xml:space="preserve">ETI 3901518 GR VS 16 YELLO/GR </v>
      </c>
      <c r="H99">
        <v>32</v>
      </c>
    </row>
    <row r="100" spans="1:8" x14ac:dyDescent="0.25">
      <c r="A100" t="s">
        <v>5053</v>
      </c>
      <c r="B100">
        <v>2</v>
      </c>
      <c r="C100">
        <v>42</v>
      </c>
      <c r="D100" t="s">
        <v>4451</v>
      </c>
      <c r="E100">
        <v>3492</v>
      </c>
      <c r="F100" s="3" t="str" cm="1">
        <f t="array" ref="F100">IFERROR(_xlfn.XLOOKUP(TEXT(E100,"0000"),TEXT(Catalog!A:A,"0000"),Catalog!B:B),"")</f>
        <v xml:space="preserve">ETI3901360 LIN UP  VSV4 FUSE  </v>
      </c>
      <c r="G100" t="s">
        <v>4548</v>
      </c>
    </row>
    <row r="101" spans="1:8" x14ac:dyDescent="0.25">
      <c r="A101" t="s">
        <v>5053</v>
      </c>
      <c r="B101">
        <v>2</v>
      </c>
      <c r="C101">
        <v>42</v>
      </c>
      <c r="D101" t="s">
        <v>4451</v>
      </c>
      <c r="E101">
        <v>3500</v>
      </c>
      <c r="F101" s="3" t="str" cm="1">
        <f t="array" ref="F101">IFERROR(_xlfn.XLOOKUP(TEXT(E101,"0000"),TEXT(Catalog!A:A,"0000"),Catalog!B:B),"")</f>
        <v>ETI 3901068 TERMINAL VS 6 IVOR</v>
      </c>
      <c r="G101" s="8"/>
      <c r="H101" s="8"/>
    </row>
    <row r="102" spans="1:8" x14ac:dyDescent="0.25">
      <c r="A102" t="s">
        <v>5053</v>
      </c>
      <c r="B102">
        <v>2</v>
      </c>
      <c r="C102">
        <v>42</v>
      </c>
      <c r="D102" t="s">
        <v>4451</v>
      </c>
      <c r="E102">
        <v>3498</v>
      </c>
      <c r="F102" s="3" t="str" cm="1">
        <f t="array" ref="F102">IFERROR(_xlfn.XLOOKUP(TEXT(E102,"0000"),TEXT(Catalog!A:A,"0000"),Catalog!B:B),"")</f>
        <v xml:space="preserve">ETI 3901037 TERMINAL VS 4MM   </v>
      </c>
      <c r="G102" t="s">
        <v>4449</v>
      </c>
      <c r="H102">
        <v>80</v>
      </c>
    </row>
    <row r="103" spans="1:8" x14ac:dyDescent="0.25">
      <c r="A103" t="s">
        <v>5053</v>
      </c>
      <c r="B103">
        <v>2</v>
      </c>
      <c r="C103">
        <v>42</v>
      </c>
      <c r="D103" t="s">
        <v>4451</v>
      </c>
      <c r="E103">
        <v>3504</v>
      </c>
      <c r="F103" s="3" t="str" cm="1">
        <f t="array" ref="F103">IFERROR(_xlfn.XLOOKUP(TEXT(E103,"0000"),TEXT(Catalog!A:A,"0000"),Catalog!B:B),"")</f>
        <v>ETI 3901188 TERMINAL VS 70 IVO</v>
      </c>
      <c r="G103">
        <v>60</v>
      </c>
      <c r="H103">
        <v>7</v>
      </c>
    </row>
    <row r="104" spans="1:8" x14ac:dyDescent="0.25">
      <c r="A104" t="s">
        <v>5053</v>
      </c>
      <c r="B104">
        <v>2</v>
      </c>
      <c r="C104">
        <v>42</v>
      </c>
      <c r="D104" t="s">
        <v>4451</v>
      </c>
      <c r="E104">
        <v>3487</v>
      </c>
      <c r="F104" s="3" t="str" cm="1">
        <f t="array" ref="F104">IFERROR(_xlfn.XLOOKUP(TEXT(E104,"0000"),TEXT(Catalog!A:A,"0000"),Catalog!B:B),"")</f>
        <v xml:space="preserve">ETI 3901375  EINDPLAAT VSV4   </v>
      </c>
      <c r="G104" t="s">
        <v>4549</v>
      </c>
      <c r="H104">
        <v>47</v>
      </c>
    </row>
    <row r="105" spans="1:8" x14ac:dyDescent="0.25">
      <c r="A105" t="s">
        <v>5053</v>
      </c>
      <c r="B105">
        <v>2</v>
      </c>
      <c r="C105">
        <v>42</v>
      </c>
      <c r="D105" t="s">
        <v>4451</v>
      </c>
      <c r="E105">
        <v>3505</v>
      </c>
      <c r="F105" s="3" t="str" cm="1">
        <f t="array" ref="F105">IFERROR(_xlfn.XLOOKUP(TEXT(E105,"0000"),TEXT(Catalog!A:A,"0000"),Catalog!B:B),"")</f>
        <v>ETI 3901189 TERMINAL VS70 BLUE</v>
      </c>
      <c r="G105" t="s">
        <v>4550</v>
      </c>
    </row>
    <row r="106" spans="1:8" x14ac:dyDescent="0.25">
      <c r="A106" t="s">
        <v>5053</v>
      </c>
      <c r="B106">
        <v>2</v>
      </c>
      <c r="C106">
        <v>42</v>
      </c>
      <c r="D106" t="s">
        <v>4451</v>
      </c>
      <c r="E106">
        <v>3508</v>
      </c>
      <c r="F106" s="3" t="str" cm="1">
        <f t="array" ref="F106">IFERROR(_xlfn.XLOOKUP(TEXT(E106,"0000"),TEXT(Catalog!A:A,"0000"),Catalog!B:B),"")</f>
        <v>ETI 3901157 TERMINAL VS35 IVOR</v>
      </c>
      <c r="G106" t="s">
        <v>4550</v>
      </c>
    </row>
    <row r="107" spans="1:8" x14ac:dyDescent="0.25">
      <c r="A107" t="s">
        <v>5053</v>
      </c>
      <c r="B107">
        <v>2</v>
      </c>
      <c r="C107">
        <v>42</v>
      </c>
      <c r="D107" t="s">
        <v>4451</v>
      </c>
      <c r="E107">
        <v>3493</v>
      </c>
      <c r="F107" s="3" t="str" cm="1">
        <f t="array" ref="F107">IFERROR(_xlfn.XLOOKUP(TEXT(E107,"0000"),TEXT(Catalog!A:A,"0000"),Catalog!B:B),"")</f>
        <v xml:space="preserve">ETI 3901539 GR VS 35 YELLO/GR </v>
      </c>
      <c r="G107" t="s">
        <v>4551</v>
      </c>
      <c r="H107">
        <v>17</v>
      </c>
    </row>
    <row r="108" spans="1:8" x14ac:dyDescent="0.25">
      <c r="A108" t="s">
        <v>5053</v>
      </c>
      <c r="B108">
        <v>2</v>
      </c>
      <c r="C108">
        <v>42</v>
      </c>
      <c r="D108" t="s">
        <v>4451</v>
      </c>
      <c r="E108">
        <v>3504</v>
      </c>
      <c r="F108" s="3" t="str" cm="1">
        <f t="array" ref="F108">IFERROR(_xlfn.XLOOKUP(TEXT(E108,"0000"),TEXT(Catalog!A:A,"0000"),Catalog!B:B),"")</f>
        <v>ETI 3901188 TERMINAL VS 70 IVO</v>
      </c>
      <c r="G108" t="s">
        <v>4551</v>
      </c>
    </row>
    <row r="109" spans="1:8" x14ac:dyDescent="0.25">
      <c r="A109" t="s">
        <v>5053</v>
      </c>
      <c r="B109">
        <v>2</v>
      </c>
      <c r="C109">
        <v>42</v>
      </c>
      <c r="D109" t="s">
        <v>4451</v>
      </c>
      <c r="E109">
        <v>3502</v>
      </c>
      <c r="F109" s="3" t="str" cm="1">
        <f t="array" ref="F109">IFERROR(_xlfn.XLOOKUP(TEXT(E109,"0000"),TEXT(Catalog!A:A,"0000"),Catalog!B:B),"")</f>
        <v>ETI 3901129 TERMINAL VS 16 IVO</v>
      </c>
      <c r="G109" t="s">
        <v>4553</v>
      </c>
    </row>
    <row r="110" spans="1:8" x14ac:dyDescent="0.25">
      <c r="A110" t="s">
        <v>5053</v>
      </c>
      <c r="B110">
        <v>2</v>
      </c>
      <c r="C110">
        <v>42</v>
      </c>
      <c r="D110" t="s">
        <v>4451</v>
      </c>
      <c r="E110">
        <v>3503</v>
      </c>
      <c r="F110" s="3" t="str" cm="1">
        <f t="array" ref="F110">IFERROR(_xlfn.XLOOKUP(TEXT(E110,"0000"),TEXT(Catalog!A:A,"0000"),Catalog!B:B),"")</f>
        <v>ETI 3901130 TERMINAL VS16 BLUE</v>
      </c>
      <c r="H110">
        <v>43</v>
      </c>
    </row>
    <row r="111" spans="1:8" x14ac:dyDescent="0.25">
      <c r="A111" t="s">
        <v>5053</v>
      </c>
      <c r="B111">
        <v>2</v>
      </c>
      <c r="C111">
        <v>42</v>
      </c>
      <c r="D111" t="s">
        <v>4451</v>
      </c>
      <c r="E111">
        <v>3506</v>
      </c>
      <c r="F111" s="3" t="str" cm="1">
        <f t="array" ref="F111">IFERROR(_xlfn.XLOOKUP(TEXT(E111,"0000"),TEXT(Catalog!A:A,"0000"),Catalog!B:B),"")</f>
        <v>ETI 3901101 TERMINAL VS10 IVOR</v>
      </c>
      <c r="G111" t="s">
        <v>4549</v>
      </c>
    </row>
    <row r="112" spans="1:8" x14ac:dyDescent="0.25">
      <c r="A112" t="s">
        <v>5053</v>
      </c>
      <c r="B112">
        <v>2</v>
      </c>
      <c r="C112">
        <v>42</v>
      </c>
      <c r="D112" t="s">
        <v>4451</v>
      </c>
      <c r="E112">
        <v>3507</v>
      </c>
      <c r="F112" s="3" t="str" cm="1">
        <f t="array" ref="F112">IFERROR(_xlfn.XLOOKUP(TEXT(E112,"0000"),TEXT(Catalog!A:A,"0000"),Catalog!B:B),"")</f>
        <v>ETI 3901102 TERMINAL VS10 BLUE</v>
      </c>
      <c r="G112" t="s">
        <v>4553</v>
      </c>
    </row>
    <row r="113" spans="1:13" x14ac:dyDescent="0.25">
      <c r="A113" t="s">
        <v>5053</v>
      </c>
      <c r="B113">
        <v>2</v>
      </c>
      <c r="C113">
        <v>42</v>
      </c>
      <c r="D113" t="s">
        <v>4451</v>
      </c>
      <c r="E113">
        <v>3501</v>
      </c>
      <c r="F113" s="3" t="str" cm="1">
        <f t="array" ref="F113">IFERROR(_xlfn.XLOOKUP(TEXT(E113,"0000"),TEXT(Catalog!A:A,"0000"),Catalog!B:B),"")</f>
        <v>ETI 3901069 TERMINAL VS 6 BLUE</v>
      </c>
      <c r="G113" t="s">
        <v>4553</v>
      </c>
    </row>
    <row r="114" spans="1:13" x14ac:dyDescent="0.25">
      <c r="A114" t="s">
        <v>5053</v>
      </c>
      <c r="B114">
        <v>2</v>
      </c>
      <c r="C114">
        <v>42</v>
      </c>
      <c r="D114" t="s">
        <v>4451</v>
      </c>
      <c r="E114">
        <v>3495</v>
      </c>
      <c r="F114" s="3" t="str" cm="1">
        <f t="array" ref="F114">IFERROR(_xlfn.XLOOKUP(TEXT(E114,"0000"),TEXT(Catalog!A:A,"0000"),Catalog!B:B),"")</f>
        <v xml:space="preserve">ETI 3901497 GR VS6 YELLO/GR   </v>
      </c>
      <c r="H114">
        <v>47</v>
      </c>
    </row>
    <row r="115" spans="1:13" x14ac:dyDescent="0.25">
      <c r="A115" t="s">
        <v>5053</v>
      </c>
      <c r="B115">
        <v>2</v>
      </c>
      <c r="C115">
        <v>42</v>
      </c>
      <c r="D115" t="s">
        <v>4451</v>
      </c>
      <c r="E115">
        <v>3496</v>
      </c>
      <c r="F115" s="3" t="str" cm="1">
        <f t="array" ref="F115">IFERROR(_xlfn.XLOOKUP(TEXT(E115,"0000"),TEXT(Catalog!A:A,"0000"),Catalog!B:B),"")</f>
        <v xml:space="preserve">ETI 3901476 GR VS4 YELLO/GR   </v>
      </c>
      <c r="G115" t="s">
        <v>4554</v>
      </c>
    </row>
    <row r="116" spans="1:13" x14ac:dyDescent="0.25">
      <c r="A116" t="s">
        <v>5053</v>
      </c>
      <c r="B116">
        <v>2</v>
      </c>
      <c r="C116">
        <v>42</v>
      </c>
      <c r="D116" t="s">
        <v>4451</v>
      </c>
      <c r="E116">
        <v>1510</v>
      </c>
      <c r="F116" s="3" t="str" cm="1">
        <f t="array" ref="F116">IFERROR(_xlfn.XLOOKUP(TEXT(E116,"0000"),TEXT(Catalog!A:A,"0000"),Catalog!B:B),"")</f>
        <v xml:space="preserve">INBOUWKAST 1-RIJ BLD 610372   </v>
      </c>
      <c r="G116">
        <v>2</v>
      </c>
    </row>
    <row r="117" spans="1:13" x14ac:dyDescent="0.25">
      <c r="A117" t="s">
        <v>5053</v>
      </c>
      <c r="B117">
        <v>2</v>
      </c>
      <c r="C117">
        <v>42</v>
      </c>
      <c r="D117" t="s">
        <v>4451</v>
      </c>
      <c r="E117">
        <v>3487</v>
      </c>
      <c r="F117" s="3" t="str" cm="1">
        <f t="array" ref="F117">IFERROR(_xlfn.XLOOKUP(TEXT(E117,"0000"),TEXT(Catalog!A:A,"0000"),Catalog!B:B),"")</f>
        <v xml:space="preserve">ETI 3901375  EINDPLAAT VSV4   </v>
      </c>
      <c r="G117" t="s">
        <v>4555</v>
      </c>
    </row>
    <row r="118" spans="1:13" x14ac:dyDescent="0.25">
      <c r="A118" t="s">
        <v>5053</v>
      </c>
      <c r="B118">
        <v>2</v>
      </c>
      <c r="C118">
        <v>42</v>
      </c>
      <c r="D118" t="s">
        <v>4451</v>
      </c>
      <c r="E118">
        <v>3492</v>
      </c>
      <c r="F118" s="3" t="str" cm="1">
        <f t="array" ref="F118">IFERROR(_xlfn.XLOOKUP(TEXT(E118,"0000"),TEXT(Catalog!A:A,"0000"),Catalog!B:B),"")</f>
        <v xml:space="preserve">ETI3901360 LIN UP  VSV4 FUSE  </v>
      </c>
      <c r="G118">
        <v>12</v>
      </c>
    </row>
    <row r="119" spans="1:13" x14ac:dyDescent="0.25">
      <c r="A119" t="s">
        <v>5053</v>
      </c>
      <c r="B119">
        <v>2</v>
      </c>
      <c r="C119">
        <v>42</v>
      </c>
      <c r="D119" t="s">
        <v>4451</v>
      </c>
      <c r="E119" s="6" t="s">
        <v>4541</v>
      </c>
      <c r="F119" s="3" t="str" cm="1">
        <f t="array" ref="F119">IFERROR(_xlfn.XLOOKUP(TEXT(E119,"0000"),TEXT(Catalog!A:A,"0000"),Catalog!B:B),"")</f>
        <v>PLAFONDDOOS 97371201 GRO-2 120</v>
      </c>
      <c r="G119">
        <v>23</v>
      </c>
    </row>
    <row r="120" spans="1:13" x14ac:dyDescent="0.25">
      <c r="F120" t="s">
        <v>4542</v>
      </c>
    </row>
    <row r="121" spans="1:13" x14ac:dyDescent="0.25">
      <c r="F121" t="s">
        <v>4543</v>
      </c>
    </row>
    <row r="122" spans="1:13" x14ac:dyDescent="0.25">
      <c r="F122" t="s">
        <v>4544</v>
      </c>
      <c r="M122" t="s">
        <v>4546</v>
      </c>
    </row>
    <row r="123" spans="1:13" x14ac:dyDescent="0.25">
      <c r="F123" t="s">
        <v>4545</v>
      </c>
      <c r="M123" t="s">
        <v>4546</v>
      </c>
    </row>
    <row r="125" spans="1:13" ht="24" x14ac:dyDescent="0.4">
      <c r="D125" s="42" t="s">
        <v>4461</v>
      </c>
      <c r="E125" s="42"/>
      <c r="F125" s="42"/>
      <c r="G125" s="42"/>
      <c r="H125" s="42"/>
      <c r="I125" s="42"/>
      <c r="J125" s="42"/>
      <c r="K125" s="43" t="s">
        <v>4459</v>
      </c>
      <c r="L125" s="13" t="s">
        <v>4432</v>
      </c>
      <c r="M125" s="44" t="s">
        <v>4460</v>
      </c>
    </row>
    <row r="126" spans="1:13" ht="18.75" x14ac:dyDescent="0.3">
      <c r="D126" s="11" t="s">
        <v>4445</v>
      </c>
      <c r="E126" s="11" t="s">
        <v>4433</v>
      </c>
      <c r="F126" s="11" t="s">
        <v>4434</v>
      </c>
      <c r="G126" s="11" t="s">
        <v>4435</v>
      </c>
      <c r="H126" s="11" t="s">
        <v>4436</v>
      </c>
      <c r="I126" s="11" t="s">
        <v>4444</v>
      </c>
      <c r="J126" s="11" t="s">
        <v>4436</v>
      </c>
      <c r="K126" s="43"/>
      <c r="L126" s="11" t="s">
        <v>4447</v>
      </c>
      <c r="M126" s="44"/>
    </row>
    <row r="127" spans="1:13" x14ac:dyDescent="0.25">
      <c r="A127" t="s">
        <v>5053</v>
      </c>
      <c r="B127">
        <v>2</v>
      </c>
      <c r="C127">
        <v>25</v>
      </c>
      <c r="D127" t="s">
        <v>4835</v>
      </c>
      <c r="E127">
        <v>7043</v>
      </c>
      <c r="F127" s="3" t="str" cm="1">
        <f t="array" ref="F127">IFERROR(_xlfn.XLOOKUP(TEXT(E127,"0000"),TEXT(Catalog!A:A,"0000"),Catalog!B:B),"")</f>
        <v xml:space="preserve">JVL5-40 16A 1P+N - C 30mA     </v>
      </c>
      <c r="G127">
        <v>95</v>
      </c>
    </row>
    <row r="128" spans="1:13" x14ac:dyDescent="0.25">
      <c r="A128" t="s">
        <v>5053</v>
      </c>
      <c r="B128">
        <v>2</v>
      </c>
      <c r="C128">
        <v>25</v>
      </c>
      <c r="D128" t="s">
        <v>4835</v>
      </c>
      <c r="E128">
        <v>7018</v>
      </c>
      <c r="F128" s="3" t="str" cm="1">
        <f t="array" ref="F128">IFERROR(_xlfn.XLOOKUP(TEXT(E128,"0000"),TEXT(Catalog!A:A,"0000"),Catalog!B:B),"")</f>
        <v>JVM19-63   6A  2P B-TYPE AUTOM</v>
      </c>
      <c r="G128" t="s">
        <v>4836</v>
      </c>
      <c r="H128">
        <v>1</v>
      </c>
    </row>
    <row r="129" spans="1:13" x14ac:dyDescent="0.25">
      <c r="A129" t="s">
        <v>5053</v>
      </c>
      <c r="B129">
        <v>2</v>
      </c>
      <c r="C129">
        <v>25</v>
      </c>
      <c r="D129" t="s">
        <v>4835</v>
      </c>
      <c r="E129">
        <v>1959</v>
      </c>
      <c r="F129" s="3" t="str" cm="1">
        <f t="array" ref="F129">IFERROR(_xlfn.XLOOKUP(TEXT(E129,"0000"),TEXT(Catalog!A:A,"0000"),Catalog!B:B),"")</f>
        <v xml:space="preserve">OMSCHAKELAAR 400A 3P+N        </v>
      </c>
      <c r="G129">
        <v>8</v>
      </c>
    </row>
    <row r="130" spans="1:13" x14ac:dyDescent="0.25">
      <c r="A130" t="s">
        <v>5053</v>
      </c>
      <c r="B130">
        <v>2</v>
      </c>
      <c r="C130">
        <v>25</v>
      </c>
      <c r="D130" t="s">
        <v>4835</v>
      </c>
      <c r="E130">
        <v>1968</v>
      </c>
      <c r="F130" s="3" t="str" cm="1">
        <f t="array" ref="F130">IFERROR(_xlfn.XLOOKUP(TEXT(E130,"0000"),TEXT(Catalog!A:A,"0000"),Catalog!B:B),"")</f>
        <v xml:space="preserve">SCHAKELAAR MESPATR INB 125A   </v>
      </c>
      <c r="G130">
        <v>7</v>
      </c>
    </row>
    <row r="131" spans="1:13" x14ac:dyDescent="0.25">
      <c r="A131" t="s">
        <v>5053</v>
      </c>
      <c r="B131">
        <v>2</v>
      </c>
      <c r="C131">
        <v>25</v>
      </c>
      <c r="D131" t="s">
        <v>4835</v>
      </c>
      <c r="E131">
        <v>1969</v>
      </c>
      <c r="F131" s="3" t="str" cm="1">
        <f t="array" ref="F131">IFERROR(_xlfn.XLOOKUP(TEXT(E131,"0000"),TEXT(Catalog!A:A,"0000"),Catalog!B:B),"")</f>
        <v xml:space="preserve">SCHAKELAAR MESPATR INB 160A   </v>
      </c>
      <c r="G131">
        <v>2</v>
      </c>
    </row>
    <row r="132" spans="1:13" x14ac:dyDescent="0.25">
      <c r="A132" t="s">
        <v>5053</v>
      </c>
      <c r="B132">
        <v>2</v>
      </c>
      <c r="C132">
        <v>25</v>
      </c>
      <c r="D132" t="s">
        <v>4835</v>
      </c>
      <c r="E132">
        <v>1970</v>
      </c>
      <c r="F132" s="3" t="str" cm="1">
        <f t="array" ref="F132">IFERROR(_xlfn.XLOOKUP(TEXT(E132,"0000"),TEXT(Catalog!A:A,"0000"),Catalog!B:B),"")</f>
        <v xml:space="preserve">SCHAKELAAR MESPATR INB 250A   </v>
      </c>
      <c r="G132">
        <v>5</v>
      </c>
    </row>
    <row r="133" spans="1:13" x14ac:dyDescent="0.25">
      <c r="A133" t="s">
        <v>5053</v>
      </c>
      <c r="B133">
        <v>2</v>
      </c>
      <c r="C133">
        <v>25</v>
      </c>
      <c r="D133" t="s">
        <v>4835</v>
      </c>
      <c r="E133">
        <v>1971</v>
      </c>
      <c r="F133" s="3" t="str" cm="1">
        <f t="array" ref="F133">IFERROR(_xlfn.XLOOKUP(TEXT(E133,"0000"),TEXT(Catalog!A:A,"0000"),Catalog!B:B),"")</f>
        <v xml:space="preserve">SCHAKELAAR MESPATR INB 400A   </v>
      </c>
      <c r="G133">
        <v>3</v>
      </c>
    </row>
    <row r="134" spans="1:13" x14ac:dyDescent="0.25">
      <c r="A134" t="s">
        <v>5053</v>
      </c>
      <c r="B134">
        <v>2</v>
      </c>
      <c r="C134">
        <v>25</v>
      </c>
      <c r="D134" t="s">
        <v>4835</v>
      </c>
      <c r="E134">
        <v>1972</v>
      </c>
      <c r="F134" s="3" t="str" cm="1">
        <f t="array" ref="F134">IFERROR(_xlfn.XLOOKUP(TEXT(E134,"0000"),TEXT(Catalog!A:A,"0000"),Catalog!B:B),"")</f>
        <v xml:space="preserve">SCHAKELAAR MESPATR INB 630A   </v>
      </c>
      <c r="G134">
        <v>3</v>
      </c>
    </row>
    <row r="135" spans="1:13" x14ac:dyDescent="0.25">
      <c r="F135" s="3"/>
    </row>
    <row r="136" spans="1:13" ht="24" x14ac:dyDescent="0.4">
      <c r="D136" s="42" t="s">
        <v>4556</v>
      </c>
      <c r="E136" s="42"/>
      <c r="F136" s="42"/>
      <c r="G136" s="42"/>
      <c r="H136" s="42"/>
      <c r="I136" s="42"/>
      <c r="J136" s="42"/>
      <c r="K136" s="43" t="s">
        <v>4459</v>
      </c>
      <c r="L136" s="13" t="s">
        <v>4432</v>
      </c>
      <c r="M136" s="44" t="s">
        <v>4460</v>
      </c>
    </row>
    <row r="137" spans="1:13" ht="18.75" x14ac:dyDescent="0.3">
      <c r="D137" s="11" t="s">
        <v>4445</v>
      </c>
      <c r="E137" s="11" t="s">
        <v>4433</v>
      </c>
      <c r="F137" s="11" t="s">
        <v>4434</v>
      </c>
      <c r="G137" s="11" t="s">
        <v>4435</v>
      </c>
      <c r="H137" s="11" t="s">
        <v>4436</v>
      </c>
      <c r="I137" s="11" t="s">
        <v>4444</v>
      </c>
      <c r="J137" s="11" t="s">
        <v>4436</v>
      </c>
      <c r="K137" s="43"/>
      <c r="L137" s="11" t="s">
        <v>4447</v>
      </c>
      <c r="M137" s="44"/>
    </row>
    <row r="138" spans="1:13" x14ac:dyDescent="0.25">
      <c r="A138" t="s">
        <v>5053</v>
      </c>
      <c r="B138">
        <v>2</v>
      </c>
      <c r="C138">
        <v>26</v>
      </c>
      <c r="D138" t="s">
        <v>4835</v>
      </c>
      <c r="E138" s="6">
        <v>7000</v>
      </c>
      <c r="F138" s="3" t="str" cm="1">
        <f t="array" ref="F138">IFERROR(_xlfn.XLOOKUP(TEXT(E138,"0000"),TEXT(Catalog!A:A,"0000"),Catalog!B:B),"")</f>
        <v>JVD16 - 63   40A 4P SCHAKELAAR</v>
      </c>
      <c r="G138" t="s">
        <v>4837</v>
      </c>
    </row>
    <row r="139" spans="1:13" x14ac:dyDescent="0.25">
      <c r="A139" t="s">
        <v>5053</v>
      </c>
      <c r="B139">
        <v>2</v>
      </c>
      <c r="C139">
        <v>26</v>
      </c>
      <c r="D139" t="s">
        <v>4835</v>
      </c>
      <c r="E139" s="6">
        <v>7001</v>
      </c>
      <c r="F139" s="3" t="str" cm="1">
        <f t="array" ref="F139">IFERROR(_xlfn.XLOOKUP(TEXT(E139,"0000"),TEXT(Catalog!A:A,"0000"),Catalog!B:B),"")</f>
        <v>JVD16 - 63   63A 4P SCHAKELAAR</v>
      </c>
      <c r="G139" t="s">
        <v>4838</v>
      </c>
      <c r="H139">
        <v>2</v>
      </c>
    </row>
    <row r="140" spans="1:13" x14ac:dyDescent="0.25">
      <c r="A140" t="s">
        <v>5053</v>
      </c>
      <c r="B140">
        <v>2</v>
      </c>
      <c r="C140">
        <v>26</v>
      </c>
      <c r="D140" t="s">
        <v>4835</v>
      </c>
      <c r="E140" s="6">
        <v>7004</v>
      </c>
      <c r="F140" s="3" t="str" cm="1">
        <f t="array" ref="F140">IFERROR(_xlfn.XLOOKUP(TEXT(E140,"0000"),TEXT(Catalog!A:A,"0000"),Catalog!B:B),"")</f>
        <v xml:space="preserve">JVD16 -125 125A 4P SCHAKELAAR </v>
      </c>
      <c r="G140" t="s">
        <v>4839</v>
      </c>
      <c r="H140">
        <v>1</v>
      </c>
    </row>
    <row r="141" spans="1:13" x14ac:dyDescent="0.25">
      <c r="A141" t="s">
        <v>5053</v>
      </c>
      <c r="B141">
        <v>2</v>
      </c>
      <c r="C141">
        <v>26</v>
      </c>
      <c r="D141" t="s">
        <v>4835</v>
      </c>
      <c r="E141" s="6">
        <v>7063</v>
      </c>
      <c r="F141" s="3" t="str" cm="1">
        <f t="array" ref="F141">IFERROR(_xlfn.XLOOKUP(TEXT(E141,"0000"),TEXT(Catalog!A:A,"0000"),Catalog!B:B),"")</f>
        <v xml:space="preserve">JVRO16-32 1P+N C 25 30 mA     </v>
      </c>
      <c r="G141" t="s">
        <v>4840</v>
      </c>
      <c r="H141">
        <v>3</v>
      </c>
    </row>
    <row r="142" spans="1:13" x14ac:dyDescent="0.25">
      <c r="A142" t="s">
        <v>5053</v>
      </c>
      <c r="B142">
        <v>2</v>
      </c>
      <c r="C142">
        <v>26</v>
      </c>
      <c r="D142" t="s">
        <v>4835</v>
      </c>
      <c r="E142" s="6">
        <v>7062</v>
      </c>
      <c r="F142" s="3" t="str" cm="1">
        <f t="array" ref="F142">IFERROR(_xlfn.XLOOKUP(TEXT(E142,"0000"),TEXT(Catalog!A:A,"0000"),Catalog!B:B),"")</f>
        <v xml:space="preserve">JVRO16-32 1P+N C 20 30 mA     </v>
      </c>
      <c r="G142" t="s">
        <v>4841</v>
      </c>
      <c r="H142">
        <v>7</v>
      </c>
    </row>
    <row r="143" spans="1:13" x14ac:dyDescent="0.25">
      <c r="A143" t="s">
        <v>5053</v>
      </c>
      <c r="B143">
        <v>2</v>
      </c>
      <c r="C143">
        <v>26</v>
      </c>
      <c r="D143" t="s">
        <v>4835</v>
      </c>
      <c r="E143" s="7">
        <v>7022</v>
      </c>
      <c r="F143" s="3" t="str" cm="1">
        <f t="array" ref="F143">IFERROR(_xlfn.XLOOKUP(TEXT(E143,"0000"),TEXT(Catalog!A:A,"0000"),Catalog!B:B),"")</f>
        <v>JVM19 -63  16A 3P C-TYPE AUTOM</v>
      </c>
      <c r="G143" t="s">
        <v>4842</v>
      </c>
      <c r="H143">
        <v>1</v>
      </c>
    </row>
    <row r="144" spans="1:13" x14ac:dyDescent="0.25">
      <c r="A144" t="s">
        <v>5053</v>
      </c>
      <c r="B144">
        <v>2</v>
      </c>
      <c r="C144">
        <v>26</v>
      </c>
      <c r="D144" t="s">
        <v>4835</v>
      </c>
      <c r="E144" s="7">
        <v>7003</v>
      </c>
      <c r="F144" s="3" t="str" cm="1">
        <f t="array" ref="F144">IFERROR(_xlfn.XLOOKUP(TEXT(E144,"0000"),TEXT(Catalog!A:A,"0000"),Catalog!B:B),"")</f>
        <v xml:space="preserve">JVD16 -125 100A 4P SCHAKELAAR </v>
      </c>
      <c r="G144" t="s">
        <v>4843</v>
      </c>
      <c r="H144">
        <v>1</v>
      </c>
    </row>
    <row r="145" spans="1:13" x14ac:dyDescent="0.25">
      <c r="A145" t="s">
        <v>5053</v>
      </c>
      <c r="B145">
        <v>2</v>
      </c>
      <c r="C145">
        <v>26</v>
      </c>
      <c r="D145" t="s">
        <v>4561</v>
      </c>
      <c r="E145" s="7">
        <v>7023</v>
      </c>
      <c r="F145" s="3" t="str" cm="1">
        <f t="array" ref="F145">IFERROR(_xlfn.XLOOKUP(TEXT(E145,"0000"),TEXT(Catalog!A:A,"0000"),Catalog!B:B),"")</f>
        <v>JVM19 -63  20A 3P C-TYPE AUTOM</v>
      </c>
      <c r="G145" t="s">
        <v>4855</v>
      </c>
      <c r="H145">
        <v>3</v>
      </c>
    </row>
    <row r="146" spans="1:13" x14ac:dyDescent="0.25">
      <c r="A146" t="s">
        <v>5053</v>
      </c>
      <c r="B146">
        <v>2</v>
      </c>
      <c r="C146">
        <v>26</v>
      </c>
      <c r="D146" t="s">
        <v>4561</v>
      </c>
      <c r="E146" s="7">
        <v>7024</v>
      </c>
      <c r="F146" s="3" t="str" cm="1">
        <f t="array" ref="F146">IFERROR(_xlfn.XLOOKUP(TEXT(E146,"0000"),TEXT(Catalog!A:A,"0000"),Catalog!B:B),"")</f>
        <v>JVM16 -63  25A 3P C-TYPE AUTOM</v>
      </c>
      <c r="G146" t="s">
        <v>4854</v>
      </c>
      <c r="H146">
        <v>1</v>
      </c>
    </row>
    <row r="147" spans="1:13" x14ac:dyDescent="0.25">
      <c r="A147" t="s">
        <v>5053</v>
      </c>
      <c r="B147">
        <v>2</v>
      </c>
      <c r="C147">
        <v>26</v>
      </c>
      <c r="D147" t="s">
        <v>4561</v>
      </c>
      <c r="E147" s="7">
        <v>7025</v>
      </c>
      <c r="F147" s="3" t="str" cm="1">
        <f t="array" ref="F147">IFERROR(_xlfn.XLOOKUP(TEXT(E147,"0000"),TEXT(Catalog!A:A,"0000"),Catalog!B:B),"")</f>
        <v>JVM16 -63  32A 3P C-TYPE AUTOM</v>
      </c>
      <c r="G147" t="s">
        <v>4853</v>
      </c>
    </row>
    <row r="148" spans="1:13" x14ac:dyDescent="0.25">
      <c r="A148" t="s">
        <v>5053</v>
      </c>
      <c r="B148">
        <v>2</v>
      </c>
      <c r="C148">
        <v>26</v>
      </c>
      <c r="D148" t="s">
        <v>4561</v>
      </c>
      <c r="E148" s="7">
        <v>7026</v>
      </c>
      <c r="F148" s="3" t="str" cm="1">
        <f t="array" ref="F148">IFERROR(_xlfn.XLOOKUP(TEXT(E148,"0000"),TEXT(Catalog!A:A,"0000"),Catalog!B:B),"")</f>
        <v>JVM16 -63  40A 3P C-TYPE AUTOM</v>
      </c>
      <c r="G148" t="s">
        <v>4848</v>
      </c>
      <c r="H148">
        <v>3</v>
      </c>
    </row>
    <row r="149" spans="1:13" x14ac:dyDescent="0.25">
      <c r="A149" t="s">
        <v>5053</v>
      </c>
      <c r="B149">
        <v>2</v>
      </c>
      <c r="C149">
        <v>26</v>
      </c>
      <c r="D149" t="s">
        <v>4561</v>
      </c>
      <c r="E149" s="7">
        <v>7027</v>
      </c>
      <c r="F149" s="3" t="str" cm="1">
        <f t="array" ref="F149">IFERROR(_xlfn.XLOOKUP(TEXT(E149,"0000"),TEXT(Catalog!A:A,"0000"),Catalog!B:B),"")</f>
        <v>JVM19 -63  50A 3P C-TYPE AUTOM</v>
      </c>
      <c r="G149" t="s">
        <v>4852</v>
      </c>
    </row>
    <row r="150" spans="1:13" x14ac:dyDescent="0.25">
      <c r="A150" t="s">
        <v>5053</v>
      </c>
      <c r="B150">
        <v>2</v>
      </c>
      <c r="C150">
        <v>26</v>
      </c>
      <c r="D150" t="s">
        <v>4561</v>
      </c>
      <c r="E150" s="7"/>
      <c r="F150" s="3" cm="1">
        <f t="array" ref="F150">IFERROR(_xlfn.XLOOKUP(TEXT(E150,"0000"),TEXT(Catalog!A:A,"0000"),Catalog!B:B),"")</f>
        <v>0</v>
      </c>
      <c r="G150" t="s">
        <v>4849</v>
      </c>
    </row>
    <row r="151" spans="1:13" x14ac:dyDescent="0.25">
      <c r="A151" t="s">
        <v>5053</v>
      </c>
      <c r="B151">
        <v>2</v>
      </c>
      <c r="C151">
        <v>26</v>
      </c>
      <c r="D151" t="s">
        <v>4561</v>
      </c>
      <c r="E151" s="7">
        <v>7028</v>
      </c>
      <c r="F151" s="3" t="str" cm="1">
        <f t="array" ref="F151">IFERROR(_xlfn.XLOOKUP(TEXT(E151,"0000"),TEXT(Catalog!A:A,"0000"),Catalog!B:B),"")</f>
        <v>JVM19 -63  63A 3P C-TYPE AUTOM</v>
      </c>
      <c r="G151" t="s">
        <v>4850</v>
      </c>
      <c r="H151" t="s">
        <v>4848</v>
      </c>
      <c r="M151" t="s">
        <v>4851</v>
      </c>
    </row>
    <row r="152" spans="1:13" x14ac:dyDescent="0.25">
      <c r="A152" t="s">
        <v>5053</v>
      </c>
      <c r="B152">
        <v>2</v>
      </c>
      <c r="C152">
        <v>26</v>
      </c>
      <c r="D152" t="s">
        <v>4561</v>
      </c>
      <c r="E152" s="7">
        <v>7009</v>
      </c>
      <c r="F152" s="3" t="str" cm="1">
        <f t="array" ref="F152">IFERROR(_xlfn.XLOOKUP(TEXT(E152,"0000"),TEXT(Catalog!A:A,"0000"),Catalog!B:B),"")</f>
        <v xml:space="preserve"> JVM16 -32   6A1P+N B-TYPE AUT</v>
      </c>
      <c r="G152" t="s">
        <v>4847</v>
      </c>
      <c r="H152">
        <v>7</v>
      </c>
    </row>
    <row r="153" spans="1:13" x14ac:dyDescent="0.25">
      <c r="A153" t="s">
        <v>5053</v>
      </c>
      <c r="B153">
        <v>2</v>
      </c>
      <c r="C153">
        <v>26</v>
      </c>
      <c r="D153" t="s">
        <v>4561</v>
      </c>
      <c r="E153" s="7">
        <v>7007</v>
      </c>
      <c r="F153" s="3" t="str" cm="1">
        <f t="array" ref="F153">IFERROR(_xlfn.XLOOKUP(TEXT(E153,"0000"),TEXT(Catalog!A:A,"0000"),Catalog!B:B),"")</f>
        <v>JVL16 -63 40A 4P 300mA AARDLEK</v>
      </c>
      <c r="G153">
        <v>16</v>
      </c>
    </row>
    <row r="154" spans="1:13" x14ac:dyDescent="0.25">
      <c r="A154" t="s">
        <v>5053</v>
      </c>
      <c r="B154">
        <v>2</v>
      </c>
      <c r="C154">
        <v>26</v>
      </c>
      <c r="D154" t="s">
        <v>4561</v>
      </c>
      <c r="E154" s="7">
        <v>7008</v>
      </c>
      <c r="F154" s="3" t="str" cm="1">
        <f t="array" ref="F154">IFERROR(_xlfn.XLOOKUP(TEXT(E154,"0000"),TEXT(Catalog!A:A,"0000"),Catalog!B:B),"")</f>
        <v>JVL16 -63 63A 4P 300mA AARDLEK</v>
      </c>
      <c r="G154">
        <v>45</v>
      </c>
    </row>
    <row r="155" spans="1:13" x14ac:dyDescent="0.25">
      <c r="E155" s="7"/>
      <c r="F155" s="3"/>
    </row>
    <row r="158" spans="1:13" ht="24" x14ac:dyDescent="0.4">
      <c r="D158" s="35" t="s">
        <v>4557</v>
      </c>
      <c r="E158" s="36"/>
      <c r="F158" s="36"/>
      <c r="G158" s="36"/>
      <c r="H158" s="36"/>
      <c r="I158" s="36"/>
      <c r="J158" s="37"/>
      <c r="K158" s="43" t="s">
        <v>4459</v>
      </c>
      <c r="L158" s="13" t="s">
        <v>4432</v>
      </c>
      <c r="M158" s="44" t="s">
        <v>4460</v>
      </c>
    </row>
    <row r="159" spans="1:13" ht="18.75" x14ac:dyDescent="0.3">
      <c r="D159" s="11" t="s">
        <v>4445</v>
      </c>
      <c r="E159" s="11" t="s">
        <v>4433</v>
      </c>
      <c r="F159" s="11" t="s">
        <v>4434</v>
      </c>
      <c r="G159" s="11" t="s">
        <v>4435</v>
      </c>
      <c r="H159" s="11" t="s">
        <v>4436</v>
      </c>
      <c r="I159" s="11" t="s">
        <v>4444</v>
      </c>
      <c r="J159" s="11" t="s">
        <v>4436</v>
      </c>
      <c r="K159" s="43"/>
      <c r="L159" s="11" t="s">
        <v>4447</v>
      </c>
      <c r="M159" s="44"/>
    </row>
    <row r="160" spans="1:13" x14ac:dyDescent="0.25">
      <c r="A160" t="s">
        <v>5053</v>
      </c>
      <c r="B160">
        <v>2</v>
      </c>
      <c r="C160">
        <v>28</v>
      </c>
      <c r="D160" t="s">
        <v>4835</v>
      </c>
      <c r="E160">
        <v>7154</v>
      </c>
      <c r="F160" s="3" t="str" cm="1">
        <f t="array" ref="F160">IFERROR(_xlfn.XLOOKUP(TEXT(E160,"0000"),TEXT(Catalog!A:A,"0000"),Catalog!B:B),"")</f>
        <v xml:space="preserve">INB.KAST 12/14MD 5012R1       </v>
      </c>
      <c r="G160">
        <v>40</v>
      </c>
    </row>
    <row r="161" spans="1:13" x14ac:dyDescent="0.25">
      <c r="A161" t="s">
        <v>5053</v>
      </c>
      <c r="B161">
        <v>2</v>
      </c>
      <c r="C161">
        <v>28</v>
      </c>
      <c r="D161" t="s">
        <v>4835</v>
      </c>
      <c r="E161">
        <v>7155</v>
      </c>
      <c r="F161" s="3" t="str" cm="1">
        <f t="array" ref="F161">IFERROR(_xlfn.XLOOKUP(TEXT(E161,"0000"),TEXT(Catalog!A:A,"0000"),Catalog!B:B),"")</f>
        <v xml:space="preserve">INB.KAST 24/28MD 5250R1       </v>
      </c>
      <c r="G161">
        <v>15</v>
      </c>
    </row>
    <row r="162" spans="1:13" x14ac:dyDescent="0.25">
      <c r="A162" t="s">
        <v>5053</v>
      </c>
      <c r="B162">
        <v>2</v>
      </c>
      <c r="C162">
        <v>28</v>
      </c>
      <c r="D162" t="s">
        <v>4835</v>
      </c>
      <c r="E162">
        <v>7156</v>
      </c>
      <c r="F162" s="3" t="str" cm="1">
        <f t="array" ref="F162">IFERROR(_xlfn.XLOOKUP(TEXT(E162,"0000"),TEXT(Catalog!A:A,"0000"),Catalog!B:B),"")</f>
        <v xml:space="preserve">INB.KAST 36/42MD 5260R1       </v>
      </c>
      <c r="G162">
        <v>8</v>
      </c>
    </row>
    <row r="165" spans="1:13" ht="24" x14ac:dyDescent="0.4">
      <c r="D165" s="42" t="s">
        <v>4440</v>
      </c>
      <c r="E165" s="42"/>
      <c r="F165" s="42"/>
      <c r="G165" s="42"/>
      <c r="H165" s="42"/>
      <c r="I165" s="42"/>
      <c r="J165" s="42"/>
      <c r="K165" s="43" t="s">
        <v>4459</v>
      </c>
      <c r="L165" s="13" t="s">
        <v>4432</v>
      </c>
      <c r="M165" s="44" t="s">
        <v>4460</v>
      </c>
    </row>
    <row r="166" spans="1:13" ht="18.75" x14ac:dyDescent="0.3">
      <c r="D166" s="11" t="s">
        <v>4445</v>
      </c>
      <c r="E166" s="11" t="s">
        <v>4433</v>
      </c>
      <c r="F166" s="11" t="s">
        <v>4434</v>
      </c>
      <c r="G166" s="11" t="s">
        <v>4435</v>
      </c>
      <c r="H166" s="11" t="s">
        <v>4436</v>
      </c>
      <c r="I166" s="11" t="s">
        <v>4444</v>
      </c>
      <c r="J166" s="11" t="s">
        <v>4436</v>
      </c>
      <c r="K166" s="43"/>
      <c r="L166" s="11" t="s">
        <v>4447</v>
      </c>
      <c r="M166" s="44"/>
    </row>
    <row r="167" spans="1:13" x14ac:dyDescent="0.25">
      <c r="A167" t="s">
        <v>5053</v>
      </c>
      <c r="B167">
        <v>2</v>
      </c>
      <c r="C167">
        <v>29</v>
      </c>
      <c r="D167" t="s">
        <v>4451</v>
      </c>
      <c r="E167">
        <v>7010</v>
      </c>
      <c r="F167" s="3" t="s">
        <v>3780</v>
      </c>
      <c r="G167">
        <f>120+120+84</f>
        <v>324</v>
      </c>
    </row>
    <row r="168" spans="1:13" x14ac:dyDescent="0.25">
      <c r="A168" t="s">
        <v>5053</v>
      </c>
      <c r="B168">
        <v>2</v>
      </c>
      <c r="C168">
        <v>29</v>
      </c>
      <c r="D168" t="s">
        <v>4451</v>
      </c>
      <c r="E168">
        <v>7013</v>
      </c>
      <c r="F168" s="3" t="s">
        <v>3784</v>
      </c>
      <c r="G168">
        <f>120+60+5</f>
        <v>185</v>
      </c>
    </row>
    <row r="169" spans="1:13" x14ac:dyDescent="0.25">
      <c r="A169" t="s">
        <v>5053</v>
      </c>
      <c r="B169">
        <v>2</v>
      </c>
      <c r="C169">
        <v>29</v>
      </c>
      <c r="D169" t="s">
        <v>4451</v>
      </c>
      <c r="E169">
        <v>7011</v>
      </c>
      <c r="F169" s="3" t="s">
        <v>3782</v>
      </c>
      <c r="G169">
        <f>9*12</f>
        <v>108</v>
      </c>
    </row>
    <row r="170" spans="1:13" x14ac:dyDescent="0.25">
      <c r="A170" t="s">
        <v>5053</v>
      </c>
      <c r="B170">
        <v>2</v>
      </c>
      <c r="C170">
        <v>29</v>
      </c>
      <c r="D170" t="s">
        <v>4451</v>
      </c>
      <c r="E170">
        <v>7014</v>
      </c>
      <c r="F170" s="3" t="s">
        <v>3786</v>
      </c>
      <c r="G170">
        <f>4*12+1</f>
        <v>49</v>
      </c>
    </row>
    <row r="171" spans="1:13" x14ac:dyDescent="0.25">
      <c r="A171" t="s">
        <v>5053</v>
      </c>
      <c r="B171">
        <v>2</v>
      </c>
      <c r="C171">
        <v>29</v>
      </c>
      <c r="D171" t="s">
        <v>4451</v>
      </c>
      <c r="E171">
        <v>7015</v>
      </c>
      <c r="F171" s="3" t="s">
        <v>3788</v>
      </c>
      <c r="G171">
        <f>4*12+2</f>
        <v>50</v>
      </c>
    </row>
    <row r="172" spans="1:13" x14ac:dyDescent="0.25">
      <c r="A172" t="s">
        <v>5053</v>
      </c>
      <c r="B172">
        <v>2</v>
      </c>
      <c r="C172">
        <v>29</v>
      </c>
      <c r="D172" t="s">
        <v>4451</v>
      </c>
      <c r="E172">
        <v>7016</v>
      </c>
      <c r="F172" s="3" t="s">
        <v>3790</v>
      </c>
      <c r="G172">
        <f>(10*12)+7</f>
        <v>127</v>
      </c>
    </row>
    <row r="173" spans="1:13" x14ac:dyDescent="0.25">
      <c r="A173" t="s">
        <v>5053</v>
      </c>
      <c r="B173">
        <v>2</v>
      </c>
      <c r="C173">
        <v>29</v>
      </c>
      <c r="D173" t="s">
        <v>4451</v>
      </c>
      <c r="E173">
        <v>7017</v>
      </c>
      <c r="F173" s="3" t="s">
        <v>3792</v>
      </c>
      <c r="G173">
        <f>5*120</f>
        <v>600</v>
      </c>
    </row>
    <row r="174" spans="1:13" x14ac:dyDescent="0.25">
      <c r="A174" t="s">
        <v>5053</v>
      </c>
      <c r="B174">
        <v>2</v>
      </c>
      <c r="C174">
        <v>29</v>
      </c>
      <c r="D174" t="s">
        <v>4451</v>
      </c>
      <c r="E174">
        <v>7019</v>
      </c>
      <c r="F174" s="3" t="s">
        <v>3796</v>
      </c>
      <c r="G174">
        <f>(8*120)+(6*12)</f>
        <v>1032</v>
      </c>
    </row>
    <row r="175" spans="1:13" x14ac:dyDescent="0.25">
      <c r="A175" t="s">
        <v>5053</v>
      </c>
      <c r="B175">
        <v>2</v>
      </c>
      <c r="C175">
        <v>29</v>
      </c>
      <c r="D175" t="s">
        <v>4451</v>
      </c>
      <c r="E175">
        <v>7020</v>
      </c>
      <c r="F175" s="3" t="s">
        <v>3798</v>
      </c>
      <c r="G175">
        <f>6+5</f>
        <v>11</v>
      </c>
    </row>
    <row r="176" spans="1:13" x14ac:dyDescent="0.25">
      <c r="A176" t="s">
        <v>5053</v>
      </c>
      <c r="B176">
        <v>2</v>
      </c>
      <c r="C176">
        <v>29</v>
      </c>
      <c r="D176" t="s">
        <v>4451</v>
      </c>
      <c r="E176">
        <v>7021</v>
      </c>
      <c r="F176" s="3" t="s">
        <v>3800</v>
      </c>
      <c r="G176">
        <f>60+3</f>
        <v>63</v>
      </c>
    </row>
    <row r="177" spans="1:13" x14ac:dyDescent="0.25">
      <c r="F177" s="3"/>
    </row>
    <row r="178" spans="1:13" ht="24" x14ac:dyDescent="0.4">
      <c r="D178" s="42" t="s">
        <v>4558</v>
      </c>
      <c r="E178" s="42"/>
      <c r="F178" s="42"/>
      <c r="G178" s="42"/>
      <c r="H178" s="42"/>
      <c r="I178" s="42"/>
      <c r="J178" s="42"/>
      <c r="K178" s="43" t="s">
        <v>4459</v>
      </c>
      <c r="L178" s="13" t="s">
        <v>4432</v>
      </c>
      <c r="M178" s="44" t="s">
        <v>4460</v>
      </c>
    </row>
    <row r="179" spans="1:13" ht="18.75" x14ac:dyDescent="0.3">
      <c r="D179" s="11" t="s">
        <v>4445</v>
      </c>
      <c r="E179" s="11" t="s">
        <v>4433</v>
      </c>
      <c r="F179" s="11" t="s">
        <v>4434</v>
      </c>
      <c r="G179" s="11" t="s">
        <v>4435</v>
      </c>
      <c r="H179" s="11" t="s">
        <v>4436</v>
      </c>
      <c r="I179" s="11" t="s">
        <v>4444</v>
      </c>
      <c r="J179" s="11" t="s">
        <v>4436</v>
      </c>
      <c r="K179" s="43"/>
      <c r="L179" s="11" t="s">
        <v>4447</v>
      </c>
      <c r="M179" s="44"/>
    </row>
    <row r="180" spans="1:13" x14ac:dyDescent="0.25">
      <c r="A180" t="s">
        <v>5053</v>
      </c>
      <c r="B180">
        <v>2</v>
      </c>
      <c r="C180">
        <v>30</v>
      </c>
      <c r="D180" t="s">
        <v>4451</v>
      </c>
      <c r="E180" s="21">
        <v>7007</v>
      </c>
      <c r="F180" s="3" t="str" cm="1">
        <f t="array" ref="F180">IFERROR(_xlfn.XLOOKUP(TEXT(E180,"0000"),TEXT(Catalog!A:A,"0000"),Catalog!B:B),"")</f>
        <v>JVL16 -63 40A 4P 300mA AARDLEK</v>
      </c>
      <c r="G180">
        <v>5</v>
      </c>
    </row>
    <row r="181" spans="1:13" x14ac:dyDescent="0.25">
      <c r="A181" t="s">
        <v>5053</v>
      </c>
      <c r="B181">
        <v>2</v>
      </c>
      <c r="C181">
        <v>30</v>
      </c>
      <c r="D181" t="s">
        <v>4451</v>
      </c>
      <c r="E181">
        <v>7182</v>
      </c>
      <c r="F181" s="3" t="str" cm="1">
        <f t="array" ref="F181">IFERROR(_xlfn.XLOOKUP(TEXT(E181,"0000"),TEXT(Catalog!A:A,"0000"),Catalog!B:B),"")</f>
        <v xml:space="preserve">ROL VERLENGSNOER 15M 7423/1   </v>
      </c>
      <c r="G181">
        <v>15</v>
      </c>
    </row>
    <row r="182" spans="1:13" x14ac:dyDescent="0.25">
      <c r="A182" t="s">
        <v>5053</v>
      </c>
      <c r="B182">
        <v>2</v>
      </c>
      <c r="C182">
        <v>30</v>
      </c>
      <c r="D182" t="s">
        <v>4451</v>
      </c>
      <c r="E182">
        <v>7183</v>
      </c>
      <c r="F182" s="3" t="str" cm="1">
        <f t="array" ref="F182">IFERROR(_xlfn.XLOOKUP(TEXT(E182,"0000"),TEXT(Catalog!A:A,"0000"),Catalog!B:B),"")</f>
        <v xml:space="preserve">ROL VERLENGSNOER 25M 7425/1   </v>
      </c>
      <c r="G182">
        <v>16</v>
      </c>
    </row>
    <row r="183" spans="1:13" x14ac:dyDescent="0.25">
      <c r="A183" t="s">
        <v>5053</v>
      </c>
      <c r="B183">
        <v>2</v>
      </c>
      <c r="C183">
        <v>30</v>
      </c>
      <c r="D183" t="s">
        <v>4451</v>
      </c>
      <c r="E183">
        <v>7005</v>
      </c>
      <c r="F183" s="3" t="str" cm="1">
        <f t="array" ref="F183">IFERROR(_xlfn.XLOOKUP(TEXT(E183,"0000"),TEXT(Catalog!A:A,"0000"),Catalog!B:B),"")</f>
        <v>JVL16 -63  40A 4P 30mA AARDLEK</v>
      </c>
      <c r="G183" t="s">
        <v>4555</v>
      </c>
      <c r="H183">
        <v>38</v>
      </c>
    </row>
    <row r="184" spans="1:13" x14ac:dyDescent="0.25">
      <c r="A184" t="s">
        <v>5053</v>
      </c>
      <c r="B184">
        <v>2</v>
      </c>
      <c r="C184">
        <v>30</v>
      </c>
      <c r="D184" t="s">
        <v>4451</v>
      </c>
      <c r="E184">
        <v>7030</v>
      </c>
      <c r="F184" s="3" t="str" cm="1">
        <f t="array" ref="F184">IFERROR(_xlfn.XLOOKUP(TEXT(E184,"0000"),TEXT(Catalog!A:A,"0000"),Catalog!B:B),"")</f>
        <v>JVM16-63 16A 3P+N C-TYPE AUTOM</v>
      </c>
      <c r="G184" t="s">
        <v>4653</v>
      </c>
      <c r="H184">
        <v>5</v>
      </c>
      <c r="M184" t="s">
        <v>4845</v>
      </c>
    </row>
    <row r="185" spans="1:13" x14ac:dyDescent="0.25">
      <c r="A185" t="s">
        <v>5053</v>
      </c>
      <c r="B185">
        <v>2</v>
      </c>
      <c r="C185">
        <v>30</v>
      </c>
      <c r="D185" t="s">
        <v>4451</v>
      </c>
      <c r="E185">
        <v>7032</v>
      </c>
      <c r="F185" s="3" t="str" cm="1">
        <f t="array" ref="F185">IFERROR(_xlfn.XLOOKUP(TEXT(E185,"0000"),TEXT(Catalog!A:A,"0000"),Catalog!B:B),"")</f>
        <v>JVM16 -63 32A 3P+N C-TYPE AUTO</v>
      </c>
      <c r="G185" t="s">
        <v>4844</v>
      </c>
      <c r="H185">
        <v>7</v>
      </c>
      <c r="M185" t="s">
        <v>4845</v>
      </c>
    </row>
    <row r="186" spans="1:13" x14ac:dyDescent="0.25">
      <c r="A186" t="s">
        <v>5053</v>
      </c>
      <c r="B186">
        <v>2</v>
      </c>
      <c r="C186">
        <v>30</v>
      </c>
      <c r="D186" t="s">
        <v>4451</v>
      </c>
      <c r="E186">
        <v>7033</v>
      </c>
      <c r="F186" s="3" t="str" cm="1">
        <f t="array" ref="F186">IFERROR(_xlfn.XLOOKUP(TEXT(E186,"0000"),TEXT(Catalog!A:A,"0000"),Catalog!B:B),"")</f>
        <v>JVM16 -63 40A 3P+N C-TYPE AUTO</v>
      </c>
      <c r="G186" t="s">
        <v>4844</v>
      </c>
      <c r="H186">
        <v>2</v>
      </c>
      <c r="M186" t="s">
        <v>4845</v>
      </c>
    </row>
    <row r="187" spans="1:13" x14ac:dyDescent="0.25">
      <c r="A187" t="s">
        <v>5053</v>
      </c>
      <c r="B187">
        <v>2</v>
      </c>
      <c r="C187">
        <v>30</v>
      </c>
      <c r="D187" t="s">
        <v>4451</v>
      </c>
      <c r="E187">
        <v>7034</v>
      </c>
      <c r="F187" s="3" t="str" cm="1">
        <f t="array" ref="F187">IFERROR(_xlfn.XLOOKUP(TEXT(E187,"0000"),TEXT(Catalog!A:A,"0000"),Catalog!B:B),"")</f>
        <v>JVM16 -63 50A 3P+N C-TYPE AUTO</v>
      </c>
      <c r="H187">
        <v>4</v>
      </c>
    </row>
    <row r="188" spans="1:13" x14ac:dyDescent="0.25">
      <c r="A188" t="s">
        <v>5053</v>
      </c>
      <c r="B188">
        <v>2</v>
      </c>
      <c r="C188">
        <v>30</v>
      </c>
      <c r="D188" t="s">
        <v>4451</v>
      </c>
      <c r="F188" t="s">
        <v>4846</v>
      </c>
      <c r="G188" t="s">
        <v>4653</v>
      </c>
      <c r="M188" t="s">
        <v>4845</v>
      </c>
    </row>
    <row r="189" spans="1:13" x14ac:dyDescent="0.25">
      <c r="A189" t="s">
        <v>5053</v>
      </c>
      <c r="B189">
        <v>2</v>
      </c>
      <c r="C189">
        <v>30</v>
      </c>
      <c r="D189" t="s">
        <v>4451</v>
      </c>
      <c r="E189">
        <v>7035</v>
      </c>
      <c r="F189" s="3" t="str" cm="1">
        <f t="array" ref="F189">IFERROR(_xlfn.XLOOKUP(TEXT(E189,"0000"),TEXT(Catalog!A:A,"0000"),Catalog!B:B),"")</f>
        <v>JVM16 -63 63A 3P+N C-TYPE AUTO</v>
      </c>
      <c r="G189" t="s">
        <v>4653</v>
      </c>
      <c r="H189">
        <v>5</v>
      </c>
      <c r="M189" t="s">
        <v>4845</v>
      </c>
    </row>
    <row r="191" spans="1:13" ht="24" x14ac:dyDescent="0.4">
      <c r="D191" s="42" t="s">
        <v>4856</v>
      </c>
      <c r="E191" s="42"/>
      <c r="F191" s="42"/>
      <c r="G191" s="42"/>
      <c r="H191" s="42"/>
      <c r="I191" s="42"/>
      <c r="J191" s="42"/>
      <c r="K191" s="43" t="s">
        <v>4459</v>
      </c>
      <c r="L191" s="13" t="s">
        <v>4432</v>
      </c>
      <c r="M191" s="44" t="s">
        <v>4460</v>
      </c>
    </row>
    <row r="192" spans="1:13" ht="18.75" x14ac:dyDescent="0.3">
      <c r="D192" s="11" t="s">
        <v>4445</v>
      </c>
      <c r="E192" s="11" t="s">
        <v>4433</v>
      </c>
      <c r="F192" s="11" t="s">
        <v>4434</v>
      </c>
      <c r="G192" s="11" t="s">
        <v>4435</v>
      </c>
      <c r="H192" s="11" t="s">
        <v>4436</v>
      </c>
      <c r="I192" s="11" t="s">
        <v>4444</v>
      </c>
      <c r="J192" s="11" t="s">
        <v>4436</v>
      </c>
      <c r="K192" s="43"/>
      <c r="L192" s="11" t="s">
        <v>4447</v>
      </c>
      <c r="M192" s="44"/>
    </row>
    <row r="193" spans="1:7" x14ac:dyDescent="0.25">
      <c r="A193" t="s">
        <v>5053</v>
      </c>
      <c r="B193">
        <v>2</v>
      </c>
      <c r="C193">
        <v>16</v>
      </c>
      <c r="D193" t="s">
        <v>4561</v>
      </c>
      <c r="E193">
        <v>1940</v>
      </c>
      <c r="F193" s="3" t="str" cm="1">
        <f t="array" ref="F193">IFERROR(_xlfn.XLOOKUP(TEXT(E193,"0000"),TEXT(Catalog!A:A,"0000"),Catalog!B:B),"")</f>
        <v xml:space="preserve">HOOFDSCHAKELAAR 1000A         </v>
      </c>
      <c r="G193">
        <v>4</v>
      </c>
    </row>
    <row r="194" spans="1:7" x14ac:dyDescent="0.25">
      <c r="A194" t="s">
        <v>5053</v>
      </c>
      <c r="B194">
        <v>2</v>
      </c>
      <c r="C194">
        <v>16</v>
      </c>
      <c r="D194" t="s">
        <v>4561</v>
      </c>
      <c r="E194">
        <v>1939</v>
      </c>
      <c r="F194" s="3" t="str" cm="1">
        <f t="array" ref="F194">IFERROR(_xlfn.XLOOKUP(TEXT(E194,"0000"),TEXT(Catalog!A:A,"0000"),Catalog!B:B),"")</f>
        <v xml:space="preserve">HOOFDSCHAKELAAR 800A          </v>
      </c>
      <c r="G194">
        <v>4</v>
      </c>
    </row>
    <row r="195" spans="1:7" x14ac:dyDescent="0.25">
      <c r="A195" t="s">
        <v>5053</v>
      </c>
      <c r="B195">
        <v>2</v>
      </c>
      <c r="C195">
        <v>16</v>
      </c>
      <c r="D195" t="s">
        <v>4561</v>
      </c>
      <c r="E195">
        <v>1938</v>
      </c>
      <c r="F195" s="3" t="str" cm="1">
        <f t="array" ref="F195">IFERROR(_xlfn.XLOOKUP(TEXT(E195,"0000"),TEXT(Catalog!A:A,"0000"),Catalog!B:B),"")</f>
        <v xml:space="preserve">HOOFDSCHAKELAAR 630A          </v>
      </c>
      <c r="G195">
        <v>7</v>
      </c>
    </row>
    <row r="196" spans="1:7" x14ac:dyDescent="0.25">
      <c r="A196" t="s">
        <v>5053</v>
      </c>
      <c r="B196">
        <v>2</v>
      </c>
      <c r="C196">
        <v>16</v>
      </c>
      <c r="D196" t="s">
        <v>4561</v>
      </c>
      <c r="E196">
        <v>1937</v>
      </c>
      <c r="F196" s="3" t="str" cm="1">
        <f t="array" ref="F196">IFERROR(_xlfn.XLOOKUP(TEXT(E196,"0000"),TEXT(Catalog!A:A,"0000"),Catalog!B:B),"")</f>
        <v xml:space="preserve">HOOFDSCHAKELAAR 400A          </v>
      </c>
      <c r="G196">
        <v>3</v>
      </c>
    </row>
    <row r="197" spans="1:7" x14ac:dyDescent="0.25">
      <c r="A197" t="s">
        <v>5053</v>
      </c>
      <c r="B197">
        <v>2</v>
      </c>
      <c r="C197">
        <v>16</v>
      </c>
      <c r="D197" t="s">
        <v>4561</v>
      </c>
      <c r="E197">
        <v>1936</v>
      </c>
      <c r="F197" s="3" t="str" cm="1">
        <f t="array" ref="F197">IFERROR(_xlfn.XLOOKUP(TEXT(E197,"0000"),TEXT(Catalog!A:A,"0000"),Catalog!B:B),"")</f>
        <v xml:space="preserve">HOOFDSCHAKELAAR 250A          </v>
      </c>
      <c r="G197">
        <v>3</v>
      </c>
    </row>
    <row r="198" spans="1:7" x14ac:dyDescent="0.25">
      <c r="A198" t="s">
        <v>5053</v>
      </c>
      <c r="B198">
        <v>2</v>
      </c>
      <c r="C198">
        <v>16</v>
      </c>
      <c r="D198" t="s">
        <v>4561</v>
      </c>
      <c r="E198">
        <v>1935</v>
      </c>
      <c r="F198" s="3" t="str" cm="1">
        <f t="array" ref="F198">IFERROR(_xlfn.XLOOKUP(TEXT(E198,"0000"),TEXT(Catalog!A:A,"0000"),Catalog!B:B),"")</f>
        <v xml:space="preserve">HOOFDSCHAKELAAR 160A S5000    </v>
      </c>
      <c r="G198">
        <v>23</v>
      </c>
    </row>
    <row r="199" spans="1:7" x14ac:dyDescent="0.25">
      <c r="A199" t="s">
        <v>5053</v>
      </c>
      <c r="B199">
        <v>2</v>
      </c>
      <c r="C199">
        <v>16</v>
      </c>
      <c r="D199" t="s">
        <v>4561</v>
      </c>
      <c r="E199">
        <v>1934</v>
      </c>
      <c r="F199" s="3" t="str" cm="1">
        <f t="array" ref="F199">IFERROR(_xlfn.XLOOKUP(TEXT(E199,"0000"),TEXT(Catalog!A:A,"0000"),Catalog!B:B),"")</f>
        <v xml:space="preserve">HOOFDSCHAKELAAR 160A INBUS    </v>
      </c>
      <c r="G199">
        <v>20</v>
      </c>
    </row>
    <row r="200" spans="1:7" x14ac:dyDescent="0.25">
      <c r="A200" t="s">
        <v>5053</v>
      </c>
      <c r="B200">
        <v>2</v>
      </c>
      <c r="C200">
        <v>16</v>
      </c>
      <c r="D200" t="s">
        <v>4561</v>
      </c>
      <c r="E200">
        <v>1933</v>
      </c>
      <c r="F200" s="3" t="str" cm="1">
        <f t="array" ref="F200">IFERROR(_xlfn.XLOOKUP(TEXT(E200,"0000"),TEXT(Catalog!A:A,"0000"),Catalog!B:B),"")</f>
        <v xml:space="preserve">HOOFDSCHAKELAAR 125A S5000    </v>
      </c>
      <c r="G200">
        <v>5</v>
      </c>
    </row>
    <row r="201" spans="1:7" x14ac:dyDescent="0.25">
      <c r="A201" t="s">
        <v>5053</v>
      </c>
      <c r="B201">
        <v>2</v>
      </c>
      <c r="C201">
        <v>16</v>
      </c>
      <c r="D201" t="s">
        <v>4561</v>
      </c>
      <c r="E201">
        <v>1954</v>
      </c>
      <c r="F201" s="3" t="str" cm="1">
        <f t="array" ref="F201">IFERROR(_xlfn.XLOOKUP(TEXT(E201,"0000"),TEXT(Catalog!A:A,"0000"),Catalog!B:B),"")</f>
        <v xml:space="preserve">OMSCHAKELAAR 63A 3P+N         </v>
      </c>
      <c r="G201">
        <v>3</v>
      </c>
    </row>
    <row r="202" spans="1:7" x14ac:dyDescent="0.25">
      <c r="A202" t="s">
        <v>5053</v>
      </c>
      <c r="B202">
        <v>2</v>
      </c>
      <c r="C202">
        <v>16</v>
      </c>
      <c r="D202" t="s">
        <v>4561</v>
      </c>
      <c r="E202">
        <v>1955</v>
      </c>
      <c r="F202" s="3" t="str" cm="1">
        <f t="array" ref="F202">IFERROR(_xlfn.XLOOKUP(TEXT(E202,"0000"),TEXT(Catalog!A:A,"0000"),Catalog!B:B),"")</f>
        <v xml:space="preserve">OMSCHAKELAAR 80A 3P+N         </v>
      </c>
      <c r="G202">
        <v>16</v>
      </c>
    </row>
    <row r="203" spans="1:7" x14ac:dyDescent="0.25">
      <c r="A203" t="s">
        <v>5053</v>
      </c>
      <c r="B203">
        <v>2</v>
      </c>
      <c r="C203">
        <v>16</v>
      </c>
      <c r="D203" t="s">
        <v>4561</v>
      </c>
      <c r="E203">
        <v>1959</v>
      </c>
      <c r="F203" s="3" t="str" cm="1">
        <f t="array" ref="F203">IFERROR(_xlfn.XLOOKUP(TEXT(E203,"0000"),TEXT(Catalog!A:A,"0000"),Catalog!B:B),"")</f>
        <v xml:space="preserve">OMSCHAKELAAR 400A 3P+N        </v>
      </c>
      <c r="G203">
        <v>3</v>
      </c>
    </row>
    <row r="204" spans="1:7" x14ac:dyDescent="0.25">
      <c r="A204" t="s">
        <v>5053</v>
      </c>
      <c r="B204">
        <v>2</v>
      </c>
      <c r="C204">
        <v>16</v>
      </c>
      <c r="D204" t="s">
        <v>4561</v>
      </c>
      <c r="E204">
        <v>1995</v>
      </c>
      <c r="F204" s="3" t="str" cm="1">
        <f t="array" ref="F204">IFERROR(_xlfn.XLOOKUP(TEXT(E204,"0000"),TEXT(Catalog!A:A,"0000"),Catalog!B:B),"")</f>
        <v xml:space="preserve">OMSCHAKELAAR 160A 3P+N        </v>
      </c>
      <c r="G204">
        <v>2</v>
      </c>
    </row>
    <row r="205" spans="1:7" x14ac:dyDescent="0.25">
      <c r="A205" t="s">
        <v>5053</v>
      </c>
      <c r="B205">
        <v>2</v>
      </c>
      <c r="C205">
        <v>16</v>
      </c>
      <c r="D205" t="s">
        <v>4561</v>
      </c>
      <c r="E205">
        <v>1957</v>
      </c>
      <c r="F205" s="3" t="str" cm="1">
        <f t="array" ref="F205">IFERROR(_xlfn.XLOOKUP(TEXT(E205,"0000"),TEXT(Catalog!A:A,"0000"),Catalog!B:B),"")</f>
        <v xml:space="preserve">OMSCHAKELAAR 160A 3P          </v>
      </c>
      <c r="G205">
        <v>4</v>
      </c>
    </row>
    <row r="206" spans="1:7" x14ac:dyDescent="0.25">
      <c r="A206" t="s">
        <v>5053</v>
      </c>
      <c r="B206">
        <v>2</v>
      </c>
      <c r="C206">
        <v>16</v>
      </c>
      <c r="D206" t="s">
        <v>4561</v>
      </c>
      <c r="E206">
        <v>1959</v>
      </c>
      <c r="F206" s="3" t="str" cm="1">
        <f t="array" ref="F206">IFERROR(_xlfn.XLOOKUP(TEXT(E206,"0000"),TEXT(Catalog!A:A,"0000"),Catalog!B:B),"")</f>
        <v xml:space="preserve">OMSCHAKELAAR 400A 3P+N        </v>
      </c>
      <c r="G206">
        <v>1</v>
      </c>
    </row>
    <row r="207" spans="1:7" x14ac:dyDescent="0.25">
      <c r="A207" t="s">
        <v>5053</v>
      </c>
      <c r="B207">
        <v>2</v>
      </c>
      <c r="C207">
        <v>16</v>
      </c>
      <c r="D207" t="s">
        <v>4561</v>
      </c>
      <c r="E207">
        <v>1960</v>
      </c>
      <c r="F207" s="3" t="str" cm="1">
        <f t="array" ref="F207">IFERROR(_xlfn.XLOOKUP(TEXT(E207,"0000"),TEXT(Catalog!A:A,"0000"),Catalog!B:B),"")</f>
        <v xml:space="preserve">OMSCHAKELAAR 630A 3P+N        </v>
      </c>
      <c r="G207">
        <v>2</v>
      </c>
    </row>
  </sheetData>
  <mergeCells count="55">
    <mergeCell ref="D1:K1"/>
    <mergeCell ref="D2:J2"/>
    <mergeCell ref="K2:K3"/>
    <mergeCell ref="M2:M3"/>
    <mergeCell ref="D13:J13"/>
    <mergeCell ref="K13:K14"/>
    <mergeCell ref="M13:M14"/>
    <mergeCell ref="D21:J21"/>
    <mergeCell ref="K21:K22"/>
    <mergeCell ref="M21:M22"/>
    <mergeCell ref="D30:J30"/>
    <mergeCell ref="K30:K31"/>
    <mergeCell ref="M30:M31"/>
    <mergeCell ref="D38:J38"/>
    <mergeCell ref="K38:K39"/>
    <mergeCell ref="M38:M39"/>
    <mergeCell ref="D46:J46"/>
    <mergeCell ref="K46:K47"/>
    <mergeCell ref="M46:M47"/>
    <mergeCell ref="D55:J55"/>
    <mergeCell ref="K55:K56"/>
    <mergeCell ref="M55:M56"/>
    <mergeCell ref="D62:J62"/>
    <mergeCell ref="K62:K63"/>
    <mergeCell ref="M62:M63"/>
    <mergeCell ref="D69:J69"/>
    <mergeCell ref="K69:K70"/>
    <mergeCell ref="M69:M70"/>
    <mergeCell ref="D79:J79"/>
    <mergeCell ref="K79:K80"/>
    <mergeCell ref="M79:M80"/>
    <mergeCell ref="D86:J86"/>
    <mergeCell ref="K86:K87"/>
    <mergeCell ref="M86:M87"/>
    <mergeCell ref="D95:J95"/>
    <mergeCell ref="K95:K96"/>
    <mergeCell ref="M95:M96"/>
    <mergeCell ref="D125:J125"/>
    <mergeCell ref="K125:K126"/>
    <mergeCell ref="M125:M126"/>
    <mergeCell ref="D136:J136"/>
    <mergeCell ref="K136:K137"/>
    <mergeCell ref="M136:M137"/>
    <mergeCell ref="D158:J158"/>
    <mergeCell ref="K158:K159"/>
    <mergeCell ref="M158:M159"/>
    <mergeCell ref="D165:J165"/>
    <mergeCell ref="K165:K166"/>
    <mergeCell ref="M165:M166"/>
    <mergeCell ref="D178:J178"/>
    <mergeCell ref="K178:K179"/>
    <mergeCell ref="M178:M179"/>
    <mergeCell ref="D191:J191"/>
    <mergeCell ref="K191:K192"/>
    <mergeCell ref="M191:M192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E2773-3603-4AFE-BAF8-FC0C346228AC}">
  <dimension ref="A1:P194"/>
  <sheetViews>
    <sheetView topLeftCell="A169" workbookViewId="0">
      <selection activeCell="C192" sqref="C192"/>
    </sheetView>
  </sheetViews>
  <sheetFormatPr defaultColWidth="11.42578125" defaultRowHeight="15" x14ac:dyDescent="0.25"/>
  <cols>
    <col min="4" max="4" width="12.5703125" customWidth="1"/>
    <col min="5" max="5" width="10.85546875" customWidth="1"/>
    <col min="6" max="6" width="43.140625" customWidth="1"/>
    <col min="7" max="7" width="12.28515625" customWidth="1"/>
    <col min="13" max="13" width="30.42578125" customWidth="1"/>
    <col min="15" max="15" width="7.28515625" customWidth="1"/>
  </cols>
  <sheetData>
    <row r="1" spans="1:13" ht="30" customHeight="1" x14ac:dyDescent="0.4">
      <c r="D1" s="34" t="s">
        <v>4559</v>
      </c>
      <c r="E1" s="34"/>
      <c r="F1" s="34"/>
      <c r="G1" s="34"/>
      <c r="H1" s="34"/>
      <c r="I1" s="34"/>
      <c r="J1" s="34"/>
      <c r="K1" s="34"/>
    </row>
    <row r="2" spans="1:13" ht="24" x14ac:dyDescent="0.4">
      <c r="D2" s="35" t="s">
        <v>4509</v>
      </c>
      <c r="E2" s="36"/>
      <c r="F2" s="36"/>
      <c r="G2" s="36"/>
      <c r="H2" s="36"/>
      <c r="I2" s="36"/>
      <c r="J2" s="37"/>
      <c r="K2" s="38" t="s">
        <v>4459</v>
      </c>
      <c r="L2" s="13" t="s">
        <v>4432</v>
      </c>
      <c r="M2" s="40" t="s">
        <v>4460</v>
      </c>
    </row>
    <row r="3" spans="1:13" ht="18.75" x14ac:dyDescent="0.3">
      <c r="D3" s="11" t="s">
        <v>4445</v>
      </c>
      <c r="E3" s="11" t="s">
        <v>4433</v>
      </c>
      <c r="F3" s="11" t="s">
        <v>4434</v>
      </c>
      <c r="G3" s="11" t="s">
        <v>4435</v>
      </c>
      <c r="H3" s="11" t="s">
        <v>4436</v>
      </c>
      <c r="I3" s="11" t="s">
        <v>4444</v>
      </c>
      <c r="J3" s="11" t="s">
        <v>4436</v>
      </c>
      <c r="K3" s="39"/>
      <c r="L3" s="11" t="s">
        <v>4447</v>
      </c>
      <c r="M3" s="41"/>
    </row>
    <row r="4" spans="1:13" x14ac:dyDescent="0.25">
      <c r="A4" t="s">
        <v>5053</v>
      </c>
      <c r="B4">
        <v>3</v>
      </c>
      <c r="C4">
        <v>26</v>
      </c>
      <c r="D4" t="s">
        <v>4567</v>
      </c>
      <c r="E4">
        <v>15144</v>
      </c>
      <c r="F4" s="3" t="str" cm="1">
        <f t="array" ref="F4">IFERROR(_xlfn.XLOOKUP(TEXT(E4,"0000"),TEXT(Catalog!A:A,"0000"),Catalog!B:B),"")</f>
        <v xml:space="preserve">OPB.KAST WD 36MD CDN36PT/RR   </v>
      </c>
      <c r="G4">
        <v>21</v>
      </c>
    </row>
    <row r="5" spans="1:13" x14ac:dyDescent="0.25">
      <c r="A5" t="s">
        <v>5053</v>
      </c>
      <c r="B5">
        <v>3</v>
      </c>
      <c r="C5">
        <v>26</v>
      </c>
      <c r="D5" t="s">
        <v>4567</v>
      </c>
      <c r="E5">
        <v>15145</v>
      </c>
      <c r="F5" s="3" t="str" cm="1">
        <f t="array" ref="F5">IFERROR(_xlfn.XLOOKUP(TEXT(E5,"0000"),TEXT(Catalog!A:A,"0000"),Catalog!B:B),"")</f>
        <v xml:space="preserve">OPB.KAST WD 54MD CDP54 PT/RR  </v>
      </c>
      <c r="G5">
        <v>12</v>
      </c>
    </row>
    <row r="6" spans="1:13" x14ac:dyDescent="0.25">
      <c r="A6" t="s">
        <v>5053</v>
      </c>
      <c r="B6">
        <v>3</v>
      </c>
      <c r="C6">
        <v>26</v>
      </c>
      <c r="D6" t="s">
        <v>4567</v>
      </c>
      <c r="E6">
        <v>7052</v>
      </c>
      <c r="F6" s="3" t="str" cm="1">
        <f t="array" ref="F6">IFERROR(_xlfn.XLOOKUP(TEXT(E6,"0000"),TEXT(Catalog!A:A,"0000"),Catalog!B:B),"")</f>
        <v xml:space="preserve">JUNCTION BOX 125A  4*11       </v>
      </c>
      <c r="G6">
        <v>2</v>
      </c>
    </row>
    <row r="7" spans="1:13" x14ac:dyDescent="0.25">
      <c r="A7" t="s">
        <v>5053</v>
      </c>
      <c r="B7">
        <v>3</v>
      </c>
      <c r="C7">
        <v>26</v>
      </c>
      <c r="D7" t="s">
        <v>4567</v>
      </c>
      <c r="E7">
        <v>7051</v>
      </c>
      <c r="F7" s="3" t="str" cm="1">
        <f t="array" ref="F7">IFERROR(_xlfn.XLOOKUP(TEXT(E7,"0000"),TEXT(Catalog!A:A,"0000"),Catalog!B:B),"")</f>
        <v xml:space="preserve">JUNCTION BOX 125A  4*7        </v>
      </c>
      <c r="G7">
        <v>37</v>
      </c>
    </row>
    <row r="8" spans="1:13" x14ac:dyDescent="0.25">
      <c r="A8" t="s">
        <v>5053</v>
      </c>
      <c r="B8">
        <v>3</v>
      </c>
      <c r="F8" s="3"/>
    </row>
    <row r="9" spans="1:13" ht="24" x14ac:dyDescent="0.4">
      <c r="A9" t="s">
        <v>5053</v>
      </c>
      <c r="B9">
        <v>3</v>
      </c>
      <c r="D9" s="35" t="s">
        <v>4525</v>
      </c>
      <c r="E9" s="36"/>
      <c r="F9" s="36"/>
      <c r="G9" s="36"/>
      <c r="H9" s="36"/>
      <c r="I9" s="36"/>
      <c r="J9" s="37"/>
      <c r="K9" s="38" t="s">
        <v>4459</v>
      </c>
      <c r="L9" s="13" t="s">
        <v>4432</v>
      </c>
      <c r="M9" s="40" t="s">
        <v>4460</v>
      </c>
    </row>
    <row r="10" spans="1:13" ht="18.75" x14ac:dyDescent="0.3">
      <c r="A10" t="s">
        <v>5053</v>
      </c>
      <c r="B10">
        <v>3</v>
      </c>
      <c r="D10" s="11" t="s">
        <v>4445</v>
      </c>
      <c r="E10" s="11" t="s">
        <v>4433</v>
      </c>
      <c r="F10" s="11" t="s">
        <v>4434</v>
      </c>
      <c r="G10" s="11" t="s">
        <v>4435</v>
      </c>
      <c r="H10" s="11" t="s">
        <v>4436</v>
      </c>
      <c r="I10" s="11" t="s">
        <v>4444</v>
      </c>
      <c r="J10" s="11" t="s">
        <v>4436</v>
      </c>
      <c r="K10" s="39"/>
      <c r="L10" s="11" t="s">
        <v>4447</v>
      </c>
      <c r="M10" s="41"/>
    </row>
    <row r="11" spans="1:13" x14ac:dyDescent="0.25">
      <c r="A11" t="s">
        <v>5053</v>
      </c>
      <c r="B11">
        <v>3</v>
      </c>
      <c r="C11">
        <v>21</v>
      </c>
      <c r="D11" t="s">
        <v>4567</v>
      </c>
      <c r="E11" s="6" t="s">
        <v>4982</v>
      </c>
      <c r="F11" s="3" t="str" cm="1">
        <f t="array" ref="F11">IFERROR(_xlfn.XLOOKUP(TEXT(E11,"0000"),TEXT(Catalog!A:A,"0000"),Catalog!B:B),"")</f>
        <v xml:space="preserve">ZEKERING 63A                  </v>
      </c>
      <c r="G11">
        <v>1325</v>
      </c>
    </row>
    <row r="12" spans="1:13" x14ac:dyDescent="0.25">
      <c r="A12" t="s">
        <v>5053</v>
      </c>
      <c r="B12">
        <v>3</v>
      </c>
      <c r="C12">
        <v>21</v>
      </c>
      <c r="D12" t="s">
        <v>4567</v>
      </c>
      <c r="E12" s="6" t="s">
        <v>4984</v>
      </c>
      <c r="F12" s="3" t="str" cm="1">
        <f t="array" ref="F12">IFERROR(_xlfn.XLOOKUP(TEXT(E12,"0000"),TEXT(Catalog!A:A,"0000"),Catalog!B:B),"")</f>
        <v xml:space="preserve">ZEKERING 50A                  </v>
      </c>
      <c r="G12">
        <v>950</v>
      </c>
    </row>
    <row r="13" spans="1:13" x14ac:dyDescent="0.25">
      <c r="A13" t="s">
        <v>5053</v>
      </c>
      <c r="B13">
        <v>3</v>
      </c>
      <c r="C13">
        <v>21</v>
      </c>
      <c r="D13" t="s">
        <v>4567</v>
      </c>
      <c r="E13" s="6" t="s">
        <v>4985</v>
      </c>
      <c r="F13" s="3" t="str" cm="1">
        <f t="array" ref="F13">IFERROR(_xlfn.XLOOKUP(TEXT(E13,"0000"),TEXT(Catalog!A:A,"0000"),Catalog!B:B),"")</f>
        <v xml:space="preserve">ZEKERING 35A                  </v>
      </c>
      <c r="G13">
        <v>875</v>
      </c>
    </row>
    <row r="14" spans="1:13" x14ac:dyDescent="0.25">
      <c r="A14" t="s">
        <v>5053</v>
      </c>
      <c r="B14">
        <v>3</v>
      </c>
      <c r="C14">
        <v>21</v>
      </c>
      <c r="D14" t="s">
        <v>4567</v>
      </c>
      <c r="E14" s="6" t="s">
        <v>4986</v>
      </c>
      <c r="F14" s="3" t="str" cm="1">
        <f t="array" ref="F14">IFERROR(_xlfn.XLOOKUP(TEXT(E14,"0000"),TEXT(Catalog!A:A,"0000"),Catalog!B:B),"")</f>
        <v xml:space="preserve">ZEKERING 25A                  </v>
      </c>
      <c r="G14">
        <v>477</v>
      </c>
    </row>
    <row r="15" spans="1:13" x14ac:dyDescent="0.25">
      <c r="A15" t="s">
        <v>5053</v>
      </c>
      <c r="B15">
        <v>3</v>
      </c>
      <c r="C15">
        <v>21</v>
      </c>
      <c r="D15" t="s">
        <v>4567</v>
      </c>
      <c r="E15" s="6" t="s">
        <v>4987</v>
      </c>
      <c r="F15" s="3" t="str" cm="1">
        <f t="array" ref="F15">IFERROR(_xlfn.XLOOKUP(TEXT(E15,"0000"),TEXT(Catalog!A:A,"0000"),Catalog!B:B),"")</f>
        <v xml:space="preserve">ZEKERING 20A                  </v>
      </c>
      <c r="G15">
        <v>1300</v>
      </c>
    </row>
    <row r="16" spans="1:13" x14ac:dyDescent="0.25">
      <c r="A16" t="s">
        <v>5053</v>
      </c>
      <c r="B16">
        <v>3</v>
      </c>
      <c r="C16">
        <v>21</v>
      </c>
      <c r="D16" t="s">
        <v>4567</v>
      </c>
      <c r="E16" s="6" t="s">
        <v>4983</v>
      </c>
      <c r="F16" s="3" t="str" cm="1">
        <f t="array" ref="F16">IFERROR(_xlfn.XLOOKUP(TEXT(E16,"0000"),TEXT(Catalog!A:A,"0000"),Catalog!B:B),"")</f>
        <v xml:space="preserve">ZEKERING 16A                  </v>
      </c>
      <c r="G16">
        <v>500</v>
      </c>
    </row>
    <row r="17" spans="1:13" x14ac:dyDescent="0.25">
      <c r="A17" t="s">
        <v>5053</v>
      </c>
      <c r="B17">
        <v>3</v>
      </c>
    </row>
    <row r="18" spans="1:13" ht="24" x14ac:dyDescent="0.4">
      <c r="A18" t="s">
        <v>5053</v>
      </c>
      <c r="B18">
        <v>3</v>
      </c>
      <c r="D18" s="35" t="s">
        <v>4877</v>
      </c>
      <c r="E18" s="36"/>
      <c r="F18" s="36"/>
      <c r="G18" s="36"/>
      <c r="H18" s="36"/>
      <c r="I18" s="36"/>
      <c r="J18" s="37"/>
      <c r="K18" s="38" t="s">
        <v>4459</v>
      </c>
      <c r="L18" s="13" t="s">
        <v>4432</v>
      </c>
      <c r="M18" s="40" t="s">
        <v>4460</v>
      </c>
    </row>
    <row r="19" spans="1:13" ht="18.75" x14ac:dyDescent="0.3">
      <c r="A19" t="s">
        <v>5053</v>
      </c>
      <c r="B19">
        <v>3</v>
      </c>
      <c r="D19" s="11" t="s">
        <v>4445</v>
      </c>
      <c r="E19" s="11" t="s">
        <v>4433</v>
      </c>
      <c r="F19" s="11" t="s">
        <v>4434</v>
      </c>
      <c r="G19" s="11" t="s">
        <v>4435</v>
      </c>
      <c r="H19" s="11" t="s">
        <v>4436</v>
      </c>
      <c r="I19" s="11" t="s">
        <v>4444</v>
      </c>
      <c r="J19" s="11" t="s">
        <v>4436</v>
      </c>
      <c r="K19" s="39"/>
      <c r="L19" s="11" t="s">
        <v>4447</v>
      </c>
      <c r="M19" s="41"/>
    </row>
    <row r="20" spans="1:13" x14ac:dyDescent="0.25">
      <c r="A20" t="s">
        <v>5053</v>
      </c>
      <c r="B20">
        <v>3</v>
      </c>
      <c r="C20">
        <v>31</v>
      </c>
      <c r="D20" t="s">
        <v>4567</v>
      </c>
      <c r="E20" s="6" t="s">
        <v>4878</v>
      </c>
      <c r="F20" s="3" t="str" cm="1">
        <f t="array" ref="F20">IFERROR(_xlfn.XLOOKUP(TEXT(E20,"0000"),TEXT(Catalog!A:A,"0000"),Catalog!B:B),"")</f>
        <v xml:space="preserve">LASDOPPEN 12-24 mm            </v>
      </c>
      <c r="G20">
        <v>220</v>
      </c>
      <c r="M20" t="s">
        <v>4885</v>
      </c>
    </row>
    <row r="21" spans="1:13" x14ac:dyDescent="0.25">
      <c r="A21" t="s">
        <v>5053</v>
      </c>
      <c r="B21">
        <v>3</v>
      </c>
      <c r="C21">
        <v>31</v>
      </c>
      <c r="D21" t="s">
        <v>4567</v>
      </c>
      <c r="E21" s="6" t="s">
        <v>4879</v>
      </c>
      <c r="F21" s="3" t="str" cm="1">
        <f t="array" ref="F21">IFERROR(_xlfn.XLOOKUP(TEXT(E21,"0000"),TEXT(Catalog!A:A,"0000"),Catalog!B:B),"")</f>
        <v xml:space="preserve">LASDOPPEN 3.0-12.5 mm         </v>
      </c>
      <c r="G21">
        <v>100</v>
      </c>
      <c r="M21" t="s">
        <v>4884</v>
      </c>
    </row>
    <row r="22" spans="1:13" x14ac:dyDescent="0.25">
      <c r="A22" t="s">
        <v>5053</v>
      </c>
      <c r="B22">
        <v>3</v>
      </c>
      <c r="C22">
        <v>31</v>
      </c>
      <c r="D22" t="s">
        <v>4567</v>
      </c>
      <c r="E22" s="6" t="s">
        <v>4880</v>
      </c>
      <c r="F22" s="3" t="str" cm="1">
        <f t="array" ref="F22">IFERROR(_xlfn.XLOOKUP(TEXT(E22,"0000"),TEXT(Catalog!A:A,"0000"),Catalog!B:B),"")</f>
        <v xml:space="preserve">LASDOPPEN 7.5-18.0 mm         </v>
      </c>
      <c r="G22">
        <v>80</v>
      </c>
      <c r="M22" t="s">
        <v>4887</v>
      </c>
    </row>
    <row r="23" spans="1:13" x14ac:dyDescent="0.25">
      <c r="A23" t="s">
        <v>5053</v>
      </c>
      <c r="B23">
        <v>3</v>
      </c>
      <c r="C23">
        <v>31</v>
      </c>
      <c r="D23" t="s">
        <v>4567</v>
      </c>
      <c r="E23" s="7">
        <v>7176</v>
      </c>
      <c r="F23" s="3" t="str" cm="1">
        <f t="array" ref="F23">IFERROR(_xlfn.XLOOKUP(TEXT(E23,"0000"),TEXT(Catalog!A:A,"0000"),Catalog!B:B),"")</f>
        <v xml:space="preserve">INSTEEK FLEXIBLE CLE54        </v>
      </c>
      <c r="G23">
        <v>60</v>
      </c>
    </row>
    <row r="24" spans="1:13" x14ac:dyDescent="0.25">
      <c r="A24" t="s">
        <v>5053</v>
      </c>
      <c r="B24">
        <v>3</v>
      </c>
      <c r="C24">
        <v>31</v>
      </c>
      <c r="D24" t="s">
        <v>4567</v>
      </c>
      <c r="E24" s="6" t="s">
        <v>4881</v>
      </c>
      <c r="F24" s="3" t="str" cm="1">
        <f t="array" ref="F24">IFERROR(_xlfn.XLOOKUP(TEXT(E24,"0000"),TEXT(Catalog!A:A,"0000"),Catalog!B:B),"")</f>
        <v xml:space="preserve">CONEX STEEKKLEM 3-VOUDIG      </v>
      </c>
      <c r="G24">
        <v>160</v>
      </c>
      <c r="M24" t="s">
        <v>4886</v>
      </c>
    </row>
    <row r="25" spans="1:13" x14ac:dyDescent="0.25">
      <c r="A25" t="s">
        <v>5053</v>
      </c>
      <c r="B25">
        <v>3</v>
      </c>
      <c r="C25">
        <v>31</v>
      </c>
      <c r="D25" t="s">
        <v>4567</v>
      </c>
      <c r="E25" s="6" t="s">
        <v>4882</v>
      </c>
      <c r="F25" s="3" t="str" cm="1">
        <f t="array" ref="F25">IFERROR(_xlfn.XLOOKUP(TEXT(E25,"0000"),TEXT(Catalog!A:A,"0000"),Catalog!B:B),"")</f>
        <v xml:space="preserve">CONEX STEEKKLEM 4-VOUDIG      </v>
      </c>
      <c r="G25">
        <v>160</v>
      </c>
      <c r="M25" t="s">
        <v>4886</v>
      </c>
    </row>
    <row r="26" spans="1:13" x14ac:dyDescent="0.25">
      <c r="A26" t="s">
        <v>5053</v>
      </c>
      <c r="B26">
        <v>3</v>
      </c>
      <c r="C26">
        <v>31</v>
      </c>
      <c r="D26" t="s">
        <v>4567</v>
      </c>
      <c r="E26" s="6" t="s">
        <v>4883</v>
      </c>
      <c r="F26" s="3" t="str" cm="1">
        <f t="array" ref="F26">IFERROR(_xlfn.XLOOKUP(TEXT(E26,"0000"),TEXT(Catalog!A:A,"0000"),Catalog!B:B),"")</f>
        <v xml:space="preserve">CONEX STEEKKLEM 5-VOUDIG      </v>
      </c>
      <c r="G26">
        <v>140</v>
      </c>
      <c r="M26" t="s">
        <v>4888</v>
      </c>
    </row>
    <row r="27" spans="1:13" x14ac:dyDescent="0.25">
      <c r="A27" t="s">
        <v>5053</v>
      </c>
      <c r="B27">
        <v>3</v>
      </c>
      <c r="C27">
        <v>31</v>
      </c>
      <c r="D27" t="s">
        <v>4567</v>
      </c>
      <c r="E27" s="7">
        <v>15143</v>
      </c>
      <c r="F27" s="3" t="str" cm="1">
        <f t="array" ref="F27">IFERROR(_xlfn.XLOOKUP(TEXT(E27,"0000"),TEXT(Catalog!A:A,"0000"),Catalog!B:B),"")</f>
        <v xml:space="preserve">OPB.KAST WD 24MD CDN24PT/RR   </v>
      </c>
      <c r="G27">
        <v>1</v>
      </c>
      <c r="M27" t="s">
        <v>4889</v>
      </c>
    </row>
    <row r="28" spans="1:13" x14ac:dyDescent="0.25">
      <c r="A28" t="s">
        <v>5053</v>
      </c>
      <c r="B28">
        <v>3</v>
      </c>
    </row>
    <row r="29" spans="1:13" ht="24" x14ac:dyDescent="0.4">
      <c r="A29" t="s">
        <v>5053</v>
      </c>
      <c r="B29">
        <v>3</v>
      </c>
      <c r="D29" s="35" t="s">
        <v>4526</v>
      </c>
      <c r="E29" s="36"/>
      <c r="F29" s="36"/>
      <c r="G29" s="36"/>
      <c r="H29" s="36"/>
      <c r="I29" s="36"/>
      <c r="J29" s="37"/>
      <c r="K29" s="38" t="s">
        <v>4459</v>
      </c>
      <c r="L29" s="13" t="s">
        <v>4432</v>
      </c>
      <c r="M29" s="40" t="s">
        <v>4460</v>
      </c>
    </row>
    <row r="30" spans="1:13" ht="18.75" x14ac:dyDescent="0.3">
      <c r="A30" t="s">
        <v>5053</v>
      </c>
      <c r="B30">
        <v>3</v>
      </c>
      <c r="D30" s="11" t="s">
        <v>4445</v>
      </c>
      <c r="E30" s="11" t="s">
        <v>4433</v>
      </c>
      <c r="F30" s="11" t="s">
        <v>4434</v>
      </c>
      <c r="G30" s="11" t="s">
        <v>4435</v>
      </c>
      <c r="H30" s="11" t="s">
        <v>4436</v>
      </c>
      <c r="I30" s="11" t="s">
        <v>4444</v>
      </c>
      <c r="J30" s="11" t="s">
        <v>4436</v>
      </c>
      <c r="K30" s="39"/>
      <c r="L30" s="11" t="s">
        <v>4447</v>
      </c>
      <c r="M30" s="41"/>
    </row>
    <row r="31" spans="1:13" x14ac:dyDescent="0.25">
      <c r="A31" t="s">
        <v>5053</v>
      </c>
      <c r="B31">
        <v>3</v>
      </c>
      <c r="C31">
        <v>27</v>
      </c>
      <c r="D31" t="s">
        <v>4567</v>
      </c>
      <c r="E31" s="6" t="s">
        <v>4890</v>
      </c>
      <c r="F31" s="3" t="str" cm="1">
        <f t="array" ref="F31">IFERROR(_xlfn.XLOOKUP(TEXT(E31,"0000"),TEXT(Catalog!A:A,"0000"),Catalog!B:B),"")</f>
        <v xml:space="preserve">KSV PATRONEN 160A NH 00       </v>
      </c>
      <c r="G31" t="s">
        <v>4994</v>
      </c>
      <c r="L31">
        <v>15</v>
      </c>
    </row>
    <row r="32" spans="1:13" x14ac:dyDescent="0.25">
      <c r="A32" t="s">
        <v>5053</v>
      </c>
      <c r="B32">
        <v>3</v>
      </c>
      <c r="C32">
        <v>27</v>
      </c>
      <c r="D32" t="s">
        <v>4567</v>
      </c>
      <c r="E32" s="6" t="s">
        <v>4891</v>
      </c>
      <c r="F32" s="3" t="str" cm="1">
        <f t="array" ref="F32">IFERROR(_xlfn.XLOOKUP(TEXT(E32,"0000"),TEXT(Catalog!A:A,"0000"),Catalog!B:B),"")</f>
        <v xml:space="preserve">KSV PATRONEN 125A NH 00       </v>
      </c>
      <c r="G32" t="s">
        <v>4995</v>
      </c>
      <c r="L32">
        <v>51</v>
      </c>
      <c r="M32" t="s">
        <v>4999</v>
      </c>
    </row>
    <row r="33" spans="1:13" x14ac:dyDescent="0.25">
      <c r="A33" t="s">
        <v>5053</v>
      </c>
      <c r="B33">
        <v>3</v>
      </c>
      <c r="C33">
        <v>27</v>
      </c>
      <c r="D33" t="s">
        <v>4567</v>
      </c>
      <c r="E33" s="6" t="s">
        <v>4892</v>
      </c>
      <c r="F33" s="3" t="str" cm="1">
        <f t="array" ref="F33">IFERROR(_xlfn.XLOOKUP(TEXT(E33,"0000"),TEXT(Catalog!A:A,"0000"),Catalog!B:B),"")</f>
        <v xml:space="preserve">KSV PATRONEN   80A NH 00      </v>
      </c>
      <c r="G33" t="s">
        <v>4996</v>
      </c>
      <c r="H33">
        <v>1</v>
      </c>
      <c r="L33">
        <v>81</v>
      </c>
    </row>
    <row r="34" spans="1:13" x14ac:dyDescent="0.25">
      <c r="A34" t="s">
        <v>5053</v>
      </c>
      <c r="B34">
        <v>3</v>
      </c>
      <c r="C34">
        <v>27</v>
      </c>
      <c r="D34" t="s">
        <v>4567</v>
      </c>
      <c r="E34" s="6" t="s">
        <v>4893</v>
      </c>
      <c r="F34" s="3" t="str" cm="1">
        <f t="array" ref="F34">IFERROR(_xlfn.XLOOKUP(TEXT(E34,"0000"),TEXT(Catalog!A:A,"0000"),Catalog!B:B),"")</f>
        <v xml:space="preserve">KSV PATRONEN   63A NH 00      </v>
      </c>
      <c r="G34" t="s">
        <v>4994</v>
      </c>
      <c r="L34">
        <v>15</v>
      </c>
    </row>
    <row r="35" spans="1:13" x14ac:dyDescent="0.25">
      <c r="A35" t="s">
        <v>5053</v>
      </c>
      <c r="B35">
        <v>3</v>
      </c>
      <c r="C35">
        <v>27</v>
      </c>
      <c r="D35" t="s">
        <v>4567</v>
      </c>
      <c r="E35" s="6" t="s">
        <v>4894</v>
      </c>
      <c r="F35" s="3" t="str" cm="1">
        <f t="array" ref="F35">IFERROR(_xlfn.XLOOKUP(TEXT(E35,"0000"),TEXT(Catalog!A:A,"0000"),Catalog!B:B),"")</f>
        <v xml:space="preserve">KSV PATRONEN   35A NH 00      </v>
      </c>
      <c r="G35" t="s">
        <v>4997</v>
      </c>
      <c r="L35">
        <v>105</v>
      </c>
    </row>
    <row r="36" spans="1:13" x14ac:dyDescent="0.25">
      <c r="A36" t="s">
        <v>5053</v>
      </c>
      <c r="B36">
        <v>3</v>
      </c>
      <c r="C36">
        <v>27</v>
      </c>
      <c r="D36" t="s">
        <v>4567</v>
      </c>
      <c r="E36" s="6" t="s">
        <v>4895</v>
      </c>
      <c r="F36" s="3" t="str" cm="1">
        <f t="array" ref="F36">IFERROR(_xlfn.XLOOKUP(TEXT(E36,"0000"),TEXT(Catalog!A:A,"0000"),Catalog!B:B),"")</f>
        <v xml:space="preserve">KSV PATRONEN   25A NH 00      </v>
      </c>
      <c r="G36" t="s">
        <v>4998</v>
      </c>
      <c r="L36">
        <v>36</v>
      </c>
    </row>
    <row r="37" spans="1:13" x14ac:dyDescent="0.25">
      <c r="A37" t="s">
        <v>5053</v>
      </c>
      <c r="B37">
        <v>3</v>
      </c>
    </row>
    <row r="38" spans="1:13" ht="24" x14ac:dyDescent="0.4">
      <c r="A38" t="s">
        <v>5053</v>
      </c>
      <c r="B38">
        <v>3</v>
      </c>
      <c r="D38" s="35" t="s">
        <v>4792</v>
      </c>
      <c r="E38" s="36"/>
      <c r="F38" s="36"/>
      <c r="G38" s="36"/>
      <c r="H38" s="36"/>
      <c r="I38" s="36"/>
      <c r="J38" s="37"/>
      <c r="K38" s="38" t="s">
        <v>4459</v>
      </c>
      <c r="L38" s="13" t="s">
        <v>4432</v>
      </c>
      <c r="M38" s="40" t="s">
        <v>4460</v>
      </c>
    </row>
    <row r="39" spans="1:13" ht="18.75" x14ac:dyDescent="0.3">
      <c r="A39" t="s">
        <v>5053</v>
      </c>
      <c r="B39">
        <v>3</v>
      </c>
      <c r="D39" s="11" t="s">
        <v>4445</v>
      </c>
      <c r="E39" s="11" t="s">
        <v>4433</v>
      </c>
      <c r="F39" s="11" t="s">
        <v>4434</v>
      </c>
      <c r="G39" s="11" t="s">
        <v>4435</v>
      </c>
      <c r="H39" s="11" t="s">
        <v>4436</v>
      </c>
      <c r="I39" s="11" t="s">
        <v>4444</v>
      </c>
      <c r="J39" s="11" t="s">
        <v>4436</v>
      </c>
      <c r="K39" s="39"/>
      <c r="L39" s="11" t="s">
        <v>4447</v>
      </c>
      <c r="M39" s="41"/>
    </row>
    <row r="40" spans="1:13" x14ac:dyDescent="0.25">
      <c r="A40" t="s">
        <v>5053</v>
      </c>
      <c r="B40">
        <v>3</v>
      </c>
      <c r="C40">
        <v>28</v>
      </c>
      <c r="D40" t="s">
        <v>4567</v>
      </c>
      <c r="E40">
        <v>1153</v>
      </c>
      <c r="F40" s="3" t="str" cm="1">
        <f t="array" ref="F40">IFERROR(_xlfn.XLOOKUP(TEXT(E40,"0000"),TEXT(Catalog!A:A,"0000"),Catalog!B:B),"")</f>
        <v>DEKSEL INB DOOS AM 4x4" 2-VOUD</v>
      </c>
      <c r="G40" t="s">
        <v>4897</v>
      </c>
      <c r="L40">
        <v>750</v>
      </c>
    </row>
    <row r="41" spans="1:13" x14ac:dyDescent="0.25">
      <c r="A41" t="s">
        <v>5053</v>
      </c>
      <c r="B41">
        <v>3</v>
      </c>
      <c r="C41">
        <v>28</v>
      </c>
      <c r="D41" t="s">
        <v>4567</v>
      </c>
      <c r="E41">
        <v>15140</v>
      </c>
      <c r="F41" s="3" t="str" cm="1">
        <f t="array" ref="F41">IFERROR(_xlfn.XLOOKUP(TEXT(E41,"0000"),TEXT(Catalog!A:A,"0000"),Catalog!B:B),"")</f>
        <v xml:space="preserve">OPB.KAST WD 12MD CDN12PT/RR   </v>
      </c>
      <c r="G41">
        <v>21</v>
      </c>
      <c r="L41">
        <v>21</v>
      </c>
    </row>
    <row r="42" spans="1:13" x14ac:dyDescent="0.25">
      <c r="A42" t="s">
        <v>5053</v>
      </c>
      <c r="B42">
        <v>3</v>
      </c>
      <c r="C42">
        <v>28</v>
      </c>
      <c r="D42" t="s">
        <v>4567</v>
      </c>
      <c r="E42">
        <v>1152</v>
      </c>
      <c r="F42" s="3" t="str" cm="1">
        <f t="array" ref="F42">IFERROR(_xlfn.XLOOKUP(TEXT(E42,"0000"),TEXT(Catalog!A:A,"0000"),Catalog!B:B),"")</f>
        <v xml:space="preserve">DEKSEL INB DOOS AM 4x4" 4150  </v>
      </c>
      <c r="G42" t="s">
        <v>4898</v>
      </c>
      <c r="L42">
        <f>2750+600</f>
        <v>3350</v>
      </c>
      <c r="M42" t="s">
        <v>4899</v>
      </c>
    </row>
    <row r="43" spans="1:13" x14ac:dyDescent="0.25">
      <c r="A43" t="s">
        <v>5053</v>
      </c>
      <c r="B43">
        <v>3</v>
      </c>
      <c r="C43">
        <v>28</v>
      </c>
      <c r="D43" t="s">
        <v>4567</v>
      </c>
      <c r="E43">
        <v>3332</v>
      </c>
      <c r="F43" s="3" t="str" cm="1">
        <f t="array" ref="F43">IFERROR(_xlfn.XLOOKUP(TEXT(E43,"0000"),TEXT(Catalog!A:A,"0000"),Catalog!B:B),"")</f>
        <v>PICKENS 18 WATT 6500K LED SPOT</v>
      </c>
      <c r="G43" t="s">
        <v>4766</v>
      </c>
      <c r="L43">
        <v>24</v>
      </c>
    </row>
    <row r="44" spans="1:13" x14ac:dyDescent="0.25">
      <c r="A44" t="s">
        <v>5053</v>
      </c>
      <c r="B44">
        <v>3</v>
      </c>
      <c r="C44">
        <v>28</v>
      </c>
      <c r="D44" t="s">
        <v>4567</v>
      </c>
      <c r="E44">
        <v>1375</v>
      </c>
      <c r="F44" s="3" t="str" cm="1">
        <f t="array" ref="F44">IFERROR(_xlfn.XLOOKUP(TEXT(E44,"0000"),TEXT(Catalog!A:A,"0000"),Catalog!B:B),"")</f>
        <v xml:space="preserve">RAWPLUGS  WIT   (5x25mm-1")   </v>
      </c>
      <c r="G44">
        <v>120</v>
      </c>
      <c r="M44" t="s">
        <v>4904</v>
      </c>
    </row>
    <row r="45" spans="1:13" x14ac:dyDescent="0.25">
      <c r="A45" t="s">
        <v>5053</v>
      </c>
      <c r="B45">
        <v>3</v>
      </c>
      <c r="C45">
        <v>28</v>
      </c>
      <c r="D45" t="s">
        <v>4567</v>
      </c>
      <c r="E45">
        <v>1376</v>
      </c>
      <c r="F45" s="3" t="str" cm="1">
        <f t="array" ref="F45">IFERROR(_xlfn.XLOOKUP(TEXT(E45,"0000"),TEXT(Catalog!A:A,"0000"),Catalog!B:B),"")</f>
        <v xml:space="preserve">RAWPLUGS ROOD (6X25mm-1")     </v>
      </c>
      <c r="G45">
        <v>96</v>
      </c>
      <c r="M45" t="s">
        <v>4905</v>
      </c>
    </row>
    <row r="46" spans="1:13" x14ac:dyDescent="0.25">
      <c r="A46" t="s">
        <v>5053</v>
      </c>
      <c r="B46">
        <v>3</v>
      </c>
      <c r="C46">
        <v>28</v>
      </c>
      <c r="D46" t="s">
        <v>4567</v>
      </c>
      <c r="E46">
        <v>1377</v>
      </c>
      <c r="F46" s="3" t="str" cm="1">
        <f t="array" ref="F46">IFERROR(_xlfn.XLOOKUP(TEXT(E46,"0000"),TEXT(Catalog!A:A,"0000"),Catalog!B:B),"")</f>
        <v>RAW PLUGS GROEN (7x35mm-1.1/2)</v>
      </c>
      <c r="G46">
        <v>64</v>
      </c>
      <c r="M46" t="s">
        <v>4906</v>
      </c>
    </row>
    <row r="47" spans="1:13" x14ac:dyDescent="0.25">
      <c r="A47" t="s">
        <v>5053</v>
      </c>
      <c r="B47">
        <v>3</v>
      </c>
      <c r="C47">
        <v>28</v>
      </c>
      <c r="D47" t="s">
        <v>4567</v>
      </c>
      <c r="E47">
        <v>1378</v>
      </c>
      <c r="F47" s="3" t="str" cm="1">
        <f t="array" ref="F47">IFERROR(_xlfn.XLOOKUP(TEXT(E47,"0000"),TEXT(Catalog!A:A,"0000"),Catalog!B:B),"")</f>
        <v>RAWPLUGS  BLAUW (8x35mm-1.1/2)</v>
      </c>
      <c r="G47">
        <v>60</v>
      </c>
      <c r="M47" t="s">
        <v>4907</v>
      </c>
    </row>
    <row r="48" spans="1:13" x14ac:dyDescent="0.25">
      <c r="A48" t="s">
        <v>5053</v>
      </c>
      <c r="B48">
        <v>3</v>
      </c>
      <c r="C48">
        <v>28</v>
      </c>
      <c r="D48" t="s">
        <v>4567</v>
      </c>
      <c r="E48">
        <v>3124</v>
      </c>
      <c r="F48" s="3" t="str" cm="1">
        <f t="array" ref="F48">IFERROR(_xlfn.XLOOKUP(TEXT(E48,"0000"),TEXT(Catalog!A:A,"0000"),Catalog!B:B),"")</f>
        <v xml:space="preserve">REFLECTOR LED 200W 18000LM    </v>
      </c>
      <c r="G48" t="s">
        <v>4900</v>
      </c>
      <c r="L48">
        <v>20</v>
      </c>
    </row>
    <row r="49" spans="1:13" x14ac:dyDescent="0.25">
      <c r="A49" t="s">
        <v>5053</v>
      </c>
      <c r="B49">
        <v>3</v>
      </c>
      <c r="C49">
        <v>28</v>
      </c>
      <c r="D49" t="s">
        <v>4567</v>
      </c>
      <c r="E49">
        <v>1150</v>
      </c>
      <c r="F49" s="3" t="str" cm="1">
        <f t="array" ref="F49">IFERROR(_xlfn.XLOOKUP(TEXT(E49,"0000"),TEXT(Catalog!A:A,"0000"),Catalog!B:B),"")</f>
        <v xml:space="preserve">INB DOOS AM 2x4"              </v>
      </c>
      <c r="G49" t="s">
        <v>4901</v>
      </c>
      <c r="L49">
        <v>800</v>
      </c>
      <c r="M49" t="s">
        <v>4903</v>
      </c>
    </row>
    <row r="50" spans="1:13" x14ac:dyDescent="0.25">
      <c r="A50" t="s">
        <v>5053</v>
      </c>
      <c r="B50">
        <v>3</v>
      </c>
      <c r="C50">
        <v>28</v>
      </c>
      <c r="D50" t="s">
        <v>4567</v>
      </c>
      <c r="E50">
        <v>1150</v>
      </c>
      <c r="F50" s="3" t="str" cm="1">
        <f t="array" ref="F50">IFERROR(_xlfn.XLOOKUP(TEXT(E50,"0000"),TEXT(Catalog!A:A,"0000"),Catalog!B:B),"")</f>
        <v xml:space="preserve">INB DOOS AM 2x4"              </v>
      </c>
      <c r="G50" t="s">
        <v>4902</v>
      </c>
      <c r="L50">
        <v>1500</v>
      </c>
      <c r="M50" t="s">
        <v>4903</v>
      </c>
    </row>
    <row r="51" spans="1:13" x14ac:dyDescent="0.25">
      <c r="A51" t="s">
        <v>5053</v>
      </c>
      <c r="B51">
        <v>3</v>
      </c>
      <c r="F51" t="s">
        <v>4896</v>
      </c>
      <c r="M51">
        <v>16</v>
      </c>
    </row>
    <row r="52" spans="1:13" x14ac:dyDescent="0.25">
      <c r="A52" t="s">
        <v>5053</v>
      </c>
      <c r="B52">
        <v>3</v>
      </c>
    </row>
    <row r="53" spans="1:13" ht="24" x14ac:dyDescent="0.4">
      <c r="A53" t="s">
        <v>5053</v>
      </c>
      <c r="B53">
        <v>3</v>
      </c>
      <c r="D53" s="35" t="s">
        <v>4526</v>
      </c>
      <c r="E53" s="36"/>
      <c r="F53" s="36"/>
      <c r="G53" s="36"/>
      <c r="H53" s="36"/>
      <c r="I53" s="36"/>
      <c r="J53" s="37"/>
      <c r="K53" s="38" t="s">
        <v>4459</v>
      </c>
      <c r="L53" s="13" t="s">
        <v>4432</v>
      </c>
      <c r="M53" s="40" t="s">
        <v>4460</v>
      </c>
    </row>
    <row r="54" spans="1:13" ht="18.75" x14ac:dyDescent="0.3">
      <c r="A54" t="s">
        <v>5053</v>
      </c>
      <c r="B54">
        <v>3</v>
      </c>
      <c r="D54" s="11" t="s">
        <v>4445</v>
      </c>
      <c r="E54" s="11" t="s">
        <v>4433</v>
      </c>
      <c r="F54" s="11" t="s">
        <v>4434</v>
      </c>
      <c r="G54" s="11" t="s">
        <v>4435</v>
      </c>
      <c r="H54" s="11" t="s">
        <v>4436</v>
      </c>
      <c r="I54" s="11" t="s">
        <v>4444</v>
      </c>
      <c r="J54" s="11" t="s">
        <v>4436</v>
      </c>
      <c r="K54" s="39"/>
      <c r="L54" s="11" t="s">
        <v>4447</v>
      </c>
      <c r="M54" s="41"/>
    </row>
    <row r="55" spans="1:13" x14ac:dyDescent="0.25">
      <c r="A55" t="s">
        <v>5053</v>
      </c>
      <c r="B55">
        <v>3</v>
      </c>
      <c r="C55">
        <v>27</v>
      </c>
      <c r="D55" t="s">
        <v>4567</v>
      </c>
      <c r="E55" s="6" t="s">
        <v>4908</v>
      </c>
      <c r="F55" s="3" t="str" cm="1">
        <f t="array" ref="F55">IFERROR(_xlfn.XLOOKUP(TEXT(E55,"0000"),TEXT(Catalog!A:A,"0000"),Catalog!B:B),"")</f>
        <v xml:space="preserve">KOP K2                        </v>
      </c>
      <c r="G55" t="s">
        <v>4691</v>
      </c>
      <c r="L55">
        <v>250</v>
      </c>
    </row>
    <row r="56" spans="1:13" x14ac:dyDescent="0.25">
      <c r="A56" t="s">
        <v>5053</v>
      </c>
      <c r="B56">
        <v>3</v>
      </c>
      <c r="C56">
        <v>27</v>
      </c>
      <c r="D56" t="s">
        <v>4567</v>
      </c>
      <c r="E56" s="6" t="s">
        <v>4909</v>
      </c>
      <c r="F56" s="3" t="str" cm="1">
        <f t="array" ref="F56">IFERROR(_xlfn.XLOOKUP(TEXT(E56,"0000"),TEXT(Catalog!A:A,"0000"),Catalog!B:B),"")</f>
        <v xml:space="preserve">KOP K3                        </v>
      </c>
      <c r="G56" t="s">
        <v>4925</v>
      </c>
      <c r="L56">
        <v>160</v>
      </c>
    </row>
    <row r="57" spans="1:13" x14ac:dyDescent="0.25">
      <c r="A57" t="s">
        <v>5053</v>
      </c>
      <c r="B57">
        <v>3</v>
      </c>
      <c r="C57">
        <v>27</v>
      </c>
      <c r="D57" t="s">
        <v>4567</v>
      </c>
      <c r="E57" s="7">
        <v>7054</v>
      </c>
      <c r="F57" s="3" t="str" cm="1">
        <f t="array" ref="F57">IFERROR(_xlfn.XLOOKUP(TEXT(E57,"0000"),TEXT(Catalog!A:A,"0000"),Catalog!B:B),"")</f>
        <v>FTG VerdeelBlok 4F 125A 1x35mm</v>
      </c>
      <c r="L57">
        <v>8</v>
      </c>
    </row>
    <row r="58" spans="1:13" x14ac:dyDescent="0.25">
      <c r="A58" t="s">
        <v>5053</v>
      </c>
      <c r="B58">
        <v>3</v>
      </c>
      <c r="C58">
        <v>27</v>
      </c>
      <c r="D58" t="s">
        <v>4567</v>
      </c>
      <c r="E58" s="7">
        <v>7055</v>
      </c>
      <c r="F58" s="3" t="str" cm="1">
        <f t="array" ref="F58">IFERROR(_xlfn.XLOOKUP(TEXT(E58,"0000"),TEXT(Catalog!A:A,"0000"),Catalog!B:B),"")</f>
        <v>FTG Verdeel Blok1F 160A 1x70mm</v>
      </c>
      <c r="G58" s="8" t="s">
        <v>4550</v>
      </c>
      <c r="H58" s="8">
        <v>2</v>
      </c>
      <c r="L58">
        <v>32</v>
      </c>
    </row>
    <row r="59" spans="1:13" x14ac:dyDescent="0.25">
      <c r="A59" t="s">
        <v>5053</v>
      </c>
      <c r="B59">
        <v>3</v>
      </c>
      <c r="C59">
        <v>27</v>
      </c>
      <c r="D59" t="s">
        <v>4567</v>
      </c>
      <c r="E59" s="6" t="s">
        <v>4910</v>
      </c>
      <c r="F59" s="3" t="str" cm="1">
        <f t="array" ref="F59">IFERROR(_xlfn.XLOOKUP(TEXT(E59,"0000"),TEXT(Catalog!A:A,"0000"),Catalog!B:B),"")</f>
        <v xml:space="preserve">PASMOER 16A                   </v>
      </c>
      <c r="G59" t="s">
        <v>4595</v>
      </c>
      <c r="L59">
        <v>1500</v>
      </c>
    </row>
    <row r="60" spans="1:13" x14ac:dyDescent="0.25">
      <c r="A60" t="s">
        <v>5053</v>
      </c>
      <c r="B60">
        <v>3</v>
      </c>
      <c r="C60">
        <v>27</v>
      </c>
      <c r="D60" t="s">
        <v>4567</v>
      </c>
      <c r="E60" s="6" t="s">
        <v>4911</v>
      </c>
      <c r="F60" s="3" t="str" cm="1">
        <f t="array" ref="F60">IFERROR(_xlfn.XLOOKUP(TEXT(E60,"0000"),TEXT(Catalog!A:A,"0000"),Catalog!B:B),"")</f>
        <v xml:space="preserve">PASMOER 20A                   </v>
      </c>
      <c r="L60">
        <v>465</v>
      </c>
    </row>
    <row r="61" spans="1:13" x14ac:dyDescent="0.25">
      <c r="A61" t="s">
        <v>5053</v>
      </c>
      <c r="B61">
        <v>3</v>
      </c>
      <c r="C61">
        <v>27</v>
      </c>
      <c r="D61" t="s">
        <v>4567</v>
      </c>
      <c r="E61" s="6" t="s">
        <v>4912</v>
      </c>
      <c r="F61" s="3" t="str" cm="1">
        <f t="array" ref="F61">IFERROR(_xlfn.XLOOKUP(TEXT(E61,"0000"),TEXT(Catalog!A:A,"0000"),Catalog!B:B),"")</f>
        <v xml:space="preserve">PASMOER 25A                   </v>
      </c>
      <c r="L61">
        <v>525</v>
      </c>
    </row>
    <row r="62" spans="1:13" x14ac:dyDescent="0.25">
      <c r="A62" t="s">
        <v>5053</v>
      </c>
      <c r="B62">
        <v>3</v>
      </c>
      <c r="C62">
        <v>27</v>
      </c>
      <c r="D62" t="s">
        <v>4567</v>
      </c>
      <c r="E62" s="6" t="s">
        <v>4913</v>
      </c>
      <c r="F62" s="3" t="str" cm="1">
        <f t="array" ref="F62">IFERROR(_xlfn.XLOOKUP(TEXT(E62,"0000"),TEXT(Catalog!A:A,"0000"),Catalog!B:B),"")</f>
        <v xml:space="preserve">PASMOER 35A                   </v>
      </c>
      <c r="L62">
        <v>100</v>
      </c>
    </row>
    <row r="63" spans="1:13" x14ac:dyDescent="0.25">
      <c r="A63" t="s">
        <v>5053</v>
      </c>
      <c r="B63">
        <v>3</v>
      </c>
      <c r="C63">
        <v>27</v>
      </c>
      <c r="D63" t="s">
        <v>4567</v>
      </c>
      <c r="E63" s="6" t="s">
        <v>4914</v>
      </c>
      <c r="F63" s="3" t="str" cm="1">
        <f t="array" ref="F63">IFERROR(_xlfn.XLOOKUP(TEXT(E63,"0000"),TEXT(Catalog!A:A,"0000"),Catalog!B:B),"")</f>
        <v xml:space="preserve">PASMOER 50A                   </v>
      </c>
      <c r="L63">
        <v>75</v>
      </c>
    </row>
    <row r="64" spans="1:13" x14ac:dyDescent="0.25">
      <c r="A64" t="s">
        <v>5053</v>
      </c>
      <c r="B64">
        <v>3</v>
      </c>
      <c r="C64">
        <v>27</v>
      </c>
      <c r="D64" t="s">
        <v>4567</v>
      </c>
      <c r="E64" s="6" t="s">
        <v>4915</v>
      </c>
      <c r="F64" s="3" t="str" cm="1">
        <f t="array" ref="F64">IFERROR(_xlfn.XLOOKUP(TEXT(E64,"0000"),TEXT(Catalog!A:A,"0000"),Catalog!B:B),"")</f>
        <v xml:space="preserve">PASMOER 63A                   </v>
      </c>
      <c r="L64">
        <v>330</v>
      </c>
    </row>
    <row r="65" spans="1:13" x14ac:dyDescent="0.25">
      <c r="A65" t="s">
        <v>5053</v>
      </c>
      <c r="B65">
        <v>3</v>
      </c>
      <c r="C65">
        <v>27</v>
      </c>
      <c r="D65" t="s">
        <v>4567</v>
      </c>
      <c r="E65" s="6" t="s">
        <v>4916</v>
      </c>
      <c r="F65" s="3" t="str" cm="1">
        <f t="array" ref="F65">IFERROR(_xlfn.XLOOKUP(TEXT(E65,"0000"),TEXT(Catalog!A:A,"0000"),Catalog!B:B),"")</f>
        <v xml:space="preserve">KSV PATRONEN 630A NH 3        </v>
      </c>
      <c r="G65" t="s">
        <v>4926</v>
      </c>
      <c r="L65">
        <v>12</v>
      </c>
    </row>
    <row r="66" spans="1:13" x14ac:dyDescent="0.25">
      <c r="A66" t="s">
        <v>5053</v>
      </c>
      <c r="B66">
        <v>3</v>
      </c>
      <c r="C66">
        <v>27</v>
      </c>
      <c r="D66" t="s">
        <v>4567</v>
      </c>
      <c r="E66" s="6" t="s">
        <v>4917</v>
      </c>
      <c r="F66" s="3" t="str" cm="1">
        <f t="array" ref="F66">IFERROR(_xlfn.XLOOKUP(TEXT(E66,"0000"),TEXT(Catalog!A:A,"0000"),Catalog!B:B),"")</f>
        <v xml:space="preserve">KSV PATRONEN 355A NH 1        </v>
      </c>
      <c r="G66" t="s">
        <v>4927</v>
      </c>
      <c r="L66">
        <v>36</v>
      </c>
    </row>
    <row r="67" spans="1:13" x14ac:dyDescent="0.25">
      <c r="A67" t="s">
        <v>5053</v>
      </c>
      <c r="B67">
        <v>3</v>
      </c>
      <c r="C67">
        <v>27</v>
      </c>
      <c r="D67" t="s">
        <v>4567</v>
      </c>
      <c r="E67" s="6" t="s">
        <v>4918</v>
      </c>
      <c r="F67" s="3" t="str" cm="1">
        <f t="array" ref="F67">IFERROR(_xlfn.XLOOKUP(TEXT(E67,"0000"),TEXT(Catalog!A:A,"0000"),Catalog!B:B),"")</f>
        <v xml:space="preserve">KSV PATRONEN 315A NH 1        </v>
      </c>
      <c r="G67" t="s">
        <v>4928</v>
      </c>
      <c r="L67">
        <v>27</v>
      </c>
    </row>
    <row r="68" spans="1:13" x14ac:dyDescent="0.25">
      <c r="A68" t="s">
        <v>5053</v>
      </c>
      <c r="B68">
        <v>3</v>
      </c>
      <c r="C68">
        <v>27</v>
      </c>
      <c r="D68" t="s">
        <v>4567</v>
      </c>
      <c r="E68" s="6" t="s">
        <v>4919</v>
      </c>
      <c r="F68" s="3" t="str" cm="1">
        <f t="array" ref="F68">IFERROR(_xlfn.XLOOKUP(TEXT(E68,"0000"),TEXT(Catalog!A:A,"0000"),Catalog!B:B),"")</f>
        <v xml:space="preserve">KSV PATRONEN 224A NH 1        </v>
      </c>
      <c r="G68" t="s">
        <v>4929</v>
      </c>
      <c r="L68">
        <v>42</v>
      </c>
    </row>
    <row r="69" spans="1:13" x14ac:dyDescent="0.25">
      <c r="A69" t="s">
        <v>5053</v>
      </c>
      <c r="B69">
        <v>3</v>
      </c>
      <c r="C69">
        <v>27</v>
      </c>
      <c r="D69" t="s">
        <v>4567</v>
      </c>
      <c r="E69" s="6" t="s">
        <v>4920</v>
      </c>
      <c r="F69" s="3" t="str" cm="1">
        <f t="array" ref="F69">IFERROR(_xlfn.XLOOKUP(TEXT(E69,"0000"),TEXT(Catalog!A:A,"0000"),Catalog!B:B),"")</f>
        <v xml:space="preserve">KSV PATRONEN 160A NH 1        </v>
      </c>
      <c r="G69" t="s">
        <v>4930</v>
      </c>
      <c r="L69">
        <v>72</v>
      </c>
    </row>
    <row r="70" spans="1:13" x14ac:dyDescent="0.25">
      <c r="A70" t="s">
        <v>5053</v>
      </c>
      <c r="B70">
        <v>3</v>
      </c>
      <c r="C70">
        <v>27</v>
      </c>
      <c r="D70" t="s">
        <v>4567</v>
      </c>
      <c r="E70" s="6" t="s">
        <v>4921</v>
      </c>
      <c r="F70" s="3" t="str" cm="1">
        <f t="array" ref="F70">IFERROR(_xlfn.XLOOKUP(TEXT(E70,"0000"),TEXT(Catalog!A:A,"0000"),Catalog!B:B),"")</f>
        <v xml:space="preserve">KSV PATRONEN 125A NH 1        </v>
      </c>
      <c r="G70" t="s">
        <v>4931</v>
      </c>
      <c r="L70">
        <v>66</v>
      </c>
    </row>
    <row r="71" spans="1:13" x14ac:dyDescent="0.25">
      <c r="A71" t="s">
        <v>5053</v>
      </c>
      <c r="B71">
        <v>3</v>
      </c>
      <c r="C71">
        <v>27</v>
      </c>
      <c r="D71" t="s">
        <v>4567</v>
      </c>
      <c r="E71" s="6" t="s">
        <v>4922</v>
      </c>
      <c r="F71" s="3" t="str" cm="1">
        <f t="array" ref="F71">IFERROR(_xlfn.XLOOKUP(TEXT(E71,"0000"),TEXT(Catalog!A:A,"0000"),Catalog!B:B),"")</f>
        <v xml:space="preserve">KSV PATRONEN 100A NH 1        </v>
      </c>
      <c r="G71" t="s">
        <v>4932</v>
      </c>
      <c r="L71">
        <v>102</v>
      </c>
    </row>
    <row r="72" spans="1:13" x14ac:dyDescent="0.25">
      <c r="A72" t="s">
        <v>5053</v>
      </c>
      <c r="B72">
        <v>3</v>
      </c>
      <c r="C72">
        <v>27</v>
      </c>
      <c r="D72" t="s">
        <v>4567</v>
      </c>
      <c r="E72" s="6" t="s">
        <v>4923</v>
      </c>
      <c r="F72" s="3" t="str" cm="1">
        <f t="array" ref="F72">IFERROR(_xlfn.XLOOKUP(TEXT(E72,"0000"),TEXT(Catalog!A:A,"0000"),Catalog!B:B),"")</f>
        <v xml:space="preserve">KSV PATRONEN  80A NH 1        </v>
      </c>
      <c r="G72" t="s">
        <v>4933</v>
      </c>
      <c r="L72">
        <v>51</v>
      </c>
    </row>
    <row r="73" spans="1:13" x14ac:dyDescent="0.25">
      <c r="A73" t="s">
        <v>5053</v>
      </c>
      <c r="B73">
        <v>3</v>
      </c>
      <c r="C73">
        <v>27</v>
      </c>
      <c r="D73" t="s">
        <v>4567</v>
      </c>
      <c r="E73" s="6" t="s">
        <v>4924</v>
      </c>
      <c r="F73" s="3" t="str" cm="1">
        <f t="array" ref="F73">IFERROR(_xlfn.XLOOKUP(TEXT(E73,"0000"),TEXT(Catalog!A:A,"0000"),Catalog!B:B),"")</f>
        <v xml:space="preserve">KSV PATRONEN  63A NH 1        </v>
      </c>
      <c r="G73" t="s">
        <v>4931</v>
      </c>
      <c r="L73">
        <v>66</v>
      </c>
    </row>
    <row r="74" spans="1:13" x14ac:dyDescent="0.25">
      <c r="A74" t="s">
        <v>5053</v>
      </c>
      <c r="B74">
        <v>3</v>
      </c>
      <c r="C74">
        <v>27</v>
      </c>
      <c r="D74" t="s">
        <v>4567</v>
      </c>
      <c r="E74" s="7">
        <v>3014</v>
      </c>
      <c r="F74" s="3" t="str" cm="1">
        <f t="array" ref="F74">IFERROR(_xlfn.XLOOKUP(TEXT(E74,"0000"),TEXT(Catalog!A:A,"0000"),Catalog!B:B),"")</f>
        <v xml:space="preserve">BUIGVEER 3/4" 2 mtr           </v>
      </c>
      <c r="L74">
        <v>2</v>
      </c>
    </row>
    <row r="75" spans="1:13" x14ac:dyDescent="0.25">
      <c r="A75" t="s">
        <v>5053</v>
      </c>
      <c r="B75">
        <v>3</v>
      </c>
      <c r="C75">
        <v>27</v>
      </c>
      <c r="D75" t="s">
        <v>4567</v>
      </c>
      <c r="E75">
        <v>3011</v>
      </c>
      <c r="F75" s="3" t="str" cm="1">
        <f t="array" ref="F75">IFERROR(_xlfn.XLOOKUP(TEXT(E75,"0000"),TEXT(Catalog!A:A,"0000"),Catalog!B:B),"")</f>
        <v xml:space="preserve">BUIGVEER 3/4" 1 mtr           </v>
      </c>
      <c r="L75">
        <v>9</v>
      </c>
    </row>
    <row r="76" spans="1:13" x14ac:dyDescent="0.25">
      <c r="A76" t="s">
        <v>5053</v>
      </c>
      <c r="B76">
        <v>3</v>
      </c>
    </row>
    <row r="77" spans="1:13" ht="24" x14ac:dyDescent="0.4">
      <c r="A77" t="s">
        <v>5053</v>
      </c>
      <c r="B77">
        <v>3</v>
      </c>
      <c r="D77" s="35" t="s">
        <v>4934</v>
      </c>
      <c r="E77" s="36"/>
      <c r="F77" s="36"/>
      <c r="G77" s="36"/>
      <c r="H77" s="36"/>
      <c r="I77" s="36"/>
      <c r="J77" s="37"/>
      <c r="K77" s="38" t="s">
        <v>4459</v>
      </c>
      <c r="L77" s="13" t="s">
        <v>4432</v>
      </c>
      <c r="M77" s="40" t="s">
        <v>4460</v>
      </c>
    </row>
    <row r="78" spans="1:13" ht="18.75" x14ac:dyDescent="0.3">
      <c r="A78" t="s">
        <v>5053</v>
      </c>
      <c r="B78">
        <v>3</v>
      </c>
      <c r="D78" s="11" t="s">
        <v>4445</v>
      </c>
      <c r="E78" s="11" t="s">
        <v>4433</v>
      </c>
      <c r="F78" s="11" t="s">
        <v>4434</v>
      </c>
      <c r="G78" s="11" t="s">
        <v>4435</v>
      </c>
      <c r="H78" s="11" t="s">
        <v>4436</v>
      </c>
      <c r="I78" s="11" t="s">
        <v>4444</v>
      </c>
      <c r="J78" s="11" t="s">
        <v>4436</v>
      </c>
      <c r="K78" s="39"/>
      <c r="L78" s="11" t="s">
        <v>4447</v>
      </c>
      <c r="M78" s="41"/>
    </row>
    <row r="79" spans="1:13" x14ac:dyDescent="0.25">
      <c r="A79" t="s">
        <v>5053</v>
      </c>
      <c r="B79">
        <v>3</v>
      </c>
      <c r="C79">
        <v>30</v>
      </c>
      <c r="D79" t="s">
        <v>4567</v>
      </c>
      <c r="E79">
        <v>15143</v>
      </c>
      <c r="F79" s="3" t="str" cm="1">
        <f t="array" ref="F79">IFERROR(_xlfn.XLOOKUP(TEXT(E79,"0000"),TEXT(Catalog!A:A,"0000"),Catalog!B:B),"")</f>
        <v xml:space="preserve">OPB.KAST WD 24MD CDN24PT/RR   </v>
      </c>
      <c r="G79">
        <v>22</v>
      </c>
    </row>
    <row r="80" spans="1:13" x14ac:dyDescent="0.25">
      <c r="A80" t="s">
        <v>5053</v>
      </c>
      <c r="B80">
        <v>3</v>
      </c>
      <c r="C80">
        <v>30</v>
      </c>
      <c r="D80" t="s">
        <v>4567</v>
      </c>
      <c r="E80">
        <v>15145</v>
      </c>
      <c r="F80" s="3" t="str" cm="1">
        <f t="array" ref="F80">IFERROR(_xlfn.XLOOKUP(TEXT(E80,"0000"),TEXT(Catalog!A:A,"0000"),Catalog!B:B),"")</f>
        <v xml:space="preserve">OPB.KAST WD 54MD CDP54 PT/RR  </v>
      </c>
      <c r="G80">
        <v>17</v>
      </c>
    </row>
    <row r="81" spans="1:16" x14ac:dyDescent="0.25">
      <c r="A81" t="s">
        <v>5053</v>
      </c>
      <c r="B81">
        <v>3</v>
      </c>
    </row>
    <row r="82" spans="1:16" ht="24" x14ac:dyDescent="0.4">
      <c r="A82" t="s">
        <v>5053</v>
      </c>
      <c r="B82">
        <v>3</v>
      </c>
      <c r="D82" s="35" t="s">
        <v>4800</v>
      </c>
      <c r="E82" s="36"/>
      <c r="F82" s="36"/>
      <c r="G82" s="36"/>
      <c r="H82" s="36"/>
      <c r="I82" s="36"/>
      <c r="J82" s="37"/>
      <c r="K82" s="38" t="s">
        <v>4459</v>
      </c>
      <c r="L82" s="13" t="s">
        <v>4432</v>
      </c>
      <c r="M82" s="40" t="s">
        <v>4460</v>
      </c>
    </row>
    <row r="83" spans="1:16" ht="18.75" x14ac:dyDescent="0.3">
      <c r="A83" t="s">
        <v>5053</v>
      </c>
      <c r="B83">
        <v>3</v>
      </c>
      <c r="D83" s="11" t="s">
        <v>4445</v>
      </c>
      <c r="E83" s="11" t="s">
        <v>4433</v>
      </c>
      <c r="F83" s="11" t="s">
        <v>4434</v>
      </c>
      <c r="G83" s="11" t="s">
        <v>4435</v>
      </c>
      <c r="H83" s="11" t="s">
        <v>4436</v>
      </c>
      <c r="I83" s="11" t="s">
        <v>4444</v>
      </c>
      <c r="J83" s="11" t="s">
        <v>4436</v>
      </c>
      <c r="K83" s="39"/>
      <c r="L83" s="11" t="s">
        <v>4447</v>
      </c>
      <c r="M83" s="41"/>
    </row>
    <row r="84" spans="1:16" x14ac:dyDescent="0.25">
      <c r="A84" t="s">
        <v>5053</v>
      </c>
      <c r="B84">
        <v>3</v>
      </c>
      <c r="C84">
        <v>34</v>
      </c>
      <c r="D84" s="22">
        <v>46055</v>
      </c>
      <c r="E84" s="7">
        <v>15143</v>
      </c>
      <c r="F84" s="3" t="str" cm="1">
        <f t="array" ref="F84">IFERROR(_xlfn.XLOOKUP(TEXT(E84,"0000"),TEXT(Catalog!A:A,"0000"),Catalog!B:B),"")</f>
        <v xml:space="preserve">OPB.KAST WD 24MD CDN24PT/RR   </v>
      </c>
      <c r="G84">
        <v>15</v>
      </c>
    </row>
    <row r="85" spans="1:16" x14ac:dyDescent="0.25">
      <c r="A85" t="s">
        <v>5053</v>
      </c>
      <c r="B85">
        <v>3</v>
      </c>
      <c r="C85">
        <v>34</v>
      </c>
      <c r="D85" s="22">
        <v>46055</v>
      </c>
      <c r="E85" s="6" t="s">
        <v>4935</v>
      </c>
      <c r="F85" s="3" t="str" cm="1">
        <f t="array" ref="F85">IFERROR(_xlfn.XLOOKUP(TEXT(E85,"0000"),TEXT(Catalog!A:A,"0000"),Catalog!B:B),"")</f>
        <v xml:space="preserve">ATT MONTAGEDEKSEL 2X WCD 1623 </v>
      </c>
      <c r="G85" t="s">
        <v>4578</v>
      </c>
    </row>
    <row r="86" spans="1:16" x14ac:dyDescent="0.25">
      <c r="A86" t="s">
        <v>5053</v>
      </c>
      <c r="B86">
        <v>3</v>
      </c>
      <c r="C86">
        <v>34</v>
      </c>
      <c r="D86" s="22">
        <v>46055</v>
      </c>
      <c r="E86" s="6" t="s">
        <v>4936</v>
      </c>
      <c r="F86" s="3" t="str" cm="1">
        <f t="array" ref="F86">IFERROR(_xlfn.XLOOKUP(TEXT(E86,"0000"),TEXT(Catalog!A:A,"0000"),Catalog!B:B),"")</f>
        <v xml:space="preserve">ATT MONTAGEDEKSEL 1X WCD 1622 </v>
      </c>
      <c r="G86" t="s">
        <v>4614</v>
      </c>
    </row>
    <row r="87" spans="1:16" x14ac:dyDescent="0.25">
      <c r="A87" t="s">
        <v>5053</v>
      </c>
      <c r="B87">
        <v>3</v>
      </c>
      <c r="C87">
        <v>34</v>
      </c>
      <c r="D87" s="22">
        <v>46055</v>
      </c>
      <c r="E87" s="6" t="s">
        <v>4937</v>
      </c>
      <c r="F87" s="3" t="str" cm="1">
        <f t="array" ref="F87">IFERROR(_xlfn.XLOOKUP(TEXT(E87,"0000"),TEXT(Catalog!A:A,"0000"),Catalog!B:B),"")</f>
        <v>CENTR ZIJKANT BODEM 76.5MM 169</v>
      </c>
      <c r="H87">
        <v>46</v>
      </c>
    </row>
    <row r="88" spans="1:16" x14ac:dyDescent="0.25">
      <c r="A88" t="s">
        <v>5053</v>
      </c>
      <c r="B88">
        <v>3</v>
      </c>
      <c r="C88">
        <v>34</v>
      </c>
      <c r="D88" s="22">
        <v>46055</v>
      </c>
      <c r="E88" s="6" t="s">
        <v>4938</v>
      </c>
      <c r="F88" s="3" t="str" cm="1">
        <f t="array" ref="F88">IFERROR(_xlfn.XLOOKUP(TEXT(E88,"0000"),TEXT(Catalog!A:A,"0000"),Catalog!B:B),"")</f>
        <v xml:space="preserve">INBOUWDS HOLLEWAND 16/19      </v>
      </c>
      <c r="G88" t="s">
        <v>4940</v>
      </c>
      <c r="L88">
        <v>360</v>
      </c>
    </row>
    <row r="89" spans="1:16" x14ac:dyDescent="0.25">
      <c r="A89" t="s">
        <v>5053</v>
      </c>
      <c r="B89">
        <v>3</v>
      </c>
      <c r="C89">
        <v>34</v>
      </c>
      <c r="D89" s="22">
        <v>46055</v>
      </c>
      <c r="E89" s="6" t="s">
        <v>4939</v>
      </c>
      <c r="F89" s="3" t="str" cm="1">
        <f t="array" ref="F89">IFERROR(_xlfn.XLOOKUP(TEXT(E89,"0000"),TEXT(Catalog!A:A,"0000"),Catalog!B:B),"")</f>
        <v xml:space="preserve">CD/RV RONDE DEKSEL CENTRAL    </v>
      </c>
      <c r="G89" t="s">
        <v>4600</v>
      </c>
      <c r="L89">
        <v>150</v>
      </c>
    </row>
    <row r="90" spans="1:16" x14ac:dyDescent="0.25">
      <c r="A90" t="s">
        <v>5053</v>
      </c>
      <c r="B90">
        <v>3</v>
      </c>
      <c r="C90">
        <v>34</v>
      </c>
      <c r="D90" s="22">
        <v>46055</v>
      </c>
      <c r="E90" s="6" t="s">
        <v>4437</v>
      </c>
      <c r="F90" s="3" t="str" cm="1">
        <f t="array" ref="F90">IFERROR(_xlfn.XLOOKUP(TEXT(E90,"0000"),TEXT(Catalog!A:A,"0000"),Catalog!B:B),"")</f>
        <v>TREKDOOS                4202-D</v>
      </c>
      <c r="G90" t="s">
        <v>4693</v>
      </c>
      <c r="L90">
        <v>100</v>
      </c>
    </row>
    <row r="91" spans="1:16" x14ac:dyDescent="0.25">
      <c r="A91" t="s">
        <v>5053</v>
      </c>
      <c r="B91">
        <v>3</v>
      </c>
    </row>
    <row r="92" spans="1:16" ht="24" x14ac:dyDescent="0.4">
      <c r="A92" t="s">
        <v>5053</v>
      </c>
      <c r="B92">
        <v>3</v>
      </c>
      <c r="D92" s="35" t="s">
        <v>4772</v>
      </c>
      <c r="E92" s="36"/>
      <c r="F92" s="36"/>
      <c r="G92" s="36"/>
      <c r="H92" s="36"/>
      <c r="I92" s="36"/>
      <c r="J92" s="37"/>
      <c r="K92" s="38" t="s">
        <v>4459</v>
      </c>
      <c r="L92" s="13" t="s">
        <v>4432</v>
      </c>
      <c r="M92" s="40" t="s">
        <v>4460</v>
      </c>
    </row>
    <row r="93" spans="1:16" ht="18.75" x14ac:dyDescent="0.3">
      <c r="A93" t="s">
        <v>5053</v>
      </c>
      <c r="B93">
        <v>3</v>
      </c>
      <c r="D93" s="11" t="s">
        <v>4445</v>
      </c>
      <c r="E93" s="11" t="s">
        <v>4433</v>
      </c>
      <c r="F93" s="11" t="s">
        <v>4434</v>
      </c>
      <c r="G93" s="11" t="s">
        <v>4435</v>
      </c>
      <c r="H93" s="11" t="s">
        <v>4436</v>
      </c>
      <c r="I93" s="11" t="s">
        <v>4444</v>
      </c>
      <c r="J93" s="11" t="s">
        <v>4436</v>
      </c>
      <c r="K93" s="39"/>
      <c r="L93" s="11" t="s">
        <v>4447</v>
      </c>
      <c r="M93" s="41"/>
      <c r="O93" t="s">
        <v>4946</v>
      </c>
    </row>
    <row r="94" spans="1:16" x14ac:dyDescent="0.25">
      <c r="A94" t="s">
        <v>5053</v>
      </c>
      <c r="B94">
        <v>3</v>
      </c>
      <c r="C94">
        <v>33</v>
      </c>
      <c r="D94" s="22">
        <v>46055</v>
      </c>
      <c r="E94" s="6" t="s">
        <v>4941</v>
      </c>
      <c r="F94" s="3" t="str" cm="1">
        <f t="array" ref="F94">IFERROR(_xlfn.XLOOKUP(TEXT(E94,"0000"),TEXT(Catalog!A:A,"0000"),Catalog!B:B),"")</f>
        <v xml:space="preserve">INBOUWDOOS DUBB WCD H140      </v>
      </c>
      <c r="G94" t="s">
        <v>4944</v>
      </c>
      <c r="O94" s="3" t="s">
        <v>1656</v>
      </c>
      <c r="P94" s="3" t="s">
        <v>1657</v>
      </c>
    </row>
    <row r="95" spans="1:16" x14ac:dyDescent="0.25">
      <c r="A95" t="s">
        <v>5053</v>
      </c>
      <c r="B95">
        <v>3</v>
      </c>
      <c r="C95">
        <v>33</v>
      </c>
      <c r="D95" s="22">
        <v>46055</v>
      </c>
      <c r="E95" s="6" t="s">
        <v>4437</v>
      </c>
      <c r="F95" s="3" t="str" cm="1">
        <f t="array" ref="F95">IFERROR(_xlfn.XLOOKUP(TEXT(E95,"0000"),TEXT(Catalog!A:A,"0000"),Catalog!B:B),"")</f>
        <v>TREKDOOS                4202-D</v>
      </c>
      <c r="G95" t="s">
        <v>4945</v>
      </c>
      <c r="O95" s="3" t="s">
        <v>1658</v>
      </c>
      <c r="P95" s="3" t="s">
        <v>1659</v>
      </c>
    </row>
    <row r="96" spans="1:16" x14ac:dyDescent="0.25">
      <c r="A96" t="s">
        <v>5053</v>
      </c>
      <c r="B96">
        <v>3</v>
      </c>
      <c r="C96">
        <v>33</v>
      </c>
      <c r="D96" s="22">
        <v>46055</v>
      </c>
      <c r="E96" s="6" t="s">
        <v>4942</v>
      </c>
      <c r="F96" s="3" t="str" cm="1">
        <f t="array" ref="F96">IFERROR(_xlfn.XLOOKUP(TEXT(E96,"0000"),TEXT(Catalog!A:A,"0000"),Catalog!B:B),"")</f>
        <v xml:space="preserve">ATT UNIVERSELE LASDOOS 1619   </v>
      </c>
      <c r="G96" t="s">
        <v>4622</v>
      </c>
      <c r="O96" s="3" t="s">
        <v>1660</v>
      </c>
      <c r="P96" s="3" t="s">
        <v>1661</v>
      </c>
    </row>
    <row r="97" spans="1:13" x14ac:dyDescent="0.25">
      <c r="A97" t="s">
        <v>5053</v>
      </c>
      <c r="B97">
        <v>3</v>
      </c>
      <c r="C97">
        <v>33</v>
      </c>
      <c r="D97" s="22">
        <v>46055</v>
      </c>
      <c r="E97" s="6" t="s">
        <v>4943</v>
      </c>
      <c r="F97" s="3" t="str" cm="1">
        <f t="array" ref="F97">IFERROR(_xlfn.XLOOKUP(TEXT(E97,"0000"),TEXT(Catalog!A:A,"0000"),Catalog!B:B),"")</f>
        <v xml:space="preserve">GIETBOUWDOOS EURO 2x3/4 MGD50 </v>
      </c>
      <c r="G97" t="s">
        <v>4945</v>
      </c>
    </row>
    <row r="98" spans="1:13" x14ac:dyDescent="0.25">
      <c r="A98" t="s">
        <v>5053</v>
      </c>
      <c r="B98">
        <v>3</v>
      </c>
    </row>
    <row r="99" spans="1:13" ht="24" x14ac:dyDescent="0.4">
      <c r="A99" t="s">
        <v>5053</v>
      </c>
      <c r="B99">
        <v>3</v>
      </c>
      <c r="D99" s="35" t="s">
        <v>4775</v>
      </c>
      <c r="E99" s="36"/>
      <c r="F99" s="36"/>
      <c r="G99" s="36"/>
      <c r="H99" s="36"/>
      <c r="I99" s="36"/>
      <c r="J99" s="37"/>
      <c r="K99" s="38" t="s">
        <v>4459</v>
      </c>
      <c r="L99" s="13" t="s">
        <v>4432</v>
      </c>
      <c r="M99" s="40" t="s">
        <v>4460</v>
      </c>
    </row>
    <row r="100" spans="1:13" ht="18.75" x14ac:dyDescent="0.3">
      <c r="A100" t="s">
        <v>5053</v>
      </c>
      <c r="B100">
        <v>3</v>
      </c>
      <c r="D100" s="11" t="s">
        <v>4445</v>
      </c>
      <c r="E100" s="11" t="s">
        <v>4433</v>
      </c>
      <c r="F100" s="11" t="s">
        <v>4434</v>
      </c>
      <c r="G100" s="11" t="s">
        <v>4435</v>
      </c>
      <c r="H100" s="11" t="s">
        <v>4436</v>
      </c>
      <c r="I100" s="11" t="s">
        <v>4444</v>
      </c>
      <c r="J100" s="11" t="s">
        <v>4436</v>
      </c>
      <c r="K100" s="39"/>
      <c r="L100" s="11" t="s">
        <v>4447</v>
      </c>
      <c r="M100" s="41"/>
    </row>
    <row r="101" spans="1:13" x14ac:dyDescent="0.25">
      <c r="A101" t="s">
        <v>5053</v>
      </c>
      <c r="B101">
        <v>3</v>
      </c>
      <c r="C101">
        <v>32</v>
      </c>
      <c r="D101" s="22">
        <v>46055</v>
      </c>
      <c r="E101">
        <v>1327</v>
      </c>
      <c r="F101" s="3" t="str" cm="1">
        <f t="array" ref="F101">IFERROR(_xlfn.XLOOKUP(TEXT(E101,"0000"),TEXT(Catalog!A:A,"0000"),Catalog!B:B),"")</f>
        <v xml:space="preserve">MOERKLEM APC 10/6             </v>
      </c>
      <c r="G101" t="s">
        <v>4947</v>
      </c>
      <c r="L101">
        <v>125</v>
      </c>
    </row>
    <row r="102" spans="1:13" x14ac:dyDescent="0.25">
      <c r="A102" t="s">
        <v>5053</v>
      </c>
      <c r="B102">
        <v>3</v>
      </c>
      <c r="C102">
        <v>32</v>
      </c>
      <c r="D102" s="22">
        <v>46055</v>
      </c>
      <c r="E102">
        <v>1330</v>
      </c>
      <c r="F102" s="3" t="str" cm="1">
        <f t="array" ref="F102">IFERROR(_xlfn.XLOOKUP(TEXT(E102,"0000"),TEXT(Catalog!A:A,"0000"),Catalog!B:B),"")</f>
        <v xml:space="preserve">MOERKLEM APC 35/35            </v>
      </c>
      <c r="G102" t="s">
        <v>4948</v>
      </c>
      <c r="L102">
        <v>160</v>
      </c>
    </row>
    <row r="103" spans="1:13" x14ac:dyDescent="0.25">
      <c r="A103" t="s">
        <v>5053</v>
      </c>
      <c r="B103">
        <v>3</v>
      </c>
      <c r="C103">
        <v>32</v>
      </c>
      <c r="D103" s="22">
        <v>46055</v>
      </c>
      <c r="E103">
        <v>1328</v>
      </c>
      <c r="F103" s="3" t="str" cm="1">
        <f t="array" ref="F103">IFERROR(_xlfn.XLOOKUP(TEXT(E103,"0000"),TEXT(Catalog!A:A,"0000"),Catalog!B:B),"")</f>
        <v xml:space="preserve">MOERKLEM APC 16/16            </v>
      </c>
      <c r="G103" t="s">
        <v>4949</v>
      </c>
    </row>
    <row r="104" spans="1:13" x14ac:dyDescent="0.25">
      <c r="A104" t="s">
        <v>5053</v>
      </c>
      <c r="B104">
        <v>3</v>
      </c>
      <c r="C104">
        <v>32</v>
      </c>
      <c r="D104" s="22">
        <v>46055</v>
      </c>
      <c r="E104">
        <v>1329</v>
      </c>
      <c r="F104" s="3" t="str" cm="1">
        <f t="array" ref="F104">IFERROR(_xlfn.XLOOKUP(TEXT(E104,"0000"),TEXT(Catalog!A:A,"0000"),Catalog!B:B),"")</f>
        <v xml:space="preserve">MOERKLEM APC 25/25            </v>
      </c>
      <c r="G104" t="s">
        <v>4950</v>
      </c>
      <c r="L104">
        <v>190</v>
      </c>
    </row>
    <row r="105" spans="1:13" x14ac:dyDescent="0.25">
      <c r="A105" t="s">
        <v>5053</v>
      </c>
      <c r="B105">
        <v>3</v>
      </c>
      <c r="C105">
        <v>32</v>
      </c>
      <c r="D105" s="22">
        <v>46055</v>
      </c>
      <c r="E105">
        <v>1331</v>
      </c>
      <c r="F105" s="3" t="str" cm="1">
        <f t="array" ref="F105">IFERROR(_xlfn.XLOOKUP(TEXT(E105,"0000"),TEXT(Catalog!A:A,"0000"),Catalog!B:B),"")</f>
        <v xml:space="preserve">MOERKLEM APC 50/50            </v>
      </c>
      <c r="G105" t="s">
        <v>4950</v>
      </c>
      <c r="L105">
        <v>190</v>
      </c>
    </row>
    <row r="106" spans="1:13" x14ac:dyDescent="0.25">
      <c r="A106" t="s">
        <v>5053</v>
      </c>
      <c r="B106">
        <v>3</v>
      </c>
      <c r="C106">
        <v>32</v>
      </c>
      <c r="D106" s="22">
        <v>46055</v>
      </c>
      <c r="E106">
        <v>1334</v>
      </c>
      <c r="F106" s="3" t="str" cm="1">
        <f t="array" ref="F106">IFERROR(_xlfn.XLOOKUP(TEXT(E106,"0000"),TEXT(Catalog!A:A,"0000"),Catalog!B:B),"")</f>
        <v/>
      </c>
      <c r="G106">
        <v>218</v>
      </c>
    </row>
    <row r="107" spans="1:13" x14ac:dyDescent="0.25">
      <c r="A107" t="s">
        <v>5053</v>
      </c>
      <c r="B107">
        <v>3</v>
      </c>
      <c r="C107">
        <v>32</v>
      </c>
      <c r="D107" s="22">
        <v>46055</v>
      </c>
      <c r="E107">
        <v>1335</v>
      </c>
      <c r="F107" s="3" t="str" cm="1">
        <f t="array" ref="F107">IFERROR(_xlfn.XLOOKUP(TEXT(E107,"0000"),TEXT(Catalog!A:A,"0000"),Catalog!B:B),"")</f>
        <v xml:space="preserve">KOPPELING LEH-34              </v>
      </c>
      <c r="G107">
        <v>297</v>
      </c>
    </row>
    <row r="108" spans="1:13" x14ac:dyDescent="0.25">
      <c r="A108" t="s">
        <v>5053</v>
      </c>
      <c r="B108">
        <v>3</v>
      </c>
      <c r="C108">
        <v>32</v>
      </c>
      <c r="D108" s="22">
        <v>46055</v>
      </c>
      <c r="E108">
        <v>1314</v>
      </c>
      <c r="F108" s="3" t="str" cm="1">
        <f t="array" ref="F108">IFERROR(_xlfn.XLOOKUP(TEXT(E108,"0000"),TEXT(Catalog!A:A,"0000"),Catalog!B:B),"")</f>
        <v xml:space="preserve">AARDKLEM  1 "                 </v>
      </c>
      <c r="G108">
        <v>202</v>
      </c>
    </row>
    <row r="109" spans="1:13" x14ac:dyDescent="0.25">
      <c r="A109" t="s">
        <v>5053</v>
      </c>
      <c r="B109">
        <v>3</v>
      </c>
      <c r="C109">
        <v>32</v>
      </c>
      <c r="D109" s="22">
        <v>46055</v>
      </c>
      <c r="E109">
        <v>3124</v>
      </c>
      <c r="F109" s="3" t="str" cm="1">
        <f t="array" ref="F109">IFERROR(_xlfn.XLOOKUP(TEXT(E109,"0000"),TEXT(Catalog!A:A,"0000"),Catalog!B:B),"")</f>
        <v xml:space="preserve">REFLECTOR LED 200W 18000LM    </v>
      </c>
      <c r="G109" t="s">
        <v>4848</v>
      </c>
    </row>
    <row r="110" spans="1:13" x14ac:dyDescent="0.25">
      <c r="A110" t="s">
        <v>5053</v>
      </c>
      <c r="B110">
        <v>3</v>
      </c>
      <c r="D110" s="22"/>
    </row>
    <row r="111" spans="1:13" ht="24" x14ac:dyDescent="0.4">
      <c r="A111" t="s">
        <v>5053</v>
      </c>
      <c r="B111">
        <v>3</v>
      </c>
      <c r="D111" s="35" t="s">
        <v>4773</v>
      </c>
      <c r="E111" s="36"/>
      <c r="F111" s="36"/>
      <c r="G111" s="36"/>
      <c r="H111" s="36"/>
      <c r="I111" s="36"/>
      <c r="J111" s="37"/>
      <c r="K111" s="38" t="s">
        <v>4459</v>
      </c>
      <c r="L111" s="13" t="s">
        <v>4432</v>
      </c>
      <c r="M111" s="40" t="s">
        <v>4460</v>
      </c>
    </row>
    <row r="112" spans="1:13" ht="18.75" x14ac:dyDescent="0.3">
      <c r="A112" t="s">
        <v>5053</v>
      </c>
      <c r="B112">
        <v>3</v>
      </c>
      <c r="D112" s="11" t="s">
        <v>4445</v>
      </c>
      <c r="E112" s="11" t="s">
        <v>4433</v>
      </c>
      <c r="F112" s="11" t="s">
        <v>4434</v>
      </c>
      <c r="G112" s="11" t="s">
        <v>4435</v>
      </c>
      <c r="H112" s="11" t="s">
        <v>4436</v>
      </c>
      <c r="I112" s="11" t="s">
        <v>4444</v>
      </c>
      <c r="J112" s="11" t="s">
        <v>4436</v>
      </c>
      <c r="K112" s="39"/>
      <c r="L112" s="11" t="s">
        <v>4447</v>
      </c>
      <c r="M112" s="41"/>
    </row>
    <row r="113" spans="1:13" x14ac:dyDescent="0.25">
      <c r="A113" t="s">
        <v>5053</v>
      </c>
      <c r="B113">
        <v>3</v>
      </c>
      <c r="C113">
        <v>29</v>
      </c>
      <c r="D113" s="22">
        <v>46083</v>
      </c>
      <c r="E113" s="6" t="s">
        <v>4943</v>
      </c>
      <c r="F113" s="3" t="str" cm="1">
        <f t="array" ref="F113">IFERROR(_xlfn.XLOOKUP(TEXT(E113,"0000"),TEXT(Catalog!A:A,"0000"),Catalog!B:B),"")</f>
        <v xml:space="preserve">GIETBOUWDOOS EURO 2x3/4 MGD50 </v>
      </c>
      <c r="G113" t="s">
        <v>4958</v>
      </c>
      <c r="L113">
        <v>600</v>
      </c>
    </row>
    <row r="114" spans="1:13" x14ac:dyDescent="0.25">
      <c r="A114" t="s">
        <v>5053</v>
      </c>
      <c r="B114">
        <v>3</v>
      </c>
      <c r="C114">
        <v>29</v>
      </c>
      <c r="D114" s="22">
        <v>46083</v>
      </c>
      <c r="E114" s="6" t="s">
        <v>4951</v>
      </c>
      <c r="F114" s="3" t="str" cm="1">
        <f t="array" ref="F114">IFERROR(_xlfn.XLOOKUP(TEXT(E114,"0000"),TEXT(Catalog!A:A,"0000"),Catalog!B:B),"")</f>
        <v>INZ.STK KABELDOOS3640 19mm3529</v>
      </c>
      <c r="G114" t="s">
        <v>4959</v>
      </c>
      <c r="L114">
        <v>3000</v>
      </c>
    </row>
    <row r="115" spans="1:13" x14ac:dyDescent="0.25">
      <c r="A115" t="s">
        <v>5053</v>
      </c>
      <c r="B115">
        <v>3</v>
      </c>
      <c r="C115">
        <v>29</v>
      </c>
      <c r="D115" s="22">
        <v>46083</v>
      </c>
      <c r="E115" s="6" t="s">
        <v>4957</v>
      </c>
      <c r="F115" s="3" t="str" cm="1">
        <f t="array" ref="F115">IFERROR(_xlfn.XLOOKUP(TEXT(E115,"0000"),TEXT(Catalog!A:A,"0000"),Catalog!B:B),"")</f>
        <v xml:space="preserve">MT/1X 16-19MM Inzetstuk       </v>
      </c>
      <c r="G115" t="s">
        <v>4960</v>
      </c>
      <c r="L115">
        <v>500</v>
      </c>
    </row>
    <row r="116" spans="1:13" x14ac:dyDescent="0.25">
      <c r="A116" t="s">
        <v>5053</v>
      </c>
      <c r="B116">
        <v>3</v>
      </c>
      <c r="C116">
        <v>29</v>
      </c>
      <c r="D116" s="22">
        <v>46083</v>
      </c>
      <c r="E116" s="6" t="s">
        <v>4952</v>
      </c>
      <c r="F116" s="3" t="str" cm="1">
        <f t="array" ref="F116">IFERROR(_xlfn.XLOOKUP(TEXT(E116,"0000"),TEXT(Catalog!A:A,"0000"),Catalog!B:B),"")</f>
        <v>AD/16-19 AFSLUITSTOPBUIS 16-19</v>
      </c>
      <c r="L116">
        <v>1000</v>
      </c>
    </row>
    <row r="117" spans="1:13" x14ac:dyDescent="0.25">
      <c r="A117" t="s">
        <v>5053</v>
      </c>
      <c r="B117">
        <v>3</v>
      </c>
      <c r="C117">
        <v>29</v>
      </c>
      <c r="D117" s="22">
        <v>46083</v>
      </c>
      <c r="E117" s="6" t="s">
        <v>4953</v>
      </c>
      <c r="F117" s="3" t="str" cm="1">
        <f t="array" ref="F117">IFERROR(_xlfn.XLOOKUP(TEXT(E117,"0000"),TEXT(Catalog!A:A,"0000"),Catalog!B:B),"")</f>
        <v xml:space="preserve">MONTAGEDEKSEL GRIJS 3640/D    </v>
      </c>
      <c r="G117" t="s">
        <v>4961</v>
      </c>
      <c r="L117">
        <v>150</v>
      </c>
    </row>
    <row r="118" spans="1:13" x14ac:dyDescent="0.25">
      <c r="A118" t="s">
        <v>5053</v>
      </c>
      <c r="B118">
        <v>3</v>
      </c>
      <c r="C118">
        <v>29</v>
      </c>
      <c r="D118" s="22">
        <v>46083</v>
      </c>
      <c r="E118" s="6" t="s">
        <v>4954</v>
      </c>
      <c r="F118" s="3" t="str" cm="1">
        <f t="array" ref="F118">IFERROR(_xlfn.XLOOKUP(TEXT(E118,"0000"),TEXT(Catalog!A:A,"0000"),Catalog!B:B),"")</f>
        <v xml:space="preserve">TOPDOOS DUBB LINKS   4209-D   </v>
      </c>
      <c r="L118">
        <v>200</v>
      </c>
    </row>
    <row r="119" spans="1:13" x14ac:dyDescent="0.25">
      <c r="A119" t="s">
        <v>5053</v>
      </c>
      <c r="B119">
        <v>3</v>
      </c>
      <c r="C119">
        <v>29</v>
      </c>
      <c r="D119" s="22">
        <v>46083</v>
      </c>
      <c r="E119" s="6" t="s">
        <v>4954</v>
      </c>
      <c r="F119" s="3" t="str" cm="1">
        <f t="array" ref="F119">IFERROR(_xlfn.XLOOKUP(TEXT(E119,"0000"),TEXT(Catalog!A:A,"0000"),Catalog!B:B),"")</f>
        <v xml:space="preserve">TOPDOOS DUBB LINKS   4209-D   </v>
      </c>
      <c r="L119">
        <v>100</v>
      </c>
    </row>
    <row r="120" spans="1:13" x14ac:dyDescent="0.25">
      <c r="A120" t="s">
        <v>5053</v>
      </c>
      <c r="B120">
        <v>3</v>
      </c>
      <c r="C120">
        <v>29</v>
      </c>
      <c r="D120" s="22">
        <v>46083</v>
      </c>
      <c r="E120" s="6" t="s">
        <v>4955</v>
      </c>
      <c r="F120" s="3" t="str" cm="1">
        <f t="array" ref="F120">IFERROR(_xlfn.XLOOKUP(TEXT(E120,"0000"),TEXT(Catalog!A:A,"0000"),Catalog!B:B),"")</f>
        <v xml:space="preserve">TOPDOOS DUBB RECHT 4208-D     </v>
      </c>
      <c r="L120">
        <v>200</v>
      </c>
    </row>
    <row r="121" spans="1:13" x14ac:dyDescent="0.25">
      <c r="A121" t="s">
        <v>5053</v>
      </c>
      <c r="B121">
        <v>3</v>
      </c>
      <c r="C121">
        <v>29</v>
      </c>
      <c r="D121" s="22">
        <v>46083</v>
      </c>
      <c r="E121" s="6" t="s">
        <v>4956</v>
      </c>
      <c r="F121" s="3" t="str" cm="1">
        <f t="array" ref="F121">IFERROR(_xlfn.XLOOKUP(TEXT(E121,"0000"),TEXT(Catalog!A:A,"0000"),Catalog!B:B),"")</f>
        <v>EINDDOOS                4201-D</v>
      </c>
      <c r="L121">
        <v>370</v>
      </c>
    </row>
    <row r="122" spans="1:13" x14ac:dyDescent="0.25">
      <c r="A122" t="s">
        <v>5053</v>
      </c>
      <c r="B122">
        <v>3</v>
      </c>
      <c r="D122" s="22"/>
    </row>
    <row r="123" spans="1:13" ht="24" x14ac:dyDescent="0.4">
      <c r="A123" t="s">
        <v>5053</v>
      </c>
      <c r="B123">
        <v>3</v>
      </c>
      <c r="D123" s="35" t="s">
        <v>4877</v>
      </c>
      <c r="E123" s="36"/>
      <c r="F123" s="36"/>
      <c r="G123" s="36"/>
      <c r="H123" s="36"/>
      <c r="I123" s="36"/>
      <c r="J123" s="37"/>
      <c r="K123" s="38" t="s">
        <v>4459</v>
      </c>
      <c r="L123" s="13" t="s">
        <v>4432</v>
      </c>
      <c r="M123" s="40" t="s">
        <v>4460</v>
      </c>
    </row>
    <row r="124" spans="1:13" ht="18.75" x14ac:dyDescent="0.3">
      <c r="A124" t="s">
        <v>5053</v>
      </c>
      <c r="B124">
        <v>3</v>
      </c>
      <c r="D124" s="11" t="s">
        <v>4445</v>
      </c>
      <c r="E124" s="11" t="s">
        <v>4433</v>
      </c>
      <c r="F124" s="11" t="s">
        <v>4434</v>
      </c>
      <c r="G124" s="11" t="s">
        <v>4435</v>
      </c>
      <c r="H124" s="11" t="s">
        <v>4436</v>
      </c>
      <c r="I124" s="11" t="s">
        <v>4444</v>
      </c>
      <c r="J124" s="11" t="s">
        <v>4436</v>
      </c>
      <c r="K124" s="39"/>
      <c r="L124" s="11" t="s">
        <v>4447</v>
      </c>
      <c r="M124" s="41"/>
    </row>
    <row r="125" spans="1:13" x14ac:dyDescent="0.25">
      <c r="A125" t="s">
        <v>5053</v>
      </c>
      <c r="B125">
        <v>3</v>
      </c>
      <c r="C125">
        <v>31</v>
      </c>
      <c r="D125" s="22">
        <v>46055</v>
      </c>
      <c r="E125" s="6" t="s">
        <v>4962</v>
      </c>
      <c r="F125" s="3" t="str" cm="1">
        <f t="array" ref="F125">IFERROR(_xlfn.XLOOKUP(TEXT(E125,"0000"),TEXT(Catalog!A:A,"0000"),Catalog!B:B),"")</f>
        <v xml:space="preserve">KROONKLEMSTROOK 2.5-4 mm2     </v>
      </c>
      <c r="G125" t="s">
        <v>4971</v>
      </c>
    </row>
    <row r="126" spans="1:13" x14ac:dyDescent="0.25">
      <c r="A126" t="s">
        <v>5053</v>
      </c>
      <c r="B126">
        <v>3</v>
      </c>
      <c r="C126">
        <v>31</v>
      </c>
      <c r="D126" s="22">
        <v>46055</v>
      </c>
      <c r="E126" s="6" t="s">
        <v>4963</v>
      </c>
      <c r="F126" s="3" t="str" cm="1">
        <f t="array" ref="F126">IFERROR(_xlfn.XLOOKUP(TEXT(E126,"0000"),TEXT(Catalog!A:A,"0000"),Catalog!B:B),"")</f>
        <v xml:space="preserve">KROONKLEMSTROOK  16 mm2       </v>
      </c>
      <c r="G126" t="s">
        <v>4972</v>
      </c>
    </row>
    <row r="127" spans="1:13" x14ac:dyDescent="0.25">
      <c r="A127" t="s">
        <v>5053</v>
      </c>
      <c r="B127">
        <v>3</v>
      </c>
      <c r="C127">
        <v>31</v>
      </c>
      <c r="D127" s="22">
        <v>46055</v>
      </c>
      <c r="E127" s="6" t="s">
        <v>4964</v>
      </c>
      <c r="F127" s="3" t="str" cm="1">
        <f t="array" ref="F127">IFERROR(_xlfn.XLOOKUP(TEXT(E127,"0000"),TEXT(Catalog!A:A,"0000"),Catalog!B:B),"")</f>
        <v xml:space="preserve">KROONKLEMSTROOK  25 mm2       </v>
      </c>
      <c r="G127" t="s">
        <v>4973</v>
      </c>
    </row>
    <row r="128" spans="1:13" x14ac:dyDescent="0.25">
      <c r="A128" t="s">
        <v>5053</v>
      </c>
      <c r="B128">
        <v>3</v>
      </c>
      <c r="C128">
        <v>31</v>
      </c>
      <c r="D128" s="22">
        <v>46055</v>
      </c>
      <c r="E128" s="6" t="s">
        <v>4965</v>
      </c>
      <c r="F128" s="3" t="str" cm="1">
        <f t="array" ref="F128">IFERROR(_xlfn.XLOOKUP(TEXT(E128,"0000"),TEXT(Catalog!A:A,"0000"),Catalog!B:B),"")</f>
        <v xml:space="preserve">CADDY KAB-CLIPS 8-12mm 15-18  </v>
      </c>
      <c r="G128" t="s">
        <v>4974</v>
      </c>
    </row>
    <row r="129" spans="1:13" x14ac:dyDescent="0.25">
      <c r="A129" t="s">
        <v>5053</v>
      </c>
      <c r="B129">
        <v>3</v>
      </c>
      <c r="C129">
        <v>31</v>
      </c>
      <c r="D129" s="22">
        <v>46055</v>
      </c>
      <c r="E129" s="6" t="s">
        <v>4966</v>
      </c>
      <c r="F129" s="3" t="str" cm="1">
        <f t="array" ref="F129">IFERROR(_xlfn.XLOOKUP(TEXT(E129,"0000"),TEXT(Catalog!A:A,"0000"),Catalog!B:B),"")</f>
        <v xml:space="preserve">CADDY KAB-CLIPS 4 -7mm 15-18  </v>
      </c>
      <c r="G129" t="s">
        <v>4975</v>
      </c>
    </row>
    <row r="130" spans="1:13" x14ac:dyDescent="0.25">
      <c r="A130" t="s">
        <v>5053</v>
      </c>
      <c r="B130">
        <v>3</v>
      </c>
      <c r="C130">
        <v>31</v>
      </c>
      <c r="D130" s="22">
        <v>46055</v>
      </c>
      <c r="E130" s="6" t="s">
        <v>4967</v>
      </c>
      <c r="F130" s="3" t="str" cm="1">
        <f t="array" ref="F130">IFERROR(_xlfn.XLOOKUP(TEXT(E130,"0000"),TEXT(Catalog!A:A,"0000"),Catalog!B:B),"")</f>
        <v xml:space="preserve">CADDY KAB-CLIPS 2 -4mm 15-18  </v>
      </c>
      <c r="G130" t="s">
        <v>4976</v>
      </c>
    </row>
    <row r="131" spans="1:13" x14ac:dyDescent="0.25">
      <c r="A131" t="s">
        <v>5053</v>
      </c>
      <c r="B131">
        <v>3</v>
      </c>
      <c r="C131">
        <v>31</v>
      </c>
      <c r="D131" s="22">
        <v>46055</v>
      </c>
      <c r="E131" s="6" t="s">
        <v>4968</v>
      </c>
      <c r="F131" s="3" t="str" cm="1">
        <f t="array" ref="F131">IFERROR(_xlfn.XLOOKUP(TEXT(E131,"0000"),TEXT(Catalog!A:A,"0000"),Catalog!B:B),"")</f>
        <v xml:space="preserve">CADDY KAB-CLIPS 8-12mm 19-24  </v>
      </c>
      <c r="G131" t="s">
        <v>4977</v>
      </c>
    </row>
    <row r="132" spans="1:13" x14ac:dyDescent="0.25">
      <c r="A132" t="s">
        <v>5053</v>
      </c>
      <c r="B132">
        <v>3</v>
      </c>
      <c r="C132">
        <v>31</v>
      </c>
      <c r="D132" s="22">
        <v>46055</v>
      </c>
      <c r="E132" s="6" t="s">
        <v>4969</v>
      </c>
      <c r="F132" s="3" t="str" cm="1">
        <f t="array" ref="F132">IFERROR(_xlfn.XLOOKUP(TEXT(E132,"0000"),TEXT(Catalog!A:A,"0000"),Catalog!B:B),"")</f>
        <v xml:space="preserve">CADDY KAB-CLIPS 4 -7mm 19-24  </v>
      </c>
      <c r="G132" t="s">
        <v>4978</v>
      </c>
    </row>
    <row r="133" spans="1:13" x14ac:dyDescent="0.25">
      <c r="A133" t="s">
        <v>5053</v>
      </c>
      <c r="B133">
        <v>3</v>
      </c>
      <c r="C133">
        <v>31</v>
      </c>
      <c r="D133" s="22">
        <v>46055</v>
      </c>
      <c r="E133" s="6" t="s">
        <v>4970</v>
      </c>
      <c r="F133" s="3" t="str" cm="1">
        <f t="array" ref="F133">IFERROR(_xlfn.XLOOKUP(TEXT(E133,"0000"),TEXT(Catalog!A:A,"0000"),Catalog!B:B),"")</f>
        <v xml:space="preserve">CADDY KAB-CLIPS 2- 4mm 19-24  </v>
      </c>
      <c r="G133" t="s">
        <v>4974</v>
      </c>
    </row>
    <row r="134" spans="1:13" x14ac:dyDescent="0.25">
      <c r="A134" t="s">
        <v>5053</v>
      </c>
      <c r="B134">
        <v>3</v>
      </c>
      <c r="D134" s="22"/>
    </row>
    <row r="135" spans="1:13" ht="24" x14ac:dyDescent="0.4">
      <c r="A135" t="s">
        <v>5053</v>
      </c>
      <c r="B135">
        <v>3</v>
      </c>
      <c r="D135" s="35" t="s">
        <v>4775</v>
      </c>
      <c r="E135" s="36"/>
      <c r="F135" s="36"/>
      <c r="G135" s="36"/>
      <c r="H135" s="36"/>
      <c r="I135" s="36"/>
      <c r="J135" s="37"/>
      <c r="K135" s="38" t="s">
        <v>4459</v>
      </c>
      <c r="L135" s="13" t="s">
        <v>4432</v>
      </c>
      <c r="M135" s="40" t="s">
        <v>4460</v>
      </c>
    </row>
    <row r="136" spans="1:13" ht="18.75" x14ac:dyDescent="0.3">
      <c r="A136" t="s">
        <v>5053</v>
      </c>
      <c r="B136">
        <v>3</v>
      </c>
      <c r="D136" s="11" t="s">
        <v>4445</v>
      </c>
      <c r="E136" s="11" t="s">
        <v>4433</v>
      </c>
      <c r="F136" s="11" t="s">
        <v>4434</v>
      </c>
      <c r="G136" s="11" t="s">
        <v>4435</v>
      </c>
      <c r="H136" s="11" t="s">
        <v>4436</v>
      </c>
      <c r="I136" s="11" t="s">
        <v>4444</v>
      </c>
      <c r="J136" s="11" t="s">
        <v>4436</v>
      </c>
      <c r="K136" s="39"/>
      <c r="L136" s="11" t="s">
        <v>4447</v>
      </c>
      <c r="M136" s="41"/>
    </row>
    <row r="137" spans="1:13" x14ac:dyDescent="0.25">
      <c r="A137" t="s">
        <v>5053</v>
      </c>
      <c r="B137">
        <v>3</v>
      </c>
      <c r="C137">
        <v>32</v>
      </c>
      <c r="D137" s="22">
        <v>46055</v>
      </c>
      <c r="E137" s="6" t="s">
        <v>4979</v>
      </c>
      <c r="F137" s="3" t="str" cm="1">
        <f t="array" ref="F137">IFERROR(_xlfn.XLOOKUP(TEXT(E137,"0000"),TEXT(Catalog!A:A,"0000"),Catalog!B:B),"")</f>
        <v xml:space="preserve">KABEL DOOS GSLT171 (19805)    </v>
      </c>
      <c r="H137">
        <v>12</v>
      </c>
    </row>
    <row r="138" spans="1:13" x14ac:dyDescent="0.25">
      <c r="A138" t="s">
        <v>5053</v>
      </c>
      <c r="B138">
        <v>3</v>
      </c>
      <c r="C138">
        <v>32</v>
      </c>
      <c r="D138" s="22">
        <v>46055</v>
      </c>
      <c r="E138" s="6" t="s">
        <v>4980</v>
      </c>
      <c r="F138" s="3" t="str" cm="1">
        <f t="array" ref="F138">IFERROR(_xlfn.XLOOKUP(TEXT(E138,"0000"),TEXT(Catalog!A:A,"0000"),Catalog!B:B),"")</f>
        <v>ATT KABELDOOS IP65M20/M25 2501</v>
      </c>
      <c r="G138" t="s">
        <v>4988</v>
      </c>
    </row>
    <row r="139" spans="1:13" x14ac:dyDescent="0.25">
      <c r="A139" t="s">
        <v>5053</v>
      </c>
      <c r="B139">
        <v>3</v>
      </c>
      <c r="C139">
        <v>32</v>
      </c>
      <c r="D139" s="22">
        <v>46055</v>
      </c>
      <c r="E139" s="7">
        <v>7189</v>
      </c>
      <c r="F139" s="3" t="str" cm="1">
        <f t="array" ref="F139">IFERROR(_xlfn.XLOOKUP(TEXT(E139,"0000"),TEXT(Catalog!A:A,"0000"),Catalog!B:B),"")</f>
        <v xml:space="preserve">KABEL DOOS 665 ROND  70 X 35  </v>
      </c>
      <c r="G139" t="s">
        <v>4989</v>
      </c>
    </row>
    <row r="140" spans="1:13" x14ac:dyDescent="0.25">
      <c r="A140" t="s">
        <v>5053</v>
      </c>
      <c r="B140">
        <v>3</v>
      </c>
      <c r="C140">
        <v>32</v>
      </c>
      <c r="D140" s="22">
        <v>46055</v>
      </c>
      <c r="E140" s="7">
        <v>7188</v>
      </c>
      <c r="F140" s="3" t="str" cm="1">
        <f t="array" ref="F140">IFERROR(_xlfn.XLOOKUP(TEXT(E140,"0000"),TEXT(Catalog!A:A,"0000"),Catalog!B:B),"")</f>
        <v xml:space="preserve">KABEL DOOS 615 100 X 100 X 45 </v>
      </c>
      <c r="G140" t="s">
        <v>4988</v>
      </c>
    </row>
    <row r="141" spans="1:13" x14ac:dyDescent="0.25">
      <c r="A141" t="s">
        <v>5053</v>
      </c>
      <c r="B141">
        <v>3</v>
      </c>
      <c r="C141">
        <v>32</v>
      </c>
      <c r="D141" s="22">
        <v>46055</v>
      </c>
      <c r="E141" s="7">
        <v>7190</v>
      </c>
      <c r="F141" s="3" t="str" cm="1">
        <f t="array" ref="F141">IFERROR(_xlfn.XLOOKUP(TEXT(E141,"0000"),TEXT(Catalog!A:A,"0000"),Catalog!B:B),"")</f>
        <v xml:space="preserve">KABEL DOOS 604 80 X 80 X 35   </v>
      </c>
      <c r="G141" t="s">
        <v>4990</v>
      </c>
    </row>
    <row r="142" spans="1:13" x14ac:dyDescent="0.25">
      <c r="A142" t="s">
        <v>5053</v>
      </c>
      <c r="B142">
        <v>3</v>
      </c>
      <c r="C142">
        <v>32</v>
      </c>
      <c r="D142" s="22">
        <v>46055</v>
      </c>
      <c r="E142" s="6" t="s">
        <v>4981</v>
      </c>
      <c r="F142" s="3" t="str" cm="1">
        <f t="array" ref="F142">IFERROR(_xlfn.XLOOKUP(TEXT(E142,"0000"),TEXT(Catalog!A:A,"0000"),Catalog!B:B),"")</f>
        <v xml:space="preserve">KABELDOOS 220A                </v>
      </c>
      <c r="G142" t="s">
        <v>4991</v>
      </c>
    </row>
    <row r="143" spans="1:13" x14ac:dyDescent="0.25">
      <c r="A143" t="s">
        <v>5053</v>
      </c>
      <c r="B143">
        <v>3</v>
      </c>
      <c r="C143">
        <v>32</v>
      </c>
      <c r="D143" s="22">
        <v>46055</v>
      </c>
      <c r="E143" s="7">
        <v>3332</v>
      </c>
      <c r="F143" s="3" t="str" cm="1">
        <f t="array" ref="F143">IFERROR(_xlfn.XLOOKUP(TEXT(E143,"0000"),TEXT(Catalog!A:A,"0000"),Catalog!B:B),"")</f>
        <v>PICKENS 18 WATT 6500K LED SPOT</v>
      </c>
      <c r="G143" t="s">
        <v>4992</v>
      </c>
    </row>
    <row r="144" spans="1:13" x14ac:dyDescent="0.25">
      <c r="A144" t="s">
        <v>5053</v>
      </c>
      <c r="B144">
        <v>3</v>
      </c>
      <c r="C144">
        <v>32</v>
      </c>
      <c r="D144" s="22">
        <v>46055</v>
      </c>
      <c r="E144">
        <v>1376</v>
      </c>
      <c r="F144" s="3" t="str" cm="1">
        <f t="array" ref="F144">IFERROR(_xlfn.XLOOKUP(TEXT(E144,"0000"),TEXT(Catalog!A:A,"0000"),Catalog!B:B),"")</f>
        <v xml:space="preserve">RAWPLUGS ROOD (6X25mm-1")     </v>
      </c>
      <c r="G144" t="s">
        <v>4993</v>
      </c>
      <c r="M144" t="s">
        <v>4905</v>
      </c>
    </row>
    <row r="145" spans="1:13" x14ac:dyDescent="0.25">
      <c r="A145" t="s">
        <v>5053</v>
      </c>
      <c r="B145">
        <v>3</v>
      </c>
      <c r="C145">
        <v>32</v>
      </c>
      <c r="D145" s="22">
        <v>46055</v>
      </c>
      <c r="E145">
        <v>1309</v>
      </c>
      <c r="F145" s="3" t="str" cm="1">
        <f t="array" ref="F145">IFERROR(_xlfn.XLOOKUP(TEXT(E145,"0000"),TEXT(Catalog!A:A,"0000"),Catalog!B:B),"")</f>
        <v xml:space="preserve">AARDKLEM 1/8"                 </v>
      </c>
      <c r="H145">
        <v>90</v>
      </c>
    </row>
    <row r="146" spans="1:13" x14ac:dyDescent="0.25">
      <c r="A146" t="s">
        <v>5053</v>
      </c>
      <c r="B146">
        <v>3</v>
      </c>
      <c r="C146">
        <v>32</v>
      </c>
      <c r="D146" s="22">
        <v>46055</v>
      </c>
      <c r="E146">
        <v>1310</v>
      </c>
      <c r="F146" s="3" t="str" cm="1">
        <f t="array" ref="F146">IFERROR(_xlfn.XLOOKUP(TEXT(E146,"0000"),TEXT(Catalog!A:A,"0000"),Catalog!B:B),"")</f>
        <v xml:space="preserve">AARDKLEM 1/4"                 </v>
      </c>
      <c r="H146">
        <v>295</v>
      </c>
    </row>
    <row r="147" spans="1:13" x14ac:dyDescent="0.25">
      <c r="A147" t="s">
        <v>5053</v>
      </c>
      <c r="B147">
        <v>3</v>
      </c>
    </row>
    <row r="148" spans="1:13" ht="24" x14ac:dyDescent="0.4">
      <c r="A148" t="s">
        <v>5053</v>
      </c>
      <c r="B148">
        <v>3</v>
      </c>
      <c r="D148" s="35" t="s">
        <v>4774</v>
      </c>
      <c r="E148" s="36"/>
      <c r="F148" s="36"/>
      <c r="G148" s="36"/>
      <c r="H148" s="36"/>
      <c r="I148" s="36"/>
      <c r="J148" s="37"/>
      <c r="K148" s="38" t="s">
        <v>4459</v>
      </c>
      <c r="L148" s="13" t="s">
        <v>4432</v>
      </c>
      <c r="M148" s="40" t="s">
        <v>4460</v>
      </c>
    </row>
    <row r="149" spans="1:13" ht="18.75" x14ac:dyDescent="0.3">
      <c r="A149" t="s">
        <v>5053</v>
      </c>
      <c r="B149">
        <v>3</v>
      </c>
      <c r="D149" s="11" t="s">
        <v>4445</v>
      </c>
      <c r="E149" s="11" t="s">
        <v>4433</v>
      </c>
      <c r="F149" s="11" t="s">
        <v>4434</v>
      </c>
      <c r="G149" s="11" t="s">
        <v>4435</v>
      </c>
      <c r="H149" s="11" t="s">
        <v>4436</v>
      </c>
      <c r="I149" s="11" t="s">
        <v>4444</v>
      </c>
      <c r="J149" s="11" t="s">
        <v>4436</v>
      </c>
      <c r="K149" s="39"/>
      <c r="L149" s="11" t="s">
        <v>4447</v>
      </c>
      <c r="M149" s="41"/>
    </row>
    <row r="150" spans="1:13" x14ac:dyDescent="0.25">
      <c r="A150" t="s">
        <v>5053</v>
      </c>
      <c r="B150">
        <v>3</v>
      </c>
      <c r="C150">
        <v>36</v>
      </c>
      <c r="D150" s="22">
        <v>46083</v>
      </c>
      <c r="E150" s="6" t="s">
        <v>5000</v>
      </c>
      <c r="F150" s="3" t="str" cm="1">
        <f t="array" ref="F150">IFERROR(_xlfn.XLOOKUP(TEXT(E150,"0000"),TEXT(Catalog!A:A,"0000"),Catalog!B:B),"")</f>
        <v>MONTAGEDKSL (uni lasdoos) 3543</v>
      </c>
      <c r="G150" s="7" t="s">
        <v>5004</v>
      </c>
    </row>
    <row r="151" spans="1:13" x14ac:dyDescent="0.25">
      <c r="A151" t="s">
        <v>5053</v>
      </c>
      <c r="B151">
        <v>3</v>
      </c>
      <c r="C151">
        <v>36</v>
      </c>
      <c r="D151" s="22">
        <v>46083</v>
      </c>
      <c r="E151" s="6" t="s">
        <v>5001</v>
      </c>
      <c r="F151" s="3" t="str" cm="1">
        <f t="array" ref="F151">IFERROR(_xlfn.XLOOKUP(TEXT(E151,"0000"),TEXT(Catalog!A:A,"0000"),Catalog!B:B),"")</f>
        <v xml:space="preserve">KABEL DOOS GSLT322 (19965)    </v>
      </c>
      <c r="G151" s="7">
        <v>21</v>
      </c>
    </row>
    <row r="152" spans="1:13" x14ac:dyDescent="0.25">
      <c r="A152" t="s">
        <v>5053</v>
      </c>
      <c r="B152">
        <v>3</v>
      </c>
      <c r="C152">
        <v>36</v>
      </c>
      <c r="D152" s="22">
        <v>46083</v>
      </c>
      <c r="E152" s="7">
        <v>2999</v>
      </c>
      <c r="F152" s="3" t="str" cm="1">
        <f t="array" ref="F152">IFERROR(_xlfn.XLOOKUP(TEXT(E152,"0000"),TEXT(Catalog!A:A,"0000"),Catalog!B:B),"")</f>
        <v>WIHA SLIM SELECTION-SET 10 DLG</v>
      </c>
      <c r="G152" s="7">
        <v>7</v>
      </c>
    </row>
    <row r="153" spans="1:13" x14ac:dyDescent="0.25">
      <c r="A153" t="s">
        <v>5053</v>
      </c>
      <c r="B153">
        <v>3</v>
      </c>
      <c r="C153">
        <v>36</v>
      </c>
      <c r="D153" s="22">
        <v>46083</v>
      </c>
      <c r="E153" s="7">
        <v>3021</v>
      </c>
      <c r="F153" s="3" t="str" cm="1">
        <f t="array" ref="F153">IFERROR(_xlfn.XLOOKUP(TEXT(E153,"0000"),TEXT(Catalog!A:A,"0000"),Catalog!B:B),"")</f>
        <v xml:space="preserve">SF-54 HULS TANG S 1,5-6MM     </v>
      </c>
      <c r="G153" s="7">
        <v>11</v>
      </c>
    </row>
    <row r="154" spans="1:13" x14ac:dyDescent="0.25">
      <c r="A154" t="s">
        <v>5053</v>
      </c>
      <c r="B154">
        <v>3</v>
      </c>
      <c r="C154">
        <v>36</v>
      </c>
      <c r="D154" s="22">
        <v>46083</v>
      </c>
      <c r="E154" s="7">
        <v>3023</v>
      </c>
      <c r="F154" s="3" t="str" cm="1">
        <f t="array" ref="F154">IFERROR(_xlfn.XLOOKUP(TEXT(E154,"0000"),TEXT(Catalog!A:A,"0000"),Catalog!B:B),"")</f>
        <v xml:space="preserve">SF-56 HULS TANG  10-35MM      </v>
      </c>
      <c r="G154" s="7">
        <v>1</v>
      </c>
    </row>
    <row r="155" spans="1:13" x14ac:dyDescent="0.25">
      <c r="A155" t="s">
        <v>5053</v>
      </c>
      <c r="B155">
        <v>3</v>
      </c>
      <c r="C155">
        <v>36</v>
      </c>
      <c r="D155" s="22">
        <v>46083</v>
      </c>
      <c r="E155" s="7">
        <v>3019</v>
      </c>
      <c r="F155" s="3" t="str" cm="1">
        <f t="array" ref="F155">IFERROR(_xlfn.XLOOKUP(TEXT(E155,"0000"),TEXT(Catalog!A:A,"0000"),Catalog!B:B),"")</f>
        <v>SF-8 KABELSCHOEN TANG 1.5-16MM</v>
      </c>
      <c r="G155" s="7">
        <v>6</v>
      </c>
    </row>
    <row r="156" spans="1:13" x14ac:dyDescent="0.25">
      <c r="A156" t="s">
        <v>5053</v>
      </c>
      <c r="B156">
        <v>3</v>
      </c>
      <c r="C156">
        <v>36</v>
      </c>
      <c r="D156" s="22">
        <v>46083</v>
      </c>
      <c r="E156" s="6" t="s">
        <v>5002</v>
      </c>
      <c r="F156" s="3" t="str" cm="1">
        <f t="array" ref="F156">IFERROR(_xlfn.XLOOKUP(TEXT(E156,"0000"),TEXT(Catalog!A:A,"0000"),Catalog!B:B),"")</f>
        <v xml:space="preserve">KABEL DOOS EL171 (19150)      </v>
      </c>
      <c r="G156" s="7">
        <v>75</v>
      </c>
    </row>
    <row r="157" spans="1:13" x14ac:dyDescent="0.25">
      <c r="A157" t="s">
        <v>5053</v>
      </c>
      <c r="B157">
        <v>3</v>
      </c>
      <c r="C157">
        <v>36</v>
      </c>
      <c r="D157" s="22">
        <v>46083</v>
      </c>
      <c r="E157" s="6" t="s">
        <v>5003</v>
      </c>
      <c r="F157" s="3" t="str" cm="1">
        <f t="array" ref="F157">IFERROR(_xlfn.XLOOKUP(TEXT(E157,"0000"),TEXT(Catalog!A:A,"0000"),Catalog!B:B),"")</f>
        <v xml:space="preserve">KABEL DOOS EL161 (18800)      </v>
      </c>
      <c r="G157" s="7">
        <v>44</v>
      </c>
    </row>
    <row r="158" spans="1:13" x14ac:dyDescent="0.25">
      <c r="A158" t="s">
        <v>5053</v>
      </c>
      <c r="B158">
        <v>3</v>
      </c>
      <c r="C158">
        <v>36</v>
      </c>
      <c r="D158" s="22">
        <v>46083</v>
      </c>
      <c r="E158" s="7">
        <v>7170</v>
      </c>
      <c r="F158" s="3" t="str" cm="1">
        <f t="array" ref="F158">IFERROR(_xlfn.XLOOKUP(TEXT(E158,"0000"),TEXT(Catalog!A:A,"0000"),Catalog!B:B),"")</f>
        <v xml:space="preserve">KABELDOOS GRIJS 886A          </v>
      </c>
      <c r="G158" s="7">
        <v>11</v>
      </c>
      <c r="M158" t="s">
        <v>5012</v>
      </c>
    </row>
    <row r="159" spans="1:13" x14ac:dyDescent="0.25">
      <c r="A159" t="s">
        <v>5053</v>
      </c>
      <c r="B159">
        <v>3</v>
      </c>
      <c r="C159">
        <v>36</v>
      </c>
      <c r="D159" s="22">
        <v>46083</v>
      </c>
      <c r="E159" s="6" t="s">
        <v>4965</v>
      </c>
      <c r="F159" s="3" t="str" cm="1">
        <f t="array" ref="F159">IFERROR(_xlfn.XLOOKUP(TEXT(E159,"0000"),TEXT(Catalog!A:A,"0000"),Catalog!B:B),"")</f>
        <v xml:space="preserve">CADDY KAB-CLIPS 8-12mm 15-18  </v>
      </c>
      <c r="G159" s="7" t="s">
        <v>5005</v>
      </c>
    </row>
    <row r="160" spans="1:13" x14ac:dyDescent="0.25">
      <c r="A160" t="s">
        <v>5053</v>
      </c>
      <c r="B160">
        <v>3</v>
      </c>
      <c r="D160" s="22"/>
    </row>
    <row r="161" spans="1:13" ht="24" x14ac:dyDescent="0.4">
      <c r="A161" t="s">
        <v>5053</v>
      </c>
      <c r="B161">
        <v>3</v>
      </c>
      <c r="D161" s="35" t="s">
        <v>5006</v>
      </c>
      <c r="E161" s="36"/>
      <c r="F161" s="36"/>
      <c r="G161" s="36"/>
      <c r="H161" s="36"/>
      <c r="I161" s="36"/>
      <c r="J161" s="37"/>
      <c r="K161" s="38" t="s">
        <v>4459</v>
      </c>
      <c r="L161" s="13" t="s">
        <v>4432</v>
      </c>
      <c r="M161" s="40" t="s">
        <v>4460</v>
      </c>
    </row>
    <row r="162" spans="1:13" ht="18.75" x14ac:dyDescent="0.3">
      <c r="A162" t="s">
        <v>5053</v>
      </c>
      <c r="B162">
        <v>3</v>
      </c>
      <c r="D162" s="11" t="s">
        <v>4445</v>
      </c>
      <c r="E162" s="11" t="s">
        <v>4433</v>
      </c>
      <c r="F162" s="11" t="s">
        <v>4434</v>
      </c>
      <c r="G162" s="11" t="s">
        <v>4435</v>
      </c>
      <c r="H162" s="11" t="s">
        <v>4436</v>
      </c>
      <c r="I162" s="11" t="s">
        <v>4444</v>
      </c>
      <c r="J162" s="11" t="s">
        <v>4436</v>
      </c>
      <c r="K162" s="39"/>
      <c r="L162" s="11" t="s">
        <v>4447</v>
      </c>
      <c r="M162" s="41"/>
    </row>
    <row r="163" spans="1:13" x14ac:dyDescent="0.25">
      <c r="A163" t="s">
        <v>5053</v>
      </c>
      <c r="B163">
        <v>3</v>
      </c>
      <c r="C163">
        <v>35</v>
      </c>
      <c r="D163" s="22">
        <v>46083</v>
      </c>
      <c r="E163" s="6" t="s">
        <v>5007</v>
      </c>
      <c r="F163" s="3" t="str" cm="1">
        <f t="array" ref="F163">IFERROR(_xlfn.XLOOKUP(TEXT(E163,"0000"),TEXT(Catalog!A:A,"0000"),Catalog!B:B),"")</f>
        <v xml:space="preserve">DUBB INBOUWDOOS H251 ABB      </v>
      </c>
      <c r="G163">
        <v>250</v>
      </c>
    </row>
    <row r="164" spans="1:13" x14ac:dyDescent="0.25">
      <c r="A164" t="s">
        <v>5053</v>
      </c>
      <c r="B164">
        <v>3</v>
      </c>
      <c r="C164">
        <v>35</v>
      </c>
      <c r="D164" s="22">
        <v>46083</v>
      </c>
      <c r="E164" s="6" t="s">
        <v>5008</v>
      </c>
      <c r="F164" s="3" t="str" cm="1">
        <f t="array" ref="F164">IFERROR(_xlfn.XLOOKUP(TEXT(E164,"0000"),TEXT(Catalog!A:A,"0000"),Catalog!B:B),"")</f>
        <v xml:space="preserve">MONTAGEDEKSEL+WCD3640W2       </v>
      </c>
      <c r="G164" t="s">
        <v>5013</v>
      </c>
      <c r="L164">
        <v>100</v>
      </c>
    </row>
    <row r="165" spans="1:13" x14ac:dyDescent="0.25">
      <c r="A165" t="s">
        <v>5053</v>
      </c>
      <c r="B165">
        <v>3</v>
      </c>
      <c r="C165">
        <v>35</v>
      </c>
      <c r="D165" s="22">
        <v>46083</v>
      </c>
      <c r="E165" s="6" t="s">
        <v>5009</v>
      </c>
      <c r="F165" s="3" t="str" cm="1">
        <f t="array" ref="F165">IFERROR(_xlfn.XLOOKUP(TEXT(E165,"0000"),TEXT(Catalog!A:A,"0000"),Catalog!B:B),"")</f>
        <v xml:space="preserve">MT/2X 16-19MM Inzetstuk       </v>
      </c>
      <c r="G165" t="s">
        <v>5014</v>
      </c>
      <c r="L165">
        <v>400</v>
      </c>
    </row>
    <row r="166" spans="1:13" x14ac:dyDescent="0.25">
      <c r="A166" t="s">
        <v>5053</v>
      </c>
      <c r="B166">
        <v>3</v>
      </c>
      <c r="C166">
        <v>35</v>
      </c>
      <c r="D166" s="22">
        <v>46083</v>
      </c>
      <c r="E166" s="6" t="s">
        <v>5010</v>
      </c>
      <c r="F166" s="3" t="str" cm="1">
        <f t="array" ref="F166">IFERROR(_xlfn.XLOOKUP(TEXT(E166,"0000"),TEXT(Catalog!A:A,"0000"),Catalog!B:B),"")</f>
        <v xml:space="preserve">CENTRAALDOOS DEKSEL 3506      </v>
      </c>
      <c r="G166">
        <v>500</v>
      </c>
    </row>
    <row r="167" spans="1:13" x14ac:dyDescent="0.25">
      <c r="A167" t="s">
        <v>5053</v>
      </c>
      <c r="B167">
        <v>3</v>
      </c>
      <c r="C167">
        <v>35</v>
      </c>
      <c r="D167" s="22">
        <v>46083</v>
      </c>
      <c r="E167" s="7">
        <v>3248</v>
      </c>
      <c r="F167" s="3" t="str" cm="1">
        <f t="array" ref="F167">IFERROR(_xlfn.XLOOKUP(TEXT(E167,"0000"),TEXT(Catalog!A:A,"0000"),Catalog!B:B),"")</f>
        <v xml:space="preserve">PICKENS VPR  2241             </v>
      </c>
      <c r="G167">
        <v>8</v>
      </c>
    </row>
    <row r="168" spans="1:13" x14ac:dyDescent="0.25">
      <c r="A168" t="s">
        <v>5053</v>
      </c>
      <c r="B168">
        <v>3</v>
      </c>
      <c r="C168">
        <v>35</v>
      </c>
      <c r="D168" s="22">
        <v>46083</v>
      </c>
      <c r="E168" s="7">
        <v>3247</v>
      </c>
      <c r="F168" s="3" t="str" cm="1">
        <f t="array" ref="F168">IFERROR(_xlfn.XLOOKUP(TEXT(E168,"0000"),TEXT(Catalog!A:A,"0000"),Catalog!B:B),"")</f>
        <v xml:space="preserve">PICKENS VPO 2236 P            </v>
      </c>
      <c r="G168">
        <v>21</v>
      </c>
    </row>
    <row r="169" spans="1:13" x14ac:dyDescent="0.25">
      <c r="A169" t="s">
        <v>5053</v>
      </c>
      <c r="B169">
        <v>3</v>
      </c>
      <c r="C169">
        <v>35</v>
      </c>
      <c r="D169" s="22">
        <v>46083</v>
      </c>
      <c r="E169" s="7">
        <v>3246</v>
      </c>
      <c r="F169" s="3" t="str" cm="1">
        <f t="array" ref="F169">IFERROR(_xlfn.XLOOKUP(TEXT(E169,"0000"),TEXT(Catalog!A:A,"0000"),Catalog!B:B),"")</f>
        <v xml:space="preserve">PICKENS VPR 2211              </v>
      </c>
      <c r="G169">
        <v>20</v>
      </c>
    </row>
    <row r="170" spans="1:13" x14ac:dyDescent="0.25">
      <c r="A170" t="s">
        <v>5053</v>
      </c>
      <c r="B170">
        <v>3</v>
      </c>
      <c r="C170">
        <v>35</v>
      </c>
      <c r="D170" s="22">
        <v>46083</v>
      </c>
      <c r="E170" s="6" t="s">
        <v>5011</v>
      </c>
      <c r="F170" s="3" t="str" cm="1">
        <f t="array" ref="F170">IFERROR(_xlfn.XLOOKUP(TEXT(E170,"0000"),TEXT(Catalog!A:A,"0000"),Catalog!B:B),"")</f>
        <v xml:space="preserve">ATT EINDOOS 2033              </v>
      </c>
      <c r="G170">
        <v>400</v>
      </c>
    </row>
    <row r="171" spans="1:13" x14ac:dyDescent="0.25">
      <c r="A171" t="s">
        <v>5053</v>
      </c>
      <c r="B171">
        <v>3</v>
      </c>
      <c r="C171">
        <v>35</v>
      </c>
      <c r="D171" s="22">
        <v>46083</v>
      </c>
      <c r="E171" s="7">
        <v>3250</v>
      </c>
      <c r="F171" s="3" t="str" cm="1">
        <f t="array" ref="F171">IFERROR(_xlfn.XLOOKUP(TEXT(E171,"0000"),TEXT(Catalog!A:A,"0000"),Catalog!B:B),"")</f>
        <v xml:space="preserve">PICKENS VPC 2271 TRAP         </v>
      </c>
      <c r="G171">
        <v>1</v>
      </c>
    </row>
    <row r="172" spans="1:13" x14ac:dyDescent="0.25">
      <c r="A172" t="s">
        <v>5053</v>
      </c>
      <c r="B172">
        <v>3</v>
      </c>
      <c r="C172">
        <v>35</v>
      </c>
      <c r="D172" s="22">
        <v>46083</v>
      </c>
      <c r="E172" s="6" t="s">
        <v>4943</v>
      </c>
      <c r="F172" s="3" t="str" cm="1">
        <f t="array" ref="F172">IFERROR(_xlfn.XLOOKUP(TEXT(E172,"0000"),TEXT(Catalog!A:A,"0000"),Catalog!B:B),"")</f>
        <v xml:space="preserve">GIETBOUWDOOS EURO 2x3/4 MGD50 </v>
      </c>
      <c r="G172">
        <v>1</v>
      </c>
      <c r="M172" t="s">
        <v>5015</v>
      </c>
    </row>
    <row r="173" spans="1:13" x14ac:dyDescent="0.25">
      <c r="A173" t="s">
        <v>5053</v>
      </c>
      <c r="B173">
        <v>3</v>
      </c>
      <c r="C173">
        <v>35</v>
      </c>
      <c r="D173" s="22"/>
    </row>
    <row r="174" spans="1:13" ht="24" x14ac:dyDescent="0.4">
      <c r="A174" t="s">
        <v>5053</v>
      </c>
      <c r="B174">
        <v>3</v>
      </c>
      <c r="D174" s="35" t="s">
        <v>4501</v>
      </c>
      <c r="E174" s="36"/>
      <c r="F174" s="36"/>
      <c r="G174" s="36"/>
      <c r="H174" s="36"/>
      <c r="I174" s="36"/>
      <c r="J174" s="37"/>
      <c r="K174" s="38" t="s">
        <v>4459</v>
      </c>
      <c r="L174" s="13" t="s">
        <v>4432</v>
      </c>
      <c r="M174" s="40" t="s">
        <v>4460</v>
      </c>
    </row>
    <row r="175" spans="1:13" ht="18.75" x14ac:dyDescent="0.3">
      <c r="A175" t="s">
        <v>5053</v>
      </c>
      <c r="B175">
        <v>3</v>
      </c>
      <c r="D175" s="11" t="s">
        <v>4445</v>
      </c>
      <c r="E175" s="11" t="s">
        <v>4433</v>
      </c>
      <c r="F175" s="11" t="s">
        <v>4434</v>
      </c>
      <c r="G175" s="11" t="s">
        <v>4435</v>
      </c>
      <c r="H175" s="11" t="s">
        <v>4436</v>
      </c>
      <c r="I175" s="11" t="s">
        <v>4444</v>
      </c>
      <c r="J175" s="11" t="s">
        <v>4436</v>
      </c>
      <c r="K175" s="39"/>
      <c r="L175" s="11" t="s">
        <v>4447</v>
      </c>
      <c r="M175" s="41"/>
    </row>
    <row r="176" spans="1:13" x14ac:dyDescent="0.25">
      <c r="A176" t="s">
        <v>5053</v>
      </c>
      <c r="B176">
        <v>3</v>
      </c>
      <c r="C176">
        <v>13</v>
      </c>
      <c r="D176" s="22">
        <v>46083</v>
      </c>
      <c r="E176" s="6" t="s">
        <v>5016</v>
      </c>
      <c r="F176" s="3" t="str" cm="1">
        <f t="array" ref="F176">IFERROR(_xlfn.XLOOKUP(TEXT(E176,"0000"),TEXT(Catalog!A:A,"0000"),Catalog!B:B),"")</f>
        <v xml:space="preserve">MIDDENDOOS DUBBEL 4207-D      </v>
      </c>
      <c r="G176" t="s">
        <v>5020</v>
      </c>
      <c r="L176">
        <v>200</v>
      </c>
    </row>
    <row r="177" spans="1:13" x14ac:dyDescent="0.25">
      <c r="A177" t="s">
        <v>5053</v>
      </c>
      <c r="B177">
        <v>3</v>
      </c>
      <c r="C177">
        <v>13</v>
      </c>
      <c r="D177" s="22">
        <v>46083</v>
      </c>
      <c r="E177" s="6" t="s">
        <v>5017</v>
      </c>
      <c r="F177" s="3" t="str" cm="1">
        <f t="array" ref="F177">IFERROR(_xlfn.XLOOKUP(TEXT(E177,"0000"),TEXT(Catalog!A:A,"0000"),Catalog!B:B),"")</f>
        <v xml:space="preserve">T-DOOS              4206-D    </v>
      </c>
      <c r="G177" t="s">
        <v>5021</v>
      </c>
      <c r="H177">
        <v>300</v>
      </c>
      <c r="L177">
        <v>400</v>
      </c>
    </row>
    <row r="178" spans="1:13" x14ac:dyDescent="0.25">
      <c r="A178" t="s">
        <v>5053</v>
      </c>
      <c r="B178">
        <v>3</v>
      </c>
      <c r="C178">
        <v>13</v>
      </c>
      <c r="D178" s="22">
        <v>46083</v>
      </c>
      <c r="E178" s="6" t="s">
        <v>5018</v>
      </c>
      <c r="F178" s="3" t="str" cm="1">
        <f t="array" ref="F178">IFERROR(_xlfn.XLOOKUP(TEXT(E178,"0000"),TEXT(Catalog!A:A,"0000"),Catalog!B:B),"")</f>
        <v xml:space="preserve">TOP T DOOS DUBB. R. 4210-D    </v>
      </c>
      <c r="G178" t="s">
        <v>5022</v>
      </c>
      <c r="L178">
        <v>900</v>
      </c>
    </row>
    <row r="179" spans="1:13" x14ac:dyDescent="0.25">
      <c r="A179" t="s">
        <v>5053</v>
      </c>
      <c r="B179">
        <v>3</v>
      </c>
      <c r="C179">
        <v>13</v>
      </c>
      <c r="D179" s="22">
        <v>46083</v>
      </c>
      <c r="E179" s="6" t="s">
        <v>5019</v>
      </c>
      <c r="F179" s="3" t="str" cm="1">
        <f t="array" ref="F179">IFERROR(_xlfn.XLOOKUP(TEXT(E179,"0000"),TEXT(Catalog!A:A,"0000"),Catalog!B:B),"")</f>
        <v xml:space="preserve">TOP T DOOS DUBB. L.  4211-D   </v>
      </c>
      <c r="G179" t="s">
        <v>5023</v>
      </c>
      <c r="L179">
        <v>500</v>
      </c>
    </row>
    <row r="180" spans="1:13" x14ac:dyDescent="0.25">
      <c r="A180" t="s">
        <v>5053</v>
      </c>
      <c r="B180">
        <v>3</v>
      </c>
    </row>
    <row r="181" spans="1:13" ht="24" x14ac:dyDescent="0.4">
      <c r="A181" t="s">
        <v>5053</v>
      </c>
      <c r="B181">
        <v>3</v>
      </c>
      <c r="D181" s="35" t="s">
        <v>5024</v>
      </c>
      <c r="E181" s="36"/>
      <c r="F181" s="36"/>
      <c r="G181" s="36"/>
      <c r="H181" s="36"/>
      <c r="I181" s="36"/>
      <c r="J181" s="37"/>
      <c r="K181" s="38" t="s">
        <v>4459</v>
      </c>
      <c r="L181" s="13" t="s">
        <v>4432</v>
      </c>
      <c r="M181" s="40" t="s">
        <v>4460</v>
      </c>
    </row>
    <row r="182" spans="1:13" ht="18.75" x14ac:dyDescent="0.3">
      <c r="A182" t="s">
        <v>5053</v>
      </c>
      <c r="B182">
        <v>3</v>
      </c>
      <c r="D182" s="11" t="s">
        <v>4445</v>
      </c>
      <c r="E182" s="11" t="s">
        <v>4433</v>
      </c>
      <c r="F182" s="11" t="s">
        <v>4434</v>
      </c>
      <c r="G182" s="11" t="s">
        <v>4435</v>
      </c>
      <c r="H182" s="11" t="s">
        <v>4436</v>
      </c>
      <c r="I182" s="11" t="s">
        <v>4444</v>
      </c>
      <c r="J182" s="11" t="s">
        <v>4436</v>
      </c>
      <c r="K182" s="39"/>
      <c r="L182" s="11" t="s">
        <v>4447</v>
      </c>
      <c r="M182" s="41"/>
    </row>
    <row r="183" spans="1:13" x14ac:dyDescent="0.25">
      <c r="A183" t="s">
        <v>5053</v>
      </c>
      <c r="B183">
        <v>3</v>
      </c>
      <c r="C183">
        <v>17</v>
      </c>
      <c r="D183" s="22">
        <v>46083</v>
      </c>
      <c r="E183" s="6" t="s">
        <v>5019</v>
      </c>
      <c r="F183" s="3" t="str" cm="1">
        <f t="array" ref="F183">IFERROR(_xlfn.XLOOKUP(TEXT(E183,"0000"),TEXT(Catalog!A:A,"0000"),Catalog!B:B),"")</f>
        <v xml:space="preserve">TOP T DOOS DUBB. L.  4211-D   </v>
      </c>
      <c r="G183" t="s">
        <v>5030</v>
      </c>
    </row>
    <row r="184" spans="1:13" x14ac:dyDescent="0.25">
      <c r="A184" t="s">
        <v>5053</v>
      </c>
      <c r="B184">
        <v>3</v>
      </c>
      <c r="C184">
        <v>17</v>
      </c>
      <c r="D184" s="22">
        <v>46083</v>
      </c>
      <c r="E184" s="6" t="s">
        <v>5025</v>
      </c>
      <c r="F184" s="3" t="str" cm="1">
        <f t="array" ref="F184">IFERROR(_xlfn.XLOOKUP(TEXT(E184,"0000"),TEXT(Catalog!A:A,"0000"),Catalog!B:B),"")</f>
        <v xml:space="preserve">LASDOOS TOP T  R DUBB 3210    </v>
      </c>
      <c r="G184" t="s">
        <v>5031</v>
      </c>
      <c r="L184">
        <v>300</v>
      </c>
    </row>
    <row r="185" spans="1:13" x14ac:dyDescent="0.25">
      <c r="A185" t="s">
        <v>5053</v>
      </c>
      <c r="B185">
        <v>3</v>
      </c>
      <c r="C185">
        <v>17</v>
      </c>
      <c r="D185" s="22">
        <v>46083</v>
      </c>
      <c r="E185" s="6" t="s">
        <v>5026</v>
      </c>
      <c r="F185" s="3" t="str" cm="1">
        <f t="array" ref="F185">IFERROR(_xlfn.XLOOKUP(TEXT(E185,"0000"),TEXT(Catalog!A:A,"0000"),Catalog!B:B),"")</f>
        <v xml:space="preserve">LASDOOS TOP T DOOS L DUBB3211 </v>
      </c>
      <c r="G185" t="s">
        <v>5032</v>
      </c>
    </row>
    <row r="186" spans="1:13" x14ac:dyDescent="0.25">
      <c r="A186" t="s">
        <v>5053</v>
      </c>
      <c r="B186">
        <v>3</v>
      </c>
      <c r="C186">
        <v>17</v>
      </c>
      <c r="D186" s="22">
        <v>46083</v>
      </c>
      <c r="E186" s="6" t="s">
        <v>5027</v>
      </c>
      <c r="F186" s="3" t="str" cm="1">
        <f t="array" ref="F186">IFERROR(_xlfn.XLOOKUP(TEXT(E186,"0000"),TEXT(Catalog!A:A,"0000"),Catalog!B:B),"")</f>
        <v xml:space="preserve">LASD TREK ACHTER INV 3222     </v>
      </c>
      <c r="G186">
        <v>667</v>
      </c>
    </row>
    <row r="187" spans="1:13" x14ac:dyDescent="0.25">
      <c r="A187" t="s">
        <v>5053</v>
      </c>
      <c r="B187">
        <v>3</v>
      </c>
      <c r="C187">
        <v>17</v>
      </c>
      <c r="D187" s="22">
        <v>46083</v>
      </c>
      <c r="E187" s="6" t="s">
        <v>5028</v>
      </c>
      <c r="F187" s="3" t="str" cm="1">
        <f t="array" ref="F187">IFERROR(_xlfn.XLOOKUP(TEXT(E187,"0000"),TEXT(Catalog!A:A,"0000"),Catalog!B:B),"")</f>
        <v xml:space="preserve">LASDOOS VORK TOP LINKS 3209   </v>
      </c>
      <c r="G187" t="s">
        <v>5033</v>
      </c>
    </row>
    <row r="188" spans="1:13" x14ac:dyDescent="0.25">
      <c r="A188" t="s">
        <v>5053</v>
      </c>
      <c r="B188">
        <v>3</v>
      </c>
      <c r="C188">
        <v>17</v>
      </c>
      <c r="D188" s="22">
        <v>46083</v>
      </c>
      <c r="E188" s="6" t="s">
        <v>5029</v>
      </c>
      <c r="F188" s="3" t="str" cm="1">
        <f t="array" ref="F188">IFERROR(_xlfn.XLOOKUP(TEXT(E188,"0000"),TEXT(Catalog!A:A,"0000"),Catalog!B:B),"")</f>
        <v xml:space="preserve">LASD EIND ACHTER INV 2031 att </v>
      </c>
      <c r="G188" t="s">
        <v>5021</v>
      </c>
    </row>
    <row r="189" spans="1:13" x14ac:dyDescent="0.25">
      <c r="A189" t="s">
        <v>5053</v>
      </c>
      <c r="B189">
        <v>3</v>
      </c>
    </row>
    <row r="190" spans="1:13" ht="24" x14ac:dyDescent="0.4">
      <c r="A190" t="s">
        <v>5053</v>
      </c>
      <c r="B190">
        <v>3</v>
      </c>
      <c r="D190" s="35" t="s">
        <v>5034</v>
      </c>
      <c r="E190" s="36"/>
      <c r="F190" s="36"/>
      <c r="G190" s="36"/>
      <c r="H190" s="36"/>
      <c r="I190" s="36"/>
      <c r="J190" s="37"/>
      <c r="K190" s="38" t="s">
        <v>4459</v>
      </c>
      <c r="L190" s="13" t="s">
        <v>4432</v>
      </c>
      <c r="M190" s="40" t="s">
        <v>4460</v>
      </c>
    </row>
    <row r="191" spans="1:13" ht="18.75" x14ac:dyDescent="0.3">
      <c r="A191" t="s">
        <v>5053</v>
      </c>
      <c r="B191">
        <v>3</v>
      </c>
      <c r="D191" s="11" t="s">
        <v>4445</v>
      </c>
      <c r="E191" s="11" t="s">
        <v>4433</v>
      </c>
      <c r="F191" s="11" t="s">
        <v>4434</v>
      </c>
      <c r="G191" s="11" t="s">
        <v>4435</v>
      </c>
      <c r="H191" s="11" t="s">
        <v>4436</v>
      </c>
      <c r="I191" s="11" t="s">
        <v>4444</v>
      </c>
      <c r="J191" s="11" t="s">
        <v>4436</v>
      </c>
      <c r="K191" s="39"/>
      <c r="L191" s="11" t="s">
        <v>4447</v>
      </c>
      <c r="M191" s="41"/>
    </row>
    <row r="192" spans="1:13" x14ac:dyDescent="0.25">
      <c r="A192" t="s">
        <v>5053</v>
      </c>
      <c r="B192">
        <v>3</v>
      </c>
      <c r="C192">
        <v>21</v>
      </c>
      <c r="D192" s="22">
        <v>46083</v>
      </c>
      <c r="E192" s="6" t="s">
        <v>5035</v>
      </c>
      <c r="F192" s="3" t="str" cm="1">
        <f t="array" ref="F192">IFERROR(_xlfn.XLOOKUP(TEXT(E192,"0000"),TEXT(Catalog!A:A,"0000"),Catalog!B:B),"")</f>
        <v xml:space="preserve">CENTRAALD 5/8 55mm GEL 165B   </v>
      </c>
      <c r="G192">
        <v>300</v>
      </c>
    </row>
    <row r="193" spans="1:7" x14ac:dyDescent="0.25">
      <c r="A193" t="s">
        <v>5053</v>
      </c>
      <c r="B193">
        <v>3</v>
      </c>
      <c r="C193">
        <v>21</v>
      </c>
      <c r="D193" s="22">
        <v>46083</v>
      </c>
      <c r="E193" s="6" t="s">
        <v>5036</v>
      </c>
      <c r="F193" s="3" t="str" cm="1">
        <f t="array" ref="F193">IFERROR(_xlfn.XLOOKUP(TEXT(E193,"0000"),TEXT(Catalog!A:A,"0000"),Catalog!B:B),"")</f>
        <v xml:space="preserve">CENTRAALD 5/8 55mm ONG 165A   </v>
      </c>
      <c r="G193">
        <v>400</v>
      </c>
    </row>
    <row r="194" spans="1:7" x14ac:dyDescent="0.25">
      <c r="A194" t="s">
        <v>5053</v>
      </c>
      <c r="B194">
        <v>3</v>
      </c>
      <c r="C194">
        <v>21</v>
      </c>
      <c r="D194" s="22">
        <v>46083</v>
      </c>
      <c r="E194" s="6" t="s">
        <v>5037</v>
      </c>
      <c r="F194" s="3" t="str" cm="1">
        <f t="array" ref="F194">IFERROR(_xlfn.XLOOKUP(TEXT(E194,"0000"),TEXT(Catalog!A:A,"0000"),Catalog!B:B),"")</f>
        <v xml:space="preserve">CENTRDOOS ROND 12X16/19/20MM  </v>
      </c>
      <c r="G194">
        <v>180</v>
      </c>
    </row>
  </sheetData>
  <mergeCells count="55">
    <mergeCell ref="D1:K1"/>
    <mergeCell ref="D2:J2"/>
    <mergeCell ref="K2:K3"/>
    <mergeCell ref="M2:M3"/>
    <mergeCell ref="D9:J9"/>
    <mergeCell ref="K9:K10"/>
    <mergeCell ref="M9:M10"/>
    <mergeCell ref="D18:J18"/>
    <mergeCell ref="K18:K19"/>
    <mergeCell ref="M18:M19"/>
    <mergeCell ref="D29:J29"/>
    <mergeCell ref="K29:K30"/>
    <mergeCell ref="M29:M30"/>
    <mergeCell ref="D38:J38"/>
    <mergeCell ref="K38:K39"/>
    <mergeCell ref="M38:M39"/>
    <mergeCell ref="D53:J53"/>
    <mergeCell ref="K53:K54"/>
    <mergeCell ref="M53:M54"/>
    <mergeCell ref="D77:J77"/>
    <mergeCell ref="K77:K78"/>
    <mergeCell ref="M77:M78"/>
    <mergeCell ref="D82:J82"/>
    <mergeCell ref="K82:K83"/>
    <mergeCell ref="M82:M83"/>
    <mergeCell ref="D92:J92"/>
    <mergeCell ref="K92:K93"/>
    <mergeCell ref="M92:M93"/>
    <mergeCell ref="D99:J99"/>
    <mergeCell ref="K99:K100"/>
    <mergeCell ref="M99:M100"/>
    <mergeCell ref="D111:J111"/>
    <mergeCell ref="K111:K112"/>
    <mergeCell ref="M111:M112"/>
    <mergeCell ref="D123:J123"/>
    <mergeCell ref="K123:K124"/>
    <mergeCell ref="M123:M124"/>
    <mergeCell ref="D135:J135"/>
    <mergeCell ref="K135:K136"/>
    <mergeCell ref="M135:M136"/>
    <mergeCell ref="D148:J148"/>
    <mergeCell ref="K148:K149"/>
    <mergeCell ref="M148:M149"/>
    <mergeCell ref="D161:J161"/>
    <mergeCell ref="K161:K162"/>
    <mergeCell ref="M161:M162"/>
    <mergeCell ref="D174:J174"/>
    <mergeCell ref="K174:K175"/>
    <mergeCell ref="M174:M175"/>
    <mergeCell ref="D181:J181"/>
    <mergeCell ref="K181:K182"/>
    <mergeCell ref="M181:M182"/>
    <mergeCell ref="D190:J190"/>
    <mergeCell ref="K190:K191"/>
    <mergeCell ref="M190:M19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169C4-AD08-4B5E-A3C5-D24DF04E6BD4}">
  <dimension ref="A1:M196"/>
  <sheetViews>
    <sheetView workbookViewId="0">
      <selection activeCell="B1" sqref="B1"/>
    </sheetView>
  </sheetViews>
  <sheetFormatPr defaultColWidth="11.42578125" defaultRowHeight="15" x14ac:dyDescent="0.25"/>
  <cols>
    <col min="4" max="4" width="12.5703125" customWidth="1"/>
    <col min="5" max="5" width="10.85546875" customWidth="1"/>
    <col min="6" max="6" width="43.140625" customWidth="1"/>
    <col min="13" max="13" width="28.5703125" customWidth="1"/>
  </cols>
  <sheetData>
    <row r="1" spans="1:13" ht="30" customHeight="1" x14ac:dyDescent="0.4">
      <c r="D1" s="34" t="s">
        <v>4483</v>
      </c>
      <c r="E1" s="34"/>
      <c r="F1" s="34"/>
      <c r="G1" s="34"/>
      <c r="H1" s="34"/>
      <c r="I1" s="34"/>
      <c r="J1" s="34"/>
      <c r="K1" s="34"/>
    </row>
    <row r="2" spans="1:13" ht="24" x14ac:dyDescent="0.4">
      <c r="D2" s="35" t="s">
        <v>4513</v>
      </c>
      <c r="E2" s="36"/>
      <c r="F2" s="36"/>
      <c r="G2" s="36"/>
      <c r="H2" s="36"/>
      <c r="I2" s="36"/>
      <c r="J2" s="37"/>
      <c r="K2" s="38" t="s">
        <v>4459</v>
      </c>
      <c r="L2" s="13" t="s">
        <v>4432</v>
      </c>
      <c r="M2" s="46" t="s">
        <v>4460</v>
      </c>
    </row>
    <row r="3" spans="1:13" ht="18.75" x14ac:dyDescent="0.3">
      <c r="D3" s="11" t="s">
        <v>4445</v>
      </c>
      <c r="E3" s="11" t="s">
        <v>4433</v>
      </c>
      <c r="F3" s="11" t="s">
        <v>4434</v>
      </c>
      <c r="G3" s="11" t="s">
        <v>4435</v>
      </c>
      <c r="H3" s="11" t="s">
        <v>4436</v>
      </c>
      <c r="I3" s="11" t="s">
        <v>4444</v>
      </c>
      <c r="J3" s="11" t="s">
        <v>4436</v>
      </c>
      <c r="K3" s="39"/>
      <c r="L3" s="11" t="s">
        <v>4447</v>
      </c>
      <c r="M3" s="46"/>
    </row>
    <row r="4" spans="1:13" x14ac:dyDescent="0.25">
      <c r="A4" t="s">
        <v>5057</v>
      </c>
      <c r="B4">
        <v>1</v>
      </c>
      <c r="C4">
        <v>1</v>
      </c>
      <c r="D4" t="s">
        <v>4502</v>
      </c>
      <c r="E4">
        <v>3229</v>
      </c>
      <c r="F4" s="3"/>
      <c r="G4">
        <v>81</v>
      </c>
    </row>
    <row r="5" spans="1:13" x14ac:dyDescent="0.25">
      <c r="F5" s="3"/>
    </row>
    <row r="6" spans="1:13" x14ac:dyDescent="0.25">
      <c r="F6" s="3"/>
    </row>
    <row r="7" spans="1:13" ht="24" x14ac:dyDescent="0.4">
      <c r="D7" s="35" t="s">
        <v>4514</v>
      </c>
      <c r="E7" s="36"/>
      <c r="F7" s="36"/>
      <c r="G7" s="36"/>
      <c r="H7" s="36"/>
      <c r="I7" s="36"/>
      <c r="J7" s="37"/>
      <c r="K7" s="38" t="s">
        <v>4459</v>
      </c>
      <c r="L7" s="13" t="s">
        <v>4432</v>
      </c>
      <c r="M7" s="46" t="s">
        <v>4460</v>
      </c>
    </row>
    <row r="8" spans="1:13" ht="18.75" x14ac:dyDescent="0.3">
      <c r="D8" s="11" t="s">
        <v>4445</v>
      </c>
      <c r="E8" s="11" t="s">
        <v>4433</v>
      </c>
      <c r="F8" s="11" t="s">
        <v>4434</v>
      </c>
      <c r="G8" s="11" t="s">
        <v>4435</v>
      </c>
      <c r="H8" s="11" t="s">
        <v>4436</v>
      </c>
      <c r="I8" s="11" t="s">
        <v>4444</v>
      </c>
      <c r="J8" s="11" t="s">
        <v>4436</v>
      </c>
      <c r="K8" s="39"/>
      <c r="L8" s="11" t="s">
        <v>4447</v>
      </c>
      <c r="M8" s="46"/>
    </row>
    <row r="9" spans="1:13" x14ac:dyDescent="0.25">
      <c r="A9" t="s">
        <v>5057</v>
      </c>
      <c r="B9">
        <v>1</v>
      </c>
      <c r="C9">
        <v>2</v>
      </c>
      <c r="D9" t="s">
        <v>4502</v>
      </c>
      <c r="E9" s="6" t="s">
        <v>4519</v>
      </c>
      <c r="F9" s="3"/>
      <c r="G9">
        <v>489</v>
      </c>
    </row>
    <row r="10" spans="1:13" x14ac:dyDescent="0.25">
      <c r="F10" s="3"/>
    </row>
    <row r="11" spans="1:13" x14ac:dyDescent="0.25">
      <c r="F11" s="3"/>
    </row>
    <row r="12" spans="1:13" ht="24" x14ac:dyDescent="0.4">
      <c r="D12" s="35" t="s">
        <v>4515</v>
      </c>
      <c r="E12" s="36"/>
      <c r="F12" s="36"/>
      <c r="G12" s="36"/>
      <c r="H12" s="36"/>
      <c r="I12" s="36"/>
      <c r="J12" s="37"/>
      <c r="K12" s="38" t="s">
        <v>4459</v>
      </c>
      <c r="L12" s="13" t="s">
        <v>4432</v>
      </c>
      <c r="M12" s="46" t="s">
        <v>4460</v>
      </c>
    </row>
    <row r="13" spans="1:13" ht="18.75" x14ac:dyDescent="0.3">
      <c r="D13" s="11" t="s">
        <v>4445</v>
      </c>
      <c r="E13" s="11" t="s">
        <v>4433</v>
      </c>
      <c r="F13" s="11" t="s">
        <v>4434</v>
      </c>
      <c r="G13" s="11" t="s">
        <v>4435</v>
      </c>
      <c r="H13" s="11" t="s">
        <v>4436</v>
      </c>
      <c r="I13" s="11" t="s">
        <v>4444</v>
      </c>
      <c r="J13" s="11" t="s">
        <v>4436</v>
      </c>
      <c r="K13" s="39"/>
      <c r="L13" s="11" t="s">
        <v>4447</v>
      </c>
      <c r="M13" s="46"/>
    </row>
    <row r="14" spans="1:13" x14ac:dyDescent="0.25">
      <c r="A14" t="s">
        <v>5057</v>
      </c>
      <c r="B14">
        <v>1</v>
      </c>
      <c r="C14">
        <v>3</v>
      </c>
      <c r="D14" t="s">
        <v>4502</v>
      </c>
      <c r="E14" s="21" t="s">
        <v>4520</v>
      </c>
      <c r="F14" s="3"/>
      <c r="G14">
        <v>291</v>
      </c>
    </row>
    <row r="17" spans="1:13" ht="24" x14ac:dyDescent="0.4">
      <c r="D17" s="35" t="s">
        <v>4516</v>
      </c>
      <c r="E17" s="36"/>
      <c r="F17" s="36"/>
      <c r="G17" s="36"/>
      <c r="H17" s="36"/>
      <c r="I17" s="36"/>
      <c r="J17" s="37"/>
      <c r="K17" s="38" t="s">
        <v>4459</v>
      </c>
      <c r="L17" s="13" t="s">
        <v>4432</v>
      </c>
      <c r="M17" s="46" t="s">
        <v>4460</v>
      </c>
    </row>
    <row r="18" spans="1:13" ht="18.75" x14ac:dyDescent="0.3">
      <c r="A18" t="s">
        <v>5057</v>
      </c>
      <c r="B18">
        <v>1</v>
      </c>
      <c r="C18">
        <v>4</v>
      </c>
      <c r="D18" s="11" t="s">
        <v>4445</v>
      </c>
      <c r="E18" s="11" t="s">
        <v>4433</v>
      </c>
      <c r="F18" s="11" t="s">
        <v>4434</v>
      </c>
      <c r="G18" s="11" t="s">
        <v>4435</v>
      </c>
      <c r="H18" s="11" t="s">
        <v>4436</v>
      </c>
      <c r="I18" s="11" t="s">
        <v>4444</v>
      </c>
      <c r="J18" s="11" t="s">
        <v>4436</v>
      </c>
      <c r="K18" s="39"/>
      <c r="L18" s="11" t="s">
        <v>4447</v>
      </c>
      <c r="M18" s="46"/>
    </row>
    <row r="19" spans="1:13" x14ac:dyDescent="0.25">
      <c r="D19" t="s">
        <v>4502</v>
      </c>
      <c r="E19">
        <v>3231</v>
      </c>
      <c r="F19" s="3"/>
      <c r="G19">
        <v>59</v>
      </c>
    </row>
    <row r="22" spans="1:13" ht="24" x14ac:dyDescent="0.4">
      <c r="A22">
        <v>0</v>
      </c>
      <c r="D22" s="35" t="s">
        <v>4517</v>
      </c>
      <c r="E22" s="36"/>
      <c r="F22" s="36"/>
      <c r="G22" s="36"/>
      <c r="H22" s="36"/>
      <c r="I22" s="36"/>
      <c r="J22" s="37"/>
      <c r="K22" s="38" t="s">
        <v>4459</v>
      </c>
      <c r="L22" s="13" t="s">
        <v>4432</v>
      </c>
      <c r="M22" s="46" t="s">
        <v>4460</v>
      </c>
    </row>
    <row r="23" spans="1:13" ht="18.75" x14ac:dyDescent="0.3">
      <c r="D23" s="11" t="s">
        <v>4445</v>
      </c>
      <c r="E23" s="11" t="s">
        <v>4433</v>
      </c>
      <c r="F23" s="11" t="s">
        <v>4434</v>
      </c>
      <c r="G23" s="11" t="s">
        <v>4435</v>
      </c>
      <c r="H23" s="11" t="s">
        <v>4436</v>
      </c>
      <c r="I23" s="11" t="s">
        <v>4444</v>
      </c>
      <c r="J23" s="11" t="s">
        <v>4436</v>
      </c>
      <c r="K23" s="39"/>
      <c r="L23" s="11" t="s">
        <v>4447</v>
      </c>
      <c r="M23" s="46"/>
    </row>
    <row r="24" spans="1:13" x14ac:dyDescent="0.25">
      <c r="A24" t="s">
        <v>5057</v>
      </c>
      <c r="B24">
        <v>1</v>
      </c>
      <c r="C24">
        <v>5</v>
      </c>
      <c r="D24" t="s">
        <v>4502</v>
      </c>
      <c r="E24">
        <v>3258</v>
      </c>
      <c r="F24" s="3"/>
      <c r="G24">
        <v>6</v>
      </c>
      <c r="H24">
        <v>11</v>
      </c>
    </row>
    <row r="25" spans="1:13" x14ac:dyDescent="0.25">
      <c r="A25" t="s">
        <v>5057</v>
      </c>
      <c r="B25">
        <v>1</v>
      </c>
      <c r="C25">
        <v>5</v>
      </c>
      <c r="D25" t="s">
        <v>4502</v>
      </c>
      <c r="E25">
        <v>3225</v>
      </c>
      <c r="F25" s="3"/>
      <c r="G25">
        <v>2</v>
      </c>
    </row>
    <row r="26" spans="1:13" x14ac:dyDescent="0.25">
      <c r="A26" t="s">
        <v>5057</v>
      </c>
      <c r="B26">
        <v>1</v>
      </c>
      <c r="C26">
        <v>5</v>
      </c>
      <c r="D26" t="s">
        <v>4502</v>
      </c>
      <c r="E26">
        <v>3275</v>
      </c>
      <c r="F26" s="3"/>
      <c r="G26">
        <v>2</v>
      </c>
    </row>
    <row r="27" spans="1:13" x14ac:dyDescent="0.25">
      <c r="A27" t="s">
        <v>5057</v>
      </c>
      <c r="B27">
        <v>1</v>
      </c>
      <c r="C27">
        <v>5</v>
      </c>
      <c r="D27" t="s">
        <v>4502</v>
      </c>
      <c r="E27">
        <v>3256</v>
      </c>
      <c r="F27" s="3"/>
      <c r="G27">
        <v>1</v>
      </c>
    </row>
    <row r="28" spans="1:13" x14ac:dyDescent="0.25">
      <c r="A28" t="s">
        <v>5057</v>
      </c>
      <c r="B28">
        <v>1</v>
      </c>
      <c r="C28">
        <v>5</v>
      </c>
      <c r="D28" t="s">
        <v>4502</v>
      </c>
      <c r="E28">
        <v>3231</v>
      </c>
      <c r="F28" s="3"/>
      <c r="G28">
        <v>43</v>
      </c>
    </row>
    <row r="29" spans="1:13" x14ac:dyDescent="0.25">
      <c r="A29" t="s">
        <v>5057</v>
      </c>
      <c r="B29">
        <v>1</v>
      </c>
      <c r="C29">
        <v>5</v>
      </c>
      <c r="D29" t="s">
        <v>4502</v>
      </c>
      <c r="E29">
        <v>3350</v>
      </c>
      <c r="F29" s="3"/>
      <c r="G29">
        <v>15</v>
      </c>
    </row>
    <row r="34" spans="1:13" ht="24" x14ac:dyDescent="0.4">
      <c r="D34" s="35" t="s">
        <v>4518</v>
      </c>
      <c r="E34" s="36"/>
      <c r="F34" s="36"/>
      <c r="G34" s="36"/>
      <c r="H34" s="36"/>
      <c r="I34" s="36"/>
      <c r="J34" s="37"/>
      <c r="K34" s="38" t="s">
        <v>4459</v>
      </c>
      <c r="L34" s="13" t="s">
        <v>4432</v>
      </c>
      <c r="M34" s="46" t="s">
        <v>4460</v>
      </c>
    </row>
    <row r="35" spans="1:13" ht="18.75" x14ac:dyDescent="0.3">
      <c r="D35" s="11" t="s">
        <v>4445</v>
      </c>
      <c r="E35" s="11" t="s">
        <v>4433</v>
      </c>
      <c r="F35" s="11" t="s">
        <v>4434</v>
      </c>
      <c r="G35" s="11" t="s">
        <v>4435</v>
      </c>
      <c r="H35" s="11" t="s">
        <v>4436</v>
      </c>
      <c r="I35" s="11" t="s">
        <v>4444</v>
      </c>
      <c r="J35" s="11" t="s">
        <v>4436</v>
      </c>
      <c r="K35" s="39"/>
      <c r="L35" s="11" t="s">
        <v>4447</v>
      </c>
      <c r="M35" s="46"/>
    </row>
    <row r="36" spans="1:13" x14ac:dyDescent="0.25">
      <c r="A36" t="s">
        <v>5057</v>
      </c>
      <c r="B36">
        <v>1</v>
      </c>
      <c r="C36">
        <v>6</v>
      </c>
      <c r="D36" t="s">
        <v>4502</v>
      </c>
      <c r="E36" s="21" t="s">
        <v>4521</v>
      </c>
      <c r="G36">
        <v>280</v>
      </c>
    </row>
    <row r="37" spans="1:13" x14ac:dyDescent="0.25">
      <c r="E37">
        <v>3100</v>
      </c>
      <c r="F37" s="3"/>
      <c r="G37" t="s">
        <v>4524</v>
      </c>
      <c r="H37">
        <v>4</v>
      </c>
    </row>
    <row r="39" spans="1:13" ht="24" x14ac:dyDescent="0.4">
      <c r="D39" s="35" t="s">
        <v>4492</v>
      </c>
      <c r="E39" s="36"/>
      <c r="F39" s="36"/>
      <c r="G39" s="36"/>
      <c r="H39" s="36"/>
      <c r="I39" s="36"/>
      <c r="J39" s="37"/>
      <c r="K39" s="38" t="s">
        <v>4459</v>
      </c>
      <c r="L39" s="13" t="s">
        <v>4432</v>
      </c>
      <c r="M39" s="40" t="s">
        <v>4460</v>
      </c>
    </row>
    <row r="40" spans="1:13" ht="56.25" x14ac:dyDescent="0.3">
      <c r="D40" s="11" t="s">
        <v>4445</v>
      </c>
      <c r="E40" s="11" t="s">
        <v>4433</v>
      </c>
      <c r="F40" s="11" t="s">
        <v>4434</v>
      </c>
      <c r="G40" s="11" t="s">
        <v>4435</v>
      </c>
      <c r="H40" s="20" t="s">
        <v>4493</v>
      </c>
      <c r="I40" s="11" t="s">
        <v>4444</v>
      </c>
      <c r="J40" s="20" t="s">
        <v>4494</v>
      </c>
      <c r="K40" s="39"/>
      <c r="L40" s="11" t="s">
        <v>4447</v>
      </c>
      <c r="M40" s="41"/>
    </row>
    <row r="41" spans="1:13" x14ac:dyDescent="0.25">
      <c r="A41" t="s">
        <v>5057</v>
      </c>
      <c r="B41">
        <v>1</v>
      </c>
      <c r="C41">
        <v>14</v>
      </c>
      <c r="D41" t="s">
        <v>4485</v>
      </c>
      <c r="E41">
        <v>3210</v>
      </c>
      <c r="F41" s="3"/>
      <c r="G41">
        <v>10</v>
      </c>
      <c r="H41">
        <v>3</v>
      </c>
    </row>
    <row r="42" spans="1:13" x14ac:dyDescent="0.25">
      <c r="A42" t="s">
        <v>5057</v>
      </c>
      <c r="B42">
        <v>1</v>
      </c>
      <c r="C42">
        <v>14</v>
      </c>
      <c r="D42" t="s">
        <v>4485</v>
      </c>
      <c r="E42">
        <v>3230</v>
      </c>
      <c r="F42" s="3"/>
      <c r="G42" s="7" t="s">
        <v>4491</v>
      </c>
    </row>
    <row r="43" spans="1:13" x14ac:dyDescent="0.25">
      <c r="A43" t="s">
        <v>5057</v>
      </c>
      <c r="B43">
        <v>1</v>
      </c>
      <c r="C43">
        <v>14</v>
      </c>
      <c r="D43" t="s">
        <v>4485</v>
      </c>
      <c r="E43">
        <v>3224</v>
      </c>
      <c r="F43" s="3"/>
      <c r="G43">
        <v>11</v>
      </c>
      <c r="H43">
        <v>4</v>
      </c>
    </row>
    <row r="44" spans="1:13" x14ac:dyDescent="0.25">
      <c r="A44" t="s">
        <v>5057</v>
      </c>
      <c r="B44">
        <v>1</v>
      </c>
      <c r="C44">
        <v>14</v>
      </c>
      <c r="D44" t="s">
        <v>4502</v>
      </c>
      <c r="E44" s="8"/>
      <c r="F44" s="3"/>
      <c r="G44">
        <v>1</v>
      </c>
      <c r="H44">
        <v>4</v>
      </c>
    </row>
    <row r="45" spans="1:13" x14ac:dyDescent="0.25">
      <c r="F45" s="3"/>
    </row>
    <row r="46" spans="1:13" x14ac:dyDescent="0.25">
      <c r="F46" s="3"/>
    </row>
    <row r="47" spans="1:13" ht="24" x14ac:dyDescent="0.4">
      <c r="D47" s="35" t="s">
        <v>4500</v>
      </c>
      <c r="E47" s="36"/>
      <c r="F47" s="36"/>
      <c r="G47" s="36"/>
      <c r="H47" s="36"/>
      <c r="I47" s="36"/>
      <c r="J47" s="37"/>
      <c r="K47" s="38" t="s">
        <v>4459</v>
      </c>
      <c r="L47" s="13" t="s">
        <v>4432</v>
      </c>
      <c r="M47" s="40" t="s">
        <v>4460</v>
      </c>
    </row>
    <row r="48" spans="1:13" ht="56.25" x14ac:dyDescent="0.3">
      <c r="D48" s="11" t="s">
        <v>4445</v>
      </c>
      <c r="E48" s="11" t="s">
        <v>4433</v>
      </c>
      <c r="F48" s="11" t="s">
        <v>4434</v>
      </c>
      <c r="G48" s="11" t="s">
        <v>4435</v>
      </c>
      <c r="H48" s="20" t="s">
        <v>4493</v>
      </c>
      <c r="I48" s="11" t="s">
        <v>4444</v>
      </c>
      <c r="J48" s="20" t="s">
        <v>4494</v>
      </c>
      <c r="K48" s="39"/>
      <c r="L48" s="11" t="s">
        <v>4447</v>
      </c>
      <c r="M48" s="41"/>
    </row>
    <row r="49" spans="1:8" x14ac:dyDescent="0.25">
      <c r="A49" t="s">
        <v>5057</v>
      </c>
      <c r="B49">
        <v>1</v>
      </c>
      <c r="C49">
        <v>15</v>
      </c>
      <c r="D49" t="s">
        <v>4485</v>
      </c>
      <c r="E49" s="21" t="s">
        <v>4495</v>
      </c>
      <c r="F49" s="3"/>
      <c r="G49">
        <v>426</v>
      </c>
    </row>
    <row r="50" spans="1:8" x14ac:dyDescent="0.25">
      <c r="A50" t="s">
        <v>5057</v>
      </c>
      <c r="B50">
        <v>1</v>
      </c>
      <c r="C50">
        <v>15</v>
      </c>
      <c r="D50" t="s">
        <v>4485</v>
      </c>
      <c r="F50" s="3"/>
      <c r="G50">
        <v>7</v>
      </c>
      <c r="H50">
        <v>8</v>
      </c>
    </row>
    <row r="51" spans="1:8" x14ac:dyDescent="0.25">
      <c r="A51" t="s">
        <v>5057</v>
      </c>
      <c r="B51">
        <v>1</v>
      </c>
      <c r="C51">
        <v>15</v>
      </c>
      <c r="D51" t="s">
        <v>4485</v>
      </c>
      <c r="E51" s="16">
        <v>4102</v>
      </c>
      <c r="F51" s="3"/>
    </row>
    <row r="52" spans="1:8" x14ac:dyDescent="0.25">
      <c r="A52" t="s">
        <v>5057</v>
      </c>
      <c r="B52">
        <v>1</v>
      </c>
      <c r="C52">
        <v>15</v>
      </c>
      <c r="D52" t="s">
        <v>4485</v>
      </c>
      <c r="E52" s="18">
        <v>4142</v>
      </c>
      <c r="F52" s="3"/>
      <c r="G52">
        <v>19</v>
      </c>
    </row>
    <row r="53" spans="1:8" x14ac:dyDescent="0.25">
      <c r="A53" t="s">
        <v>5057</v>
      </c>
      <c r="B53">
        <v>1</v>
      </c>
      <c r="C53">
        <v>15</v>
      </c>
      <c r="D53" t="s">
        <v>4485</v>
      </c>
      <c r="E53" s="16">
        <v>4105</v>
      </c>
      <c r="F53" s="3"/>
    </row>
    <row r="54" spans="1:8" x14ac:dyDescent="0.25">
      <c r="A54" t="s">
        <v>5057</v>
      </c>
      <c r="B54">
        <v>1</v>
      </c>
      <c r="C54">
        <v>15</v>
      </c>
      <c r="D54" t="s">
        <v>4485</v>
      </c>
      <c r="E54" s="17">
        <v>4144</v>
      </c>
      <c r="F54" s="3"/>
    </row>
    <row r="55" spans="1:8" x14ac:dyDescent="0.25">
      <c r="A55" t="s">
        <v>5057</v>
      </c>
      <c r="B55">
        <v>1</v>
      </c>
      <c r="C55">
        <v>15</v>
      </c>
      <c r="D55" t="s">
        <v>4485</v>
      </c>
      <c r="E55" s="18">
        <v>90106</v>
      </c>
      <c r="F55" s="3"/>
      <c r="G55">
        <v>17</v>
      </c>
    </row>
    <row r="56" spans="1:8" x14ac:dyDescent="0.25">
      <c r="A56" t="s">
        <v>5057</v>
      </c>
      <c r="B56">
        <v>1</v>
      </c>
      <c r="C56">
        <v>15</v>
      </c>
      <c r="D56" t="s">
        <v>4485</v>
      </c>
      <c r="E56" s="16">
        <v>4115</v>
      </c>
      <c r="F56" s="3"/>
    </row>
    <row r="57" spans="1:8" x14ac:dyDescent="0.25">
      <c r="A57" t="s">
        <v>5057</v>
      </c>
      <c r="B57">
        <v>1</v>
      </c>
      <c r="C57">
        <v>15</v>
      </c>
      <c r="D57" t="s">
        <v>4485</v>
      </c>
      <c r="E57" s="17">
        <v>4154</v>
      </c>
      <c r="F57" s="3"/>
      <c r="G57" t="s">
        <v>4497</v>
      </c>
    </row>
    <row r="58" spans="1:8" x14ac:dyDescent="0.25">
      <c r="A58" t="s">
        <v>5057</v>
      </c>
      <c r="B58">
        <v>1</v>
      </c>
      <c r="C58">
        <v>15</v>
      </c>
      <c r="D58" t="s">
        <v>4485</v>
      </c>
      <c r="E58" s="16">
        <v>4112</v>
      </c>
      <c r="F58" s="3"/>
    </row>
    <row r="59" spans="1:8" x14ac:dyDescent="0.25">
      <c r="A59" t="s">
        <v>5057</v>
      </c>
      <c r="B59">
        <v>1</v>
      </c>
      <c r="C59">
        <v>15</v>
      </c>
      <c r="D59" t="s">
        <v>4485</v>
      </c>
      <c r="E59" s="17">
        <v>4151</v>
      </c>
      <c r="F59" s="3"/>
    </row>
    <row r="60" spans="1:8" x14ac:dyDescent="0.25">
      <c r="A60" t="s">
        <v>5057</v>
      </c>
      <c r="B60">
        <v>1</v>
      </c>
      <c r="C60">
        <v>15</v>
      </c>
      <c r="D60" t="s">
        <v>4485</v>
      </c>
      <c r="E60" s="18">
        <v>90101</v>
      </c>
      <c r="F60" s="3"/>
      <c r="G60">
        <v>1</v>
      </c>
    </row>
    <row r="61" spans="1:8" x14ac:dyDescent="0.25">
      <c r="A61" t="s">
        <v>5057</v>
      </c>
      <c r="B61">
        <v>1</v>
      </c>
      <c r="C61">
        <v>15</v>
      </c>
      <c r="D61" t="s">
        <v>4485</v>
      </c>
      <c r="E61" s="16">
        <v>4101</v>
      </c>
      <c r="F61" s="3"/>
    </row>
    <row r="62" spans="1:8" x14ac:dyDescent="0.25">
      <c r="A62" t="s">
        <v>5057</v>
      </c>
      <c r="B62">
        <v>1</v>
      </c>
      <c r="C62">
        <v>15</v>
      </c>
      <c r="D62" t="s">
        <v>4485</v>
      </c>
      <c r="E62" s="17">
        <v>4141</v>
      </c>
      <c r="F62" s="3"/>
    </row>
    <row r="63" spans="1:8" x14ac:dyDescent="0.25">
      <c r="A63" t="s">
        <v>5057</v>
      </c>
      <c r="B63">
        <v>1</v>
      </c>
      <c r="C63">
        <v>15</v>
      </c>
      <c r="D63" t="s">
        <v>4485</v>
      </c>
      <c r="E63" s="18">
        <v>90108</v>
      </c>
      <c r="F63" s="3"/>
      <c r="G63">
        <v>9</v>
      </c>
    </row>
    <row r="64" spans="1:8" x14ac:dyDescent="0.25">
      <c r="A64" t="s">
        <v>5057</v>
      </c>
      <c r="B64">
        <v>1</v>
      </c>
      <c r="C64">
        <v>15</v>
      </c>
      <c r="D64" t="s">
        <v>4485</v>
      </c>
      <c r="E64" s="16">
        <v>4100</v>
      </c>
      <c r="F64" s="3"/>
    </row>
    <row r="65" spans="1:8" x14ac:dyDescent="0.25">
      <c r="A65" t="s">
        <v>5057</v>
      </c>
      <c r="B65">
        <v>1</v>
      </c>
      <c r="C65">
        <v>15</v>
      </c>
      <c r="D65" t="s">
        <v>4485</v>
      </c>
      <c r="E65" s="17">
        <v>4140</v>
      </c>
      <c r="F65" s="3"/>
    </row>
    <row r="66" spans="1:8" x14ac:dyDescent="0.25">
      <c r="A66" t="s">
        <v>5057</v>
      </c>
      <c r="B66">
        <v>1</v>
      </c>
      <c r="C66">
        <v>15</v>
      </c>
      <c r="D66" t="s">
        <v>4485</v>
      </c>
      <c r="E66" s="18">
        <v>90108</v>
      </c>
      <c r="F66" s="3"/>
      <c r="G66">
        <v>26</v>
      </c>
      <c r="H66">
        <v>1</v>
      </c>
    </row>
    <row r="67" spans="1:8" x14ac:dyDescent="0.25">
      <c r="A67" t="s">
        <v>5057</v>
      </c>
      <c r="B67">
        <v>1</v>
      </c>
      <c r="C67">
        <v>15</v>
      </c>
      <c r="D67" t="s">
        <v>4485</v>
      </c>
      <c r="E67" s="16">
        <v>4104</v>
      </c>
      <c r="F67" s="3"/>
    </row>
    <row r="68" spans="1:8" x14ac:dyDescent="0.25">
      <c r="A68" t="s">
        <v>5057</v>
      </c>
      <c r="B68">
        <v>1</v>
      </c>
      <c r="C68">
        <v>15</v>
      </c>
      <c r="D68" t="s">
        <v>4485</v>
      </c>
      <c r="E68" s="17">
        <v>4143</v>
      </c>
      <c r="F68" s="3"/>
    </row>
    <row r="69" spans="1:8" x14ac:dyDescent="0.25">
      <c r="A69" t="s">
        <v>5057</v>
      </c>
      <c r="B69">
        <v>1</v>
      </c>
      <c r="C69">
        <v>15</v>
      </c>
      <c r="D69" t="s">
        <v>4485</v>
      </c>
      <c r="E69" s="18">
        <v>90107</v>
      </c>
      <c r="F69" s="3"/>
      <c r="G69">
        <v>45</v>
      </c>
    </row>
    <row r="70" spans="1:8" x14ac:dyDescent="0.25">
      <c r="A70" t="s">
        <v>5057</v>
      </c>
      <c r="B70">
        <v>1</v>
      </c>
      <c r="C70">
        <v>15</v>
      </c>
      <c r="D70" t="s">
        <v>4485</v>
      </c>
      <c r="E70" s="16">
        <v>1920</v>
      </c>
      <c r="F70" s="3"/>
      <c r="G70" s="31">
        <v>29</v>
      </c>
    </row>
    <row r="71" spans="1:8" x14ac:dyDescent="0.25">
      <c r="A71" t="s">
        <v>5057</v>
      </c>
      <c r="B71">
        <v>1</v>
      </c>
      <c r="C71">
        <v>15</v>
      </c>
      <c r="D71" t="s">
        <v>4485</v>
      </c>
      <c r="E71" s="18">
        <v>19201</v>
      </c>
      <c r="F71" s="3"/>
      <c r="G71" s="31"/>
    </row>
    <row r="72" spans="1:8" x14ac:dyDescent="0.25">
      <c r="A72" t="s">
        <v>5057</v>
      </c>
      <c r="B72">
        <v>1</v>
      </c>
      <c r="C72">
        <v>15</v>
      </c>
      <c r="D72" t="s">
        <v>4502</v>
      </c>
      <c r="E72" s="16">
        <v>4117</v>
      </c>
      <c r="F72" s="3"/>
      <c r="G72" s="10"/>
    </row>
    <row r="73" spans="1:8" x14ac:dyDescent="0.25">
      <c r="A73" t="s">
        <v>5057</v>
      </c>
      <c r="B73">
        <v>1</v>
      </c>
      <c r="C73">
        <v>15</v>
      </c>
      <c r="D73" t="s">
        <v>4502</v>
      </c>
      <c r="E73" s="18">
        <v>4155</v>
      </c>
      <c r="F73" s="3"/>
      <c r="G73" s="10">
        <v>18</v>
      </c>
    </row>
    <row r="74" spans="1:8" x14ac:dyDescent="0.25">
      <c r="A74" t="s">
        <v>5057</v>
      </c>
      <c r="B74">
        <v>1</v>
      </c>
      <c r="C74">
        <v>15</v>
      </c>
      <c r="D74" t="s">
        <v>4502</v>
      </c>
      <c r="E74" s="16">
        <v>4106</v>
      </c>
      <c r="F74" s="3"/>
      <c r="G74" s="10"/>
    </row>
    <row r="75" spans="1:8" x14ac:dyDescent="0.25">
      <c r="A75" t="s">
        <v>5057</v>
      </c>
      <c r="B75">
        <v>1</v>
      </c>
      <c r="C75">
        <v>15</v>
      </c>
      <c r="D75" t="s">
        <v>4502</v>
      </c>
      <c r="E75" s="18">
        <v>4145</v>
      </c>
      <c r="F75" s="3"/>
      <c r="G75" s="10">
        <v>25</v>
      </c>
    </row>
    <row r="76" spans="1:8" x14ac:dyDescent="0.25">
      <c r="A76" t="s">
        <v>5057</v>
      </c>
      <c r="B76">
        <v>1</v>
      </c>
      <c r="C76">
        <v>15</v>
      </c>
      <c r="D76" t="s">
        <v>4502</v>
      </c>
      <c r="E76" s="16">
        <v>4111</v>
      </c>
      <c r="F76" s="3"/>
      <c r="G76" s="10"/>
    </row>
    <row r="77" spans="1:8" x14ac:dyDescent="0.25">
      <c r="A77" t="s">
        <v>5057</v>
      </c>
      <c r="B77">
        <v>1</v>
      </c>
      <c r="C77">
        <v>15</v>
      </c>
      <c r="D77" t="s">
        <v>4502</v>
      </c>
      <c r="E77" s="17">
        <v>4150</v>
      </c>
      <c r="F77" s="3"/>
      <c r="G77" s="10"/>
    </row>
    <row r="78" spans="1:8" x14ac:dyDescent="0.25">
      <c r="A78" t="s">
        <v>5057</v>
      </c>
      <c r="B78">
        <v>1</v>
      </c>
      <c r="C78">
        <v>15</v>
      </c>
      <c r="D78" t="s">
        <v>4502</v>
      </c>
      <c r="E78" s="18">
        <v>90100</v>
      </c>
      <c r="F78" s="3"/>
      <c r="G78" s="10">
        <v>12</v>
      </c>
      <c r="H78">
        <v>4</v>
      </c>
    </row>
    <row r="79" spans="1:8" x14ac:dyDescent="0.25">
      <c r="A79" t="s">
        <v>5057</v>
      </c>
      <c r="B79">
        <v>1</v>
      </c>
      <c r="C79">
        <v>15</v>
      </c>
      <c r="D79" t="s">
        <v>4502</v>
      </c>
      <c r="E79" s="16">
        <v>4118</v>
      </c>
      <c r="F79" s="3"/>
      <c r="G79" s="10"/>
    </row>
    <row r="80" spans="1:8" x14ac:dyDescent="0.25">
      <c r="A80" t="s">
        <v>5057</v>
      </c>
      <c r="B80">
        <v>1</v>
      </c>
      <c r="C80">
        <v>15</v>
      </c>
      <c r="D80" t="s">
        <v>4502</v>
      </c>
      <c r="E80" s="18">
        <v>4156</v>
      </c>
      <c r="F80" s="3"/>
      <c r="G80" s="10">
        <v>25</v>
      </c>
    </row>
    <row r="81" spans="1:13" x14ac:dyDescent="0.25">
      <c r="F81" s="3"/>
      <c r="G81" s="10"/>
    </row>
    <row r="84" spans="1:13" ht="24" x14ac:dyDescent="0.4">
      <c r="D84" s="35" t="s">
        <v>4501</v>
      </c>
      <c r="E84" s="36"/>
      <c r="F84" s="36"/>
      <c r="G84" s="36"/>
      <c r="H84" s="36"/>
      <c r="I84" s="36"/>
      <c r="J84" s="37"/>
      <c r="K84" s="38" t="s">
        <v>4459</v>
      </c>
      <c r="L84" s="13" t="s">
        <v>4432</v>
      </c>
      <c r="M84" s="40" t="s">
        <v>4460</v>
      </c>
    </row>
    <row r="85" spans="1:13" ht="56.25" x14ac:dyDescent="0.3">
      <c r="D85" s="11" t="s">
        <v>4445</v>
      </c>
      <c r="E85" s="11" t="s">
        <v>4433</v>
      </c>
      <c r="F85" s="11" t="s">
        <v>4434</v>
      </c>
      <c r="G85" s="11" t="s">
        <v>4435</v>
      </c>
      <c r="H85" s="20" t="s">
        <v>4493</v>
      </c>
      <c r="I85" s="11" t="s">
        <v>4444</v>
      </c>
      <c r="J85" s="20" t="s">
        <v>4494</v>
      </c>
      <c r="K85" s="39"/>
      <c r="L85" s="11" t="s">
        <v>4447</v>
      </c>
      <c r="M85" s="41"/>
    </row>
    <row r="86" spans="1:13" x14ac:dyDescent="0.25">
      <c r="A86" t="s">
        <v>5057</v>
      </c>
      <c r="B86">
        <v>1</v>
      </c>
      <c r="C86">
        <v>13</v>
      </c>
      <c r="D86" t="s">
        <v>4502</v>
      </c>
      <c r="E86">
        <v>3229</v>
      </c>
      <c r="F86" s="3"/>
      <c r="G86">
        <v>20</v>
      </c>
    </row>
    <row r="87" spans="1:13" x14ac:dyDescent="0.25">
      <c r="A87" t="s">
        <v>5057</v>
      </c>
      <c r="B87">
        <v>1</v>
      </c>
      <c r="C87">
        <v>13</v>
      </c>
      <c r="D87" t="s">
        <v>4502</v>
      </c>
      <c r="E87">
        <v>3210</v>
      </c>
      <c r="F87" s="3"/>
      <c r="G87">
        <v>6</v>
      </c>
    </row>
    <row r="88" spans="1:13" x14ac:dyDescent="0.25">
      <c r="A88" t="s">
        <v>5057</v>
      </c>
      <c r="B88">
        <v>1</v>
      </c>
      <c r="C88">
        <v>13</v>
      </c>
      <c r="D88" t="s">
        <v>4502</v>
      </c>
      <c r="E88">
        <v>3223</v>
      </c>
      <c r="F88" s="3"/>
      <c r="G88">
        <v>8</v>
      </c>
    </row>
    <row r="89" spans="1:13" x14ac:dyDescent="0.25">
      <c r="A89" t="s">
        <v>5057</v>
      </c>
      <c r="B89">
        <v>1</v>
      </c>
      <c r="C89">
        <v>13</v>
      </c>
      <c r="D89" t="s">
        <v>4502</v>
      </c>
      <c r="E89">
        <v>3253</v>
      </c>
      <c r="F89" s="3"/>
      <c r="G89">
        <v>11</v>
      </c>
    </row>
    <row r="92" spans="1:13" ht="24" x14ac:dyDescent="0.4">
      <c r="D92" s="35" t="s">
        <v>4484</v>
      </c>
      <c r="E92" s="36"/>
      <c r="F92" s="36"/>
      <c r="G92" s="36"/>
      <c r="H92" s="36"/>
      <c r="I92" s="36"/>
      <c r="J92" s="37"/>
      <c r="K92" s="38" t="s">
        <v>4459</v>
      </c>
      <c r="L92" s="13" t="s">
        <v>4432</v>
      </c>
      <c r="M92" s="46" t="s">
        <v>4460</v>
      </c>
    </row>
    <row r="93" spans="1:13" ht="18.75" x14ac:dyDescent="0.3">
      <c r="D93" s="11" t="s">
        <v>4445</v>
      </c>
      <c r="E93" s="11" t="s">
        <v>4433</v>
      </c>
      <c r="F93" s="11" t="s">
        <v>4434</v>
      </c>
      <c r="G93" s="11" t="s">
        <v>4435</v>
      </c>
      <c r="H93" s="11" t="s">
        <v>4436</v>
      </c>
      <c r="I93" s="11" t="s">
        <v>4444</v>
      </c>
      <c r="J93" s="11" t="s">
        <v>4436</v>
      </c>
      <c r="K93" s="39"/>
      <c r="L93" s="11" t="s">
        <v>4447</v>
      </c>
      <c r="M93" s="46"/>
    </row>
    <row r="94" spans="1:13" x14ac:dyDescent="0.25">
      <c r="A94" t="s">
        <v>5057</v>
      </c>
      <c r="B94">
        <v>1</v>
      </c>
      <c r="C94">
        <v>18</v>
      </c>
      <c r="D94" t="s">
        <v>4485</v>
      </c>
      <c r="E94">
        <v>4107</v>
      </c>
      <c r="F94" s="3"/>
      <c r="G94" s="32">
        <v>144</v>
      </c>
    </row>
    <row r="95" spans="1:13" x14ac:dyDescent="0.25">
      <c r="A95" t="s">
        <v>5057</v>
      </c>
      <c r="B95">
        <v>1</v>
      </c>
      <c r="C95">
        <v>18</v>
      </c>
      <c r="D95" t="s">
        <v>4485</v>
      </c>
      <c r="E95">
        <v>4146</v>
      </c>
      <c r="F95" s="3"/>
      <c r="G95" s="33"/>
    </row>
    <row r="96" spans="1:13" x14ac:dyDescent="0.25">
      <c r="A96" t="s">
        <v>5057</v>
      </c>
      <c r="B96">
        <v>1</v>
      </c>
      <c r="C96">
        <v>18</v>
      </c>
      <c r="D96" t="s">
        <v>4485</v>
      </c>
      <c r="E96">
        <v>4247</v>
      </c>
      <c r="F96" s="3"/>
      <c r="G96">
        <v>6</v>
      </c>
      <c r="H96">
        <v>3</v>
      </c>
    </row>
    <row r="97" spans="1:8" x14ac:dyDescent="0.25">
      <c r="A97" t="s">
        <v>5057</v>
      </c>
      <c r="B97">
        <v>1</v>
      </c>
      <c r="C97">
        <v>18</v>
      </c>
      <c r="D97" t="s">
        <v>4485</v>
      </c>
      <c r="E97">
        <v>4285</v>
      </c>
      <c r="F97" s="3"/>
      <c r="G97">
        <v>6</v>
      </c>
    </row>
    <row r="98" spans="1:8" x14ac:dyDescent="0.25">
      <c r="A98" t="s">
        <v>5057</v>
      </c>
      <c r="B98">
        <v>1</v>
      </c>
      <c r="C98">
        <v>18</v>
      </c>
      <c r="D98" t="s">
        <v>4485</v>
      </c>
      <c r="E98">
        <v>1497</v>
      </c>
      <c r="F98" s="3"/>
      <c r="G98" s="31">
        <v>6</v>
      </c>
      <c r="H98" s="31">
        <v>1</v>
      </c>
    </row>
    <row r="99" spans="1:8" x14ac:dyDescent="0.25">
      <c r="A99" t="s">
        <v>5057</v>
      </c>
      <c r="B99">
        <v>1</v>
      </c>
      <c r="C99">
        <v>18</v>
      </c>
      <c r="D99" t="s">
        <v>4485</v>
      </c>
      <c r="E99">
        <v>4224</v>
      </c>
      <c r="F99" s="3"/>
      <c r="G99" s="31"/>
      <c r="H99" s="31"/>
    </row>
    <row r="100" spans="1:8" x14ac:dyDescent="0.25">
      <c r="A100" t="s">
        <v>5057</v>
      </c>
      <c r="B100">
        <v>1</v>
      </c>
      <c r="C100">
        <v>18</v>
      </c>
      <c r="D100" t="s">
        <v>4485</v>
      </c>
      <c r="E100">
        <v>4280</v>
      </c>
      <c r="F100" s="3"/>
      <c r="G100">
        <v>2</v>
      </c>
    </row>
    <row r="101" spans="1:8" x14ac:dyDescent="0.25">
      <c r="A101" t="s">
        <v>5057</v>
      </c>
      <c r="B101">
        <v>1</v>
      </c>
      <c r="C101">
        <v>18</v>
      </c>
      <c r="D101" t="s">
        <v>4485</v>
      </c>
      <c r="E101">
        <v>4225</v>
      </c>
      <c r="F101" s="3"/>
      <c r="H101">
        <v>2</v>
      </c>
    </row>
    <row r="102" spans="1:8" x14ac:dyDescent="0.25">
      <c r="A102" t="s">
        <v>5057</v>
      </c>
      <c r="B102">
        <v>1</v>
      </c>
      <c r="C102">
        <v>18</v>
      </c>
      <c r="D102" t="s">
        <v>4485</v>
      </c>
      <c r="E102">
        <v>4231</v>
      </c>
      <c r="F102" s="3"/>
      <c r="G102">
        <v>2</v>
      </c>
      <c r="H102">
        <v>7</v>
      </c>
    </row>
    <row r="103" spans="1:8" x14ac:dyDescent="0.25">
      <c r="A103" t="s">
        <v>5057</v>
      </c>
      <c r="B103">
        <v>1</v>
      </c>
      <c r="C103">
        <v>18</v>
      </c>
      <c r="D103" t="s">
        <v>4485</v>
      </c>
      <c r="E103">
        <v>4218</v>
      </c>
      <c r="F103" s="3"/>
      <c r="G103">
        <v>2</v>
      </c>
    </row>
    <row r="104" spans="1:8" x14ac:dyDescent="0.25">
      <c r="A104" t="s">
        <v>5057</v>
      </c>
      <c r="B104">
        <v>1</v>
      </c>
      <c r="C104">
        <v>18</v>
      </c>
      <c r="D104" t="s">
        <v>4485</v>
      </c>
      <c r="E104">
        <v>4260</v>
      </c>
      <c r="F104" s="3"/>
      <c r="H104">
        <v>3</v>
      </c>
    </row>
    <row r="105" spans="1:8" x14ac:dyDescent="0.25">
      <c r="A105" t="s">
        <v>5057</v>
      </c>
      <c r="B105">
        <v>1</v>
      </c>
      <c r="C105">
        <v>18</v>
      </c>
      <c r="D105" t="s">
        <v>4485</v>
      </c>
      <c r="E105">
        <v>4240</v>
      </c>
      <c r="F105" s="3"/>
      <c r="G105">
        <v>2</v>
      </c>
      <c r="H105">
        <v>13</v>
      </c>
    </row>
    <row r="106" spans="1:8" x14ac:dyDescent="0.25">
      <c r="A106" t="s">
        <v>5057</v>
      </c>
      <c r="B106">
        <v>1</v>
      </c>
      <c r="C106">
        <v>18</v>
      </c>
      <c r="D106" t="s">
        <v>4485</v>
      </c>
      <c r="E106">
        <v>4230</v>
      </c>
      <c r="F106" s="3"/>
      <c r="G106">
        <v>2</v>
      </c>
    </row>
    <row r="107" spans="1:8" x14ac:dyDescent="0.25">
      <c r="A107" t="s">
        <v>5057</v>
      </c>
      <c r="B107">
        <v>1</v>
      </c>
      <c r="C107">
        <v>18</v>
      </c>
      <c r="D107" t="s">
        <v>4485</v>
      </c>
      <c r="E107">
        <v>4241</v>
      </c>
      <c r="F107" s="3"/>
      <c r="G107">
        <v>2</v>
      </c>
      <c r="H107">
        <v>8</v>
      </c>
    </row>
    <row r="108" spans="1:8" x14ac:dyDescent="0.25">
      <c r="A108" t="s">
        <v>5057</v>
      </c>
      <c r="B108">
        <v>1</v>
      </c>
      <c r="C108">
        <v>18</v>
      </c>
      <c r="D108" t="s">
        <v>4485</v>
      </c>
      <c r="E108">
        <v>4284</v>
      </c>
      <c r="F108" s="3"/>
      <c r="G108">
        <v>7</v>
      </c>
    </row>
    <row r="109" spans="1:8" x14ac:dyDescent="0.25">
      <c r="A109" t="s">
        <v>5057</v>
      </c>
      <c r="B109">
        <v>1</v>
      </c>
      <c r="C109">
        <v>18</v>
      </c>
      <c r="D109" t="s">
        <v>4485</v>
      </c>
      <c r="E109">
        <v>4234</v>
      </c>
      <c r="F109" s="3"/>
      <c r="G109">
        <v>2</v>
      </c>
      <c r="H109">
        <v>4</v>
      </c>
    </row>
    <row r="110" spans="1:8" x14ac:dyDescent="0.25">
      <c r="A110" t="s">
        <v>5057</v>
      </c>
      <c r="B110">
        <v>1</v>
      </c>
      <c r="C110">
        <v>18</v>
      </c>
      <c r="D110" t="s">
        <v>4485</v>
      </c>
      <c r="E110">
        <v>4258</v>
      </c>
      <c r="F110" s="3"/>
      <c r="G110">
        <v>1</v>
      </c>
      <c r="H110">
        <v>3</v>
      </c>
    </row>
    <row r="111" spans="1:8" x14ac:dyDescent="0.25">
      <c r="A111" t="s">
        <v>5057</v>
      </c>
      <c r="B111">
        <v>1</v>
      </c>
      <c r="C111">
        <v>18</v>
      </c>
      <c r="D111" t="s">
        <v>4485</v>
      </c>
      <c r="E111">
        <v>1502</v>
      </c>
      <c r="F111" s="3"/>
      <c r="G111" s="31">
        <v>2</v>
      </c>
      <c r="H111" s="31">
        <v>3</v>
      </c>
    </row>
    <row r="112" spans="1:8" x14ac:dyDescent="0.25">
      <c r="A112" t="s">
        <v>5057</v>
      </c>
      <c r="B112">
        <v>1</v>
      </c>
      <c r="C112">
        <v>18</v>
      </c>
      <c r="D112" t="s">
        <v>4485</v>
      </c>
      <c r="E112">
        <v>4274</v>
      </c>
      <c r="F112" s="3"/>
      <c r="G112" s="31"/>
      <c r="H112" s="31"/>
    </row>
    <row r="113" spans="1:8" x14ac:dyDescent="0.25">
      <c r="A113" t="s">
        <v>5057</v>
      </c>
      <c r="B113">
        <v>1</v>
      </c>
      <c r="C113">
        <v>18</v>
      </c>
      <c r="D113" t="s">
        <v>4485</v>
      </c>
      <c r="E113">
        <v>4105</v>
      </c>
      <c r="F113" s="3"/>
      <c r="G113" s="31">
        <v>5</v>
      </c>
      <c r="H113" s="31"/>
    </row>
    <row r="114" spans="1:8" x14ac:dyDescent="0.25">
      <c r="A114" t="s">
        <v>5057</v>
      </c>
      <c r="B114">
        <v>1</v>
      </c>
      <c r="C114">
        <v>18</v>
      </c>
      <c r="D114" t="s">
        <v>4485</v>
      </c>
      <c r="E114">
        <v>4144</v>
      </c>
      <c r="F114" s="3"/>
      <c r="G114" s="31"/>
      <c r="H114" s="31"/>
    </row>
    <row r="115" spans="1:8" x14ac:dyDescent="0.25">
      <c r="A115" t="s">
        <v>5057</v>
      </c>
      <c r="B115">
        <v>1</v>
      </c>
      <c r="C115">
        <v>18</v>
      </c>
      <c r="D115" t="s">
        <v>4485</v>
      </c>
      <c r="E115">
        <v>90106</v>
      </c>
      <c r="F115" s="3"/>
      <c r="G115" s="31"/>
      <c r="H115" s="31"/>
    </row>
    <row r="116" spans="1:8" x14ac:dyDescent="0.25">
      <c r="A116" t="s">
        <v>5057</v>
      </c>
      <c r="B116">
        <v>1</v>
      </c>
      <c r="C116">
        <v>18</v>
      </c>
      <c r="D116" t="s">
        <v>4485</v>
      </c>
      <c r="F116" s="3"/>
      <c r="G116">
        <v>136</v>
      </c>
    </row>
    <row r="117" spans="1:8" x14ac:dyDescent="0.25">
      <c r="A117" t="s">
        <v>5057</v>
      </c>
      <c r="B117">
        <v>1</v>
      </c>
      <c r="C117">
        <v>18</v>
      </c>
      <c r="D117" t="s">
        <v>4485</v>
      </c>
      <c r="F117" s="3"/>
      <c r="G117">
        <v>21</v>
      </c>
    </row>
    <row r="118" spans="1:8" x14ac:dyDescent="0.25">
      <c r="A118" t="s">
        <v>5057</v>
      </c>
      <c r="B118">
        <v>1</v>
      </c>
      <c r="C118">
        <v>18</v>
      </c>
    </row>
    <row r="119" spans="1:8" x14ac:dyDescent="0.25">
      <c r="A119" t="s">
        <v>5057</v>
      </c>
      <c r="B119">
        <v>1</v>
      </c>
      <c r="C119">
        <v>18</v>
      </c>
      <c r="D119" t="s">
        <v>4485</v>
      </c>
      <c r="E119" s="16">
        <v>4110</v>
      </c>
      <c r="F119" s="3"/>
    </row>
    <row r="120" spans="1:8" x14ac:dyDescent="0.25">
      <c r="A120" t="s">
        <v>5057</v>
      </c>
      <c r="B120">
        <v>1</v>
      </c>
      <c r="C120">
        <v>18</v>
      </c>
      <c r="D120" t="s">
        <v>4485</v>
      </c>
      <c r="E120" s="17">
        <v>4149</v>
      </c>
      <c r="F120" s="3"/>
    </row>
    <row r="121" spans="1:8" x14ac:dyDescent="0.25">
      <c r="A121" t="s">
        <v>5057</v>
      </c>
      <c r="B121">
        <v>1</v>
      </c>
      <c r="C121">
        <v>18</v>
      </c>
      <c r="D121" t="s">
        <v>4485</v>
      </c>
      <c r="E121" s="18">
        <v>90110</v>
      </c>
      <c r="F121" s="3"/>
      <c r="G121">
        <v>78</v>
      </c>
    </row>
    <row r="122" spans="1:8" x14ac:dyDescent="0.25">
      <c r="A122" t="s">
        <v>5057</v>
      </c>
      <c r="B122">
        <v>1</v>
      </c>
      <c r="C122">
        <v>18</v>
      </c>
      <c r="D122" t="s">
        <v>4485</v>
      </c>
      <c r="E122" s="16">
        <v>4109</v>
      </c>
      <c r="F122" s="3"/>
    </row>
    <row r="123" spans="1:8" x14ac:dyDescent="0.25">
      <c r="A123" t="s">
        <v>5057</v>
      </c>
      <c r="B123">
        <v>1</v>
      </c>
      <c r="C123">
        <v>18</v>
      </c>
      <c r="D123" t="s">
        <v>4485</v>
      </c>
      <c r="E123" s="18">
        <v>4148</v>
      </c>
      <c r="F123" s="3"/>
      <c r="G123">
        <v>36</v>
      </c>
    </row>
    <row r="124" spans="1:8" x14ac:dyDescent="0.25">
      <c r="A124" t="s">
        <v>5057</v>
      </c>
      <c r="B124">
        <v>1</v>
      </c>
      <c r="C124">
        <v>18</v>
      </c>
      <c r="D124" t="s">
        <v>4485</v>
      </c>
      <c r="E124" s="16">
        <v>4122</v>
      </c>
      <c r="F124" s="3"/>
    </row>
    <row r="125" spans="1:8" x14ac:dyDescent="0.25">
      <c r="A125" t="s">
        <v>5057</v>
      </c>
      <c r="B125">
        <v>1</v>
      </c>
      <c r="C125">
        <v>18</v>
      </c>
      <c r="D125" t="s">
        <v>4485</v>
      </c>
      <c r="E125" s="18">
        <v>4157</v>
      </c>
      <c r="F125" s="3"/>
      <c r="G125">
        <v>14</v>
      </c>
    </row>
    <row r="126" spans="1:8" x14ac:dyDescent="0.25">
      <c r="A126" t="s">
        <v>5057</v>
      </c>
      <c r="B126">
        <v>1</v>
      </c>
      <c r="C126">
        <v>18</v>
      </c>
      <c r="D126" t="s">
        <v>4485</v>
      </c>
      <c r="E126" s="16">
        <v>4107</v>
      </c>
      <c r="F126" s="3"/>
    </row>
    <row r="127" spans="1:8" x14ac:dyDescent="0.25">
      <c r="A127" t="s">
        <v>5057</v>
      </c>
      <c r="B127">
        <v>1</v>
      </c>
      <c r="C127">
        <v>18</v>
      </c>
      <c r="D127" t="s">
        <v>4485</v>
      </c>
      <c r="E127" s="18">
        <v>4146</v>
      </c>
      <c r="F127" s="3"/>
      <c r="G127">
        <v>180</v>
      </c>
    </row>
    <row r="128" spans="1:8" x14ac:dyDescent="0.25">
      <c r="A128" t="s">
        <v>5057</v>
      </c>
      <c r="B128">
        <v>1</v>
      </c>
      <c r="C128">
        <v>18</v>
      </c>
      <c r="D128" t="s">
        <v>4485</v>
      </c>
      <c r="E128">
        <v>4250</v>
      </c>
      <c r="F128" s="3"/>
      <c r="G128">
        <v>3</v>
      </c>
      <c r="H128">
        <v>3</v>
      </c>
    </row>
    <row r="129" spans="1:8" x14ac:dyDescent="0.25">
      <c r="A129" t="s">
        <v>5057</v>
      </c>
      <c r="B129">
        <v>1</v>
      </c>
      <c r="C129">
        <v>18</v>
      </c>
      <c r="D129" t="s">
        <v>4485</v>
      </c>
      <c r="E129">
        <v>4248</v>
      </c>
      <c r="F129" s="3"/>
      <c r="H129">
        <v>2</v>
      </c>
    </row>
    <row r="130" spans="1:8" x14ac:dyDescent="0.25">
      <c r="A130" t="s">
        <v>5057</v>
      </c>
      <c r="B130">
        <v>1</v>
      </c>
      <c r="C130">
        <v>18</v>
      </c>
      <c r="D130" t="s">
        <v>4485</v>
      </c>
      <c r="E130">
        <v>4283</v>
      </c>
      <c r="F130" s="3"/>
      <c r="G130">
        <v>7</v>
      </c>
    </row>
    <row r="131" spans="1:8" x14ac:dyDescent="0.25">
      <c r="A131" t="s">
        <v>5057</v>
      </c>
      <c r="B131">
        <v>1</v>
      </c>
      <c r="C131">
        <v>18</v>
      </c>
      <c r="D131" t="s">
        <v>4485</v>
      </c>
      <c r="E131" s="16">
        <v>4114</v>
      </c>
      <c r="F131" s="3"/>
    </row>
    <row r="132" spans="1:8" x14ac:dyDescent="0.25">
      <c r="A132" t="s">
        <v>5057</v>
      </c>
      <c r="B132">
        <v>1</v>
      </c>
      <c r="C132">
        <v>18</v>
      </c>
      <c r="D132" t="s">
        <v>4485</v>
      </c>
      <c r="E132" s="17">
        <v>4153</v>
      </c>
      <c r="F132" s="3"/>
    </row>
    <row r="133" spans="1:8" x14ac:dyDescent="0.25">
      <c r="A133" t="s">
        <v>5057</v>
      </c>
      <c r="B133">
        <v>1</v>
      </c>
      <c r="C133">
        <v>18</v>
      </c>
      <c r="D133" t="s">
        <v>4485</v>
      </c>
      <c r="E133" s="18">
        <v>90103</v>
      </c>
      <c r="F133" s="3"/>
      <c r="G133">
        <v>20</v>
      </c>
    </row>
    <row r="134" spans="1:8" x14ac:dyDescent="0.25">
      <c r="A134" t="s">
        <v>5057</v>
      </c>
      <c r="B134">
        <v>1</v>
      </c>
      <c r="C134">
        <v>18</v>
      </c>
      <c r="D134" t="s">
        <v>4485</v>
      </c>
      <c r="E134" s="16">
        <v>4108</v>
      </c>
      <c r="F134" s="3"/>
    </row>
    <row r="135" spans="1:8" x14ac:dyDescent="0.25">
      <c r="A135" t="s">
        <v>5057</v>
      </c>
      <c r="B135">
        <v>1</v>
      </c>
      <c r="C135">
        <v>18</v>
      </c>
      <c r="D135" t="s">
        <v>4485</v>
      </c>
      <c r="E135" s="17">
        <v>4147</v>
      </c>
      <c r="F135" s="3"/>
    </row>
    <row r="136" spans="1:8" x14ac:dyDescent="0.25">
      <c r="A136" t="s">
        <v>5057</v>
      </c>
      <c r="B136">
        <v>1</v>
      </c>
      <c r="C136">
        <v>18</v>
      </c>
      <c r="D136" t="s">
        <v>4485</v>
      </c>
      <c r="E136" s="18">
        <v>90105</v>
      </c>
      <c r="F136" s="3"/>
      <c r="G136">
        <v>28</v>
      </c>
    </row>
    <row r="137" spans="1:8" x14ac:dyDescent="0.25">
      <c r="A137" t="s">
        <v>5057</v>
      </c>
      <c r="B137">
        <v>1</v>
      </c>
      <c r="C137">
        <v>18</v>
      </c>
      <c r="D137" t="s">
        <v>4485</v>
      </c>
      <c r="E137">
        <v>4239</v>
      </c>
      <c r="F137" s="3"/>
      <c r="G137">
        <v>1</v>
      </c>
      <c r="H137">
        <v>5</v>
      </c>
    </row>
    <row r="138" spans="1:8" x14ac:dyDescent="0.25">
      <c r="A138" t="s">
        <v>5057</v>
      </c>
      <c r="B138">
        <v>1</v>
      </c>
      <c r="C138">
        <v>18</v>
      </c>
      <c r="D138" t="s">
        <v>4485</v>
      </c>
      <c r="E138">
        <v>4261</v>
      </c>
      <c r="F138" s="3"/>
      <c r="G138" s="8"/>
      <c r="H138" s="8"/>
    </row>
    <row r="139" spans="1:8" x14ac:dyDescent="0.25">
      <c r="A139" t="s">
        <v>5057</v>
      </c>
      <c r="B139">
        <v>1</v>
      </c>
      <c r="C139">
        <v>18</v>
      </c>
      <c r="D139" t="s">
        <v>4485</v>
      </c>
      <c r="E139">
        <v>4252</v>
      </c>
      <c r="F139" s="3"/>
      <c r="G139">
        <v>2</v>
      </c>
      <c r="H139">
        <v>7</v>
      </c>
    </row>
    <row r="140" spans="1:8" x14ac:dyDescent="0.25">
      <c r="A140" t="s">
        <v>5057</v>
      </c>
      <c r="B140">
        <v>1</v>
      </c>
      <c r="C140">
        <v>18</v>
      </c>
      <c r="D140" t="s">
        <v>4485</v>
      </c>
      <c r="E140">
        <v>4265</v>
      </c>
      <c r="F140" s="3"/>
      <c r="G140">
        <v>3</v>
      </c>
    </row>
    <row r="141" spans="1:8" x14ac:dyDescent="0.25">
      <c r="A141" t="s">
        <v>5057</v>
      </c>
      <c r="B141">
        <v>1</v>
      </c>
      <c r="C141">
        <v>18</v>
      </c>
      <c r="D141" t="s">
        <v>4485</v>
      </c>
      <c r="E141">
        <v>4221</v>
      </c>
      <c r="F141" s="3"/>
      <c r="G141">
        <v>3</v>
      </c>
    </row>
    <row r="142" spans="1:8" x14ac:dyDescent="0.25">
      <c r="A142" t="s">
        <v>5057</v>
      </c>
      <c r="B142">
        <v>1</v>
      </c>
      <c r="C142">
        <v>18</v>
      </c>
      <c r="D142" t="s">
        <v>4485</v>
      </c>
      <c r="E142">
        <v>4264</v>
      </c>
      <c r="F142" s="3"/>
      <c r="G142">
        <v>2</v>
      </c>
      <c r="H142">
        <v>11</v>
      </c>
    </row>
    <row r="143" spans="1:8" x14ac:dyDescent="0.25">
      <c r="A143" t="s">
        <v>5057</v>
      </c>
      <c r="B143">
        <v>1</v>
      </c>
      <c r="C143">
        <v>18</v>
      </c>
      <c r="D143" t="s">
        <v>4485</v>
      </c>
      <c r="E143">
        <v>4253</v>
      </c>
      <c r="F143" s="3"/>
      <c r="G143">
        <v>2</v>
      </c>
      <c r="H143">
        <v>15</v>
      </c>
    </row>
    <row r="144" spans="1:8" x14ac:dyDescent="0.25">
      <c r="A144" t="s">
        <v>5057</v>
      </c>
      <c r="B144">
        <v>1</v>
      </c>
      <c r="C144">
        <v>18</v>
      </c>
      <c r="D144" t="s">
        <v>4485</v>
      </c>
      <c r="E144">
        <v>4254</v>
      </c>
      <c r="F144" s="3"/>
      <c r="G144">
        <v>3</v>
      </c>
    </row>
    <row r="145" spans="1:13" x14ac:dyDescent="0.25">
      <c r="A145" t="s">
        <v>5057</v>
      </c>
      <c r="B145">
        <v>1</v>
      </c>
      <c r="C145">
        <v>18</v>
      </c>
      <c r="D145" t="s">
        <v>4485</v>
      </c>
      <c r="E145">
        <v>4243</v>
      </c>
      <c r="F145" s="3"/>
      <c r="G145">
        <v>1</v>
      </c>
      <c r="H145">
        <v>9</v>
      </c>
    </row>
    <row r="146" spans="1:13" x14ac:dyDescent="0.25">
      <c r="A146" t="s">
        <v>5057</v>
      </c>
      <c r="B146">
        <v>1</v>
      </c>
      <c r="C146">
        <v>18</v>
      </c>
      <c r="D146" t="s">
        <v>4485</v>
      </c>
      <c r="E146">
        <v>4216</v>
      </c>
      <c r="F146" s="3"/>
      <c r="G146">
        <v>2</v>
      </c>
      <c r="H146">
        <v>19</v>
      </c>
    </row>
    <row r="147" spans="1:13" x14ac:dyDescent="0.25">
      <c r="A147" t="s">
        <v>5057</v>
      </c>
      <c r="B147">
        <v>1</v>
      </c>
      <c r="C147">
        <v>18</v>
      </c>
    </row>
    <row r="148" spans="1:13" x14ac:dyDescent="0.25">
      <c r="A148" t="s">
        <v>5057</v>
      </c>
      <c r="B148">
        <v>1</v>
      </c>
      <c r="C148">
        <v>18</v>
      </c>
      <c r="D148" t="s">
        <v>4485</v>
      </c>
      <c r="F148">
        <v>145821</v>
      </c>
      <c r="H148">
        <v>6</v>
      </c>
    </row>
    <row r="149" spans="1:13" x14ac:dyDescent="0.25">
      <c r="A149" t="s">
        <v>5057</v>
      </c>
      <c r="B149">
        <v>1</v>
      </c>
      <c r="C149">
        <v>18</v>
      </c>
      <c r="D149" t="s">
        <v>4485</v>
      </c>
      <c r="F149">
        <v>145285</v>
      </c>
      <c r="G149">
        <v>1</v>
      </c>
    </row>
    <row r="150" spans="1:13" x14ac:dyDescent="0.25">
      <c r="A150" t="s">
        <v>5057</v>
      </c>
      <c r="B150">
        <v>1</v>
      </c>
      <c r="C150">
        <v>18</v>
      </c>
      <c r="D150" t="s">
        <v>4485</v>
      </c>
      <c r="F150">
        <v>145323</v>
      </c>
      <c r="G150">
        <v>1</v>
      </c>
    </row>
    <row r="151" spans="1:13" x14ac:dyDescent="0.25">
      <c r="A151" t="s">
        <v>5057</v>
      </c>
      <c r="B151">
        <v>1</v>
      </c>
      <c r="C151">
        <v>18</v>
      </c>
      <c r="D151" t="s">
        <v>4485</v>
      </c>
      <c r="F151">
        <v>145789</v>
      </c>
      <c r="H151">
        <v>11</v>
      </c>
    </row>
    <row r="152" spans="1:13" x14ac:dyDescent="0.25">
      <c r="A152" t="s">
        <v>5057</v>
      </c>
      <c r="B152">
        <v>1</v>
      </c>
      <c r="C152">
        <v>18</v>
      </c>
      <c r="D152" t="s">
        <v>4485</v>
      </c>
      <c r="F152" t="s">
        <v>4489</v>
      </c>
      <c r="H152">
        <v>9</v>
      </c>
    </row>
    <row r="154" spans="1:13" ht="24" x14ac:dyDescent="0.4">
      <c r="D154" s="35" t="s">
        <v>4509</v>
      </c>
      <c r="E154" s="36"/>
      <c r="F154" s="36"/>
      <c r="G154" s="36"/>
      <c r="H154" s="36"/>
      <c r="I154" s="36"/>
      <c r="J154" s="37"/>
      <c r="K154" s="38" t="s">
        <v>4459</v>
      </c>
      <c r="L154" s="13" t="s">
        <v>4432</v>
      </c>
      <c r="M154" s="46" t="s">
        <v>4460</v>
      </c>
    </row>
    <row r="155" spans="1:13" ht="18.75" x14ac:dyDescent="0.3">
      <c r="D155" s="11" t="s">
        <v>4445</v>
      </c>
      <c r="E155" s="11" t="s">
        <v>4433</v>
      </c>
      <c r="F155" s="11" t="s">
        <v>4434</v>
      </c>
      <c r="G155" s="11" t="s">
        <v>4435</v>
      </c>
      <c r="H155" s="11" t="s">
        <v>4436</v>
      </c>
      <c r="I155" s="11" t="s">
        <v>4444</v>
      </c>
      <c r="J155" s="11" t="s">
        <v>4436</v>
      </c>
      <c r="K155" s="39"/>
      <c r="L155" s="11" t="s">
        <v>4447</v>
      </c>
      <c r="M155" s="46"/>
    </row>
    <row r="156" spans="1:13" x14ac:dyDescent="0.25">
      <c r="A156" t="s">
        <v>5057</v>
      </c>
      <c r="B156">
        <v>1</v>
      </c>
      <c r="C156">
        <v>26</v>
      </c>
      <c r="D156" t="s">
        <v>4502</v>
      </c>
      <c r="E156" s="16">
        <v>4107</v>
      </c>
      <c r="F156" s="3"/>
      <c r="G156" s="7"/>
    </row>
    <row r="157" spans="1:13" x14ac:dyDescent="0.25">
      <c r="A157" t="s">
        <v>5057</v>
      </c>
      <c r="B157">
        <v>1</v>
      </c>
      <c r="C157">
        <v>26</v>
      </c>
      <c r="D157" t="s">
        <v>4502</v>
      </c>
      <c r="E157" s="18">
        <v>4146</v>
      </c>
      <c r="F157" s="3"/>
      <c r="G157" s="7" t="s">
        <v>4510</v>
      </c>
      <c r="H157">
        <v>14</v>
      </c>
    </row>
    <row r="158" spans="1:13" x14ac:dyDescent="0.25">
      <c r="A158" t="s">
        <v>5057</v>
      </c>
      <c r="B158">
        <v>1</v>
      </c>
      <c r="C158">
        <v>26</v>
      </c>
      <c r="D158" t="s">
        <v>4502</v>
      </c>
      <c r="E158" s="16">
        <v>4114</v>
      </c>
      <c r="F158" s="3"/>
      <c r="G158" s="7"/>
    </row>
    <row r="159" spans="1:13" x14ac:dyDescent="0.25">
      <c r="A159" t="s">
        <v>5057</v>
      </c>
      <c r="B159">
        <v>1</v>
      </c>
      <c r="C159">
        <v>26</v>
      </c>
      <c r="D159" t="s">
        <v>4502</v>
      </c>
      <c r="E159" s="17">
        <v>4153</v>
      </c>
      <c r="F159" s="3"/>
      <c r="G159" s="7"/>
    </row>
    <row r="160" spans="1:13" x14ac:dyDescent="0.25">
      <c r="A160" t="s">
        <v>5057</v>
      </c>
      <c r="B160">
        <v>1</v>
      </c>
      <c r="C160">
        <v>26</v>
      </c>
      <c r="D160" t="s">
        <v>4502</v>
      </c>
      <c r="E160" s="18">
        <v>90103</v>
      </c>
      <c r="F160" s="3"/>
      <c r="G160" s="7">
        <v>6</v>
      </c>
    </row>
    <row r="161" spans="1:8" x14ac:dyDescent="0.25">
      <c r="A161" t="s">
        <v>5057</v>
      </c>
      <c r="B161">
        <v>1</v>
      </c>
      <c r="C161">
        <v>26</v>
      </c>
      <c r="D161" t="s">
        <v>4502</v>
      </c>
      <c r="E161" s="16">
        <v>4113</v>
      </c>
      <c r="F161" s="3"/>
      <c r="G161" s="7"/>
    </row>
    <row r="162" spans="1:8" x14ac:dyDescent="0.25">
      <c r="A162" t="s">
        <v>5057</v>
      </c>
      <c r="B162">
        <v>1</v>
      </c>
      <c r="C162">
        <v>26</v>
      </c>
      <c r="D162" t="s">
        <v>4502</v>
      </c>
      <c r="E162" s="17">
        <v>4152</v>
      </c>
      <c r="F162" s="3"/>
      <c r="G162" s="7"/>
    </row>
    <row r="163" spans="1:8" x14ac:dyDescent="0.25">
      <c r="A163" t="s">
        <v>5057</v>
      </c>
      <c r="B163">
        <v>1</v>
      </c>
      <c r="C163">
        <v>26</v>
      </c>
      <c r="D163" t="s">
        <v>4502</v>
      </c>
      <c r="E163" s="18">
        <v>90102</v>
      </c>
      <c r="F163" s="3"/>
      <c r="G163" s="7">
        <v>19</v>
      </c>
    </row>
    <row r="164" spans="1:8" x14ac:dyDescent="0.25">
      <c r="A164" t="s">
        <v>5057</v>
      </c>
      <c r="B164">
        <v>1</v>
      </c>
      <c r="C164">
        <v>26</v>
      </c>
      <c r="D164" t="s">
        <v>4502</v>
      </c>
      <c r="E164" s="16">
        <v>4111</v>
      </c>
      <c r="F164" s="3"/>
      <c r="G164" s="7"/>
    </row>
    <row r="165" spans="1:8" x14ac:dyDescent="0.25">
      <c r="A165" t="s">
        <v>5057</v>
      </c>
      <c r="B165">
        <v>1</v>
      </c>
      <c r="C165">
        <v>26</v>
      </c>
      <c r="D165" t="s">
        <v>4502</v>
      </c>
      <c r="E165" s="17">
        <v>4150</v>
      </c>
      <c r="F165" s="3"/>
      <c r="G165" s="7"/>
    </row>
    <row r="166" spans="1:8" x14ac:dyDescent="0.25">
      <c r="A166" t="s">
        <v>5057</v>
      </c>
      <c r="B166">
        <v>1</v>
      </c>
      <c r="C166">
        <v>26</v>
      </c>
      <c r="D166" t="s">
        <v>4502</v>
      </c>
      <c r="E166" s="18">
        <v>90100</v>
      </c>
      <c r="F166" s="3"/>
      <c r="G166" s="7">
        <v>9</v>
      </c>
      <c r="H166">
        <v>10</v>
      </c>
    </row>
    <row r="167" spans="1:8" x14ac:dyDescent="0.25">
      <c r="A167" t="s">
        <v>5057</v>
      </c>
      <c r="B167">
        <v>1</v>
      </c>
      <c r="C167">
        <v>26</v>
      </c>
      <c r="D167" t="s">
        <v>4502</v>
      </c>
      <c r="E167" s="16">
        <v>4102</v>
      </c>
      <c r="F167" s="3"/>
      <c r="G167" s="7"/>
    </row>
    <row r="168" spans="1:8" x14ac:dyDescent="0.25">
      <c r="A168" t="s">
        <v>5057</v>
      </c>
      <c r="B168">
        <v>1</v>
      </c>
      <c r="C168">
        <v>26</v>
      </c>
      <c r="D168" t="s">
        <v>4502</v>
      </c>
      <c r="E168" s="18">
        <v>4142</v>
      </c>
      <c r="F168" s="3"/>
      <c r="G168" s="7">
        <v>26</v>
      </c>
    </row>
    <row r="169" spans="1:8" x14ac:dyDescent="0.25">
      <c r="A169" t="s">
        <v>5057</v>
      </c>
      <c r="B169">
        <v>1</v>
      </c>
      <c r="C169">
        <v>26</v>
      </c>
      <c r="D169" t="s">
        <v>4502</v>
      </c>
      <c r="E169" s="16">
        <v>4141</v>
      </c>
      <c r="F169" s="3"/>
      <c r="G169" s="7"/>
    </row>
    <row r="170" spans="1:8" x14ac:dyDescent="0.25">
      <c r="A170" t="s">
        <v>5057</v>
      </c>
      <c r="B170">
        <v>1</v>
      </c>
      <c r="C170">
        <v>26</v>
      </c>
      <c r="D170" t="s">
        <v>4502</v>
      </c>
      <c r="E170" s="17">
        <v>4101</v>
      </c>
      <c r="F170" s="3"/>
      <c r="G170" s="7"/>
    </row>
    <row r="171" spans="1:8" x14ac:dyDescent="0.25">
      <c r="A171" t="s">
        <v>5057</v>
      </c>
      <c r="B171">
        <v>1</v>
      </c>
      <c r="C171">
        <v>26</v>
      </c>
      <c r="D171" t="s">
        <v>4502</v>
      </c>
      <c r="E171" s="18">
        <v>90108</v>
      </c>
      <c r="F171" s="3"/>
      <c r="G171" s="7" t="s">
        <v>4511</v>
      </c>
      <c r="H171">
        <v>1</v>
      </c>
    </row>
    <row r="172" spans="1:8" x14ac:dyDescent="0.25">
      <c r="A172" t="s">
        <v>5057</v>
      </c>
      <c r="B172">
        <v>1</v>
      </c>
      <c r="C172">
        <v>26</v>
      </c>
      <c r="D172" t="s">
        <v>4502</v>
      </c>
      <c r="E172" s="16">
        <v>4100</v>
      </c>
      <c r="F172" s="3"/>
      <c r="G172" s="7"/>
    </row>
    <row r="173" spans="1:8" x14ac:dyDescent="0.25">
      <c r="A173" t="s">
        <v>5057</v>
      </c>
      <c r="B173">
        <v>1</v>
      </c>
      <c r="C173">
        <v>26</v>
      </c>
      <c r="D173" t="s">
        <v>4502</v>
      </c>
      <c r="E173" s="17">
        <v>4140</v>
      </c>
      <c r="F173" s="3"/>
      <c r="G173" s="7"/>
    </row>
    <row r="174" spans="1:8" x14ac:dyDescent="0.25">
      <c r="A174" t="s">
        <v>5057</v>
      </c>
      <c r="B174">
        <v>1</v>
      </c>
      <c r="C174">
        <v>26</v>
      </c>
      <c r="D174" t="s">
        <v>4502</v>
      </c>
      <c r="E174" s="18">
        <v>90109</v>
      </c>
      <c r="F174" s="3"/>
      <c r="G174" s="7">
        <v>2</v>
      </c>
    </row>
    <row r="175" spans="1:8" x14ac:dyDescent="0.25">
      <c r="A175" t="s">
        <v>5057</v>
      </c>
      <c r="B175">
        <v>1</v>
      </c>
      <c r="C175">
        <v>26</v>
      </c>
    </row>
    <row r="176" spans="1:8" x14ac:dyDescent="0.25">
      <c r="A176" t="s">
        <v>5057</v>
      </c>
      <c r="B176">
        <v>1</v>
      </c>
      <c r="C176">
        <v>26</v>
      </c>
      <c r="D176" t="s">
        <v>4502</v>
      </c>
      <c r="E176" s="16">
        <v>4104</v>
      </c>
      <c r="F176" s="3"/>
    </row>
    <row r="177" spans="1:13" x14ac:dyDescent="0.25">
      <c r="A177" t="s">
        <v>5057</v>
      </c>
      <c r="B177">
        <v>1</v>
      </c>
      <c r="C177">
        <v>26</v>
      </c>
      <c r="D177" t="s">
        <v>4502</v>
      </c>
      <c r="E177" s="17">
        <v>4143</v>
      </c>
      <c r="F177" s="3"/>
    </row>
    <row r="178" spans="1:13" x14ac:dyDescent="0.25">
      <c r="A178" t="s">
        <v>5057</v>
      </c>
      <c r="B178">
        <v>1</v>
      </c>
      <c r="C178">
        <v>26</v>
      </c>
      <c r="D178" t="s">
        <v>4502</v>
      </c>
      <c r="E178" s="18">
        <v>90107</v>
      </c>
      <c r="F178" s="3"/>
      <c r="G178">
        <v>13</v>
      </c>
      <c r="H178">
        <v>1</v>
      </c>
    </row>
    <row r="179" spans="1:13" x14ac:dyDescent="0.25">
      <c r="A179" t="s">
        <v>5057</v>
      </c>
      <c r="B179">
        <v>1</v>
      </c>
      <c r="C179">
        <v>26</v>
      </c>
      <c r="D179" t="s">
        <v>4502</v>
      </c>
      <c r="E179" s="16">
        <v>4117</v>
      </c>
      <c r="F179" s="3"/>
    </row>
    <row r="180" spans="1:13" x14ac:dyDescent="0.25">
      <c r="A180" t="s">
        <v>5057</v>
      </c>
      <c r="B180">
        <v>1</v>
      </c>
      <c r="C180">
        <v>26</v>
      </c>
      <c r="D180" t="s">
        <v>4502</v>
      </c>
      <c r="E180" s="18">
        <v>4155</v>
      </c>
      <c r="F180" s="3"/>
      <c r="G180">
        <v>1</v>
      </c>
    </row>
    <row r="181" spans="1:13" x14ac:dyDescent="0.25">
      <c r="A181" t="s">
        <v>5057</v>
      </c>
      <c r="B181">
        <v>1</v>
      </c>
      <c r="C181">
        <v>26</v>
      </c>
      <c r="D181" t="s">
        <v>4502</v>
      </c>
      <c r="E181" s="16">
        <v>4110</v>
      </c>
      <c r="F181" s="3"/>
    </row>
    <row r="182" spans="1:13" x14ac:dyDescent="0.25">
      <c r="A182" t="s">
        <v>5057</v>
      </c>
      <c r="B182">
        <v>1</v>
      </c>
      <c r="C182">
        <v>26</v>
      </c>
      <c r="D182" t="s">
        <v>4502</v>
      </c>
      <c r="E182" s="17">
        <v>4149</v>
      </c>
      <c r="F182" s="3"/>
    </row>
    <row r="183" spans="1:13" x14ac:dyDescent="0.25">
      <c r="A183" t="s">
        <v>5057</v>
      </c>
      <c r="B183">
        <v>1</v>
      </c>
      <c r="C183">
        <v>26</v>
      </c>
      <c r="D183" t="s">
        <v>4502</v>
      </c>
      <c r="E183" s="18">
        <v>90110</v>
      </c>
      <c r="F183" s="3"/>
      <c r="G183">
        <v>5</v>
      </c>
      <c r="H183">
        <v>7</v>
      </c>
    </row>
    <row r="184" spans="1:13" x14ac:dyDescent="0.25">
      <c r="A184" t="s">
        <v>5057</v>
      </c>
      <c r="B184">
        <v>1</v>
      </c>
      <c r="C184">
        <v>26</v>
      </c>
      <c r="D184" t="s">
        <v>4502</v>
      </c>
      <c r="E184" s="16">
        <v>4107</v>
      </c>
      <c r="F184" s="3"/>
    </row>
    <row r="185" spans="1:13" x14ac:dyDescent="0.25">
      <c r="A185" t="s">
        <v>5057</v>
      </c>
      <c r="B185">
        <v>1</v>
      </c>
      <c r="C185">
        <v>26</v>
      </c>
      <c r="D185" t="s">
        <v>4502</v>
      </c>
      <c r="E185" s="18">
        <v>4146</v>
      </c>
      <c r="F185" s="3"/>
      <c r="H185">
        <v>14</v>
      </c>
    </row>
    <row r="186" spans="1:13" x14ac:dyDescent="0.25">
      <c r="A186" t="s">
        <v>5057</v>
      </c>
      <c r="B186">
        <v>1</v>
      </c>
    </row>
    <row r="187" spans="1:13" x14ac:dyDescent="0.25">
      <c r="A187" t="s">
        <v>5057</v>
      </c>
      <c r="B187">
        <v>1</v>
      </c>
    </row>
    <row r="188" spans="1:13" ht="24" x14ac:dyDescent="0.4">
      <c r="A188" t="s">
        <v>5057</v>
      </c>
      <c r="B188">
        <v>1</v>
      </c>
      <c r="D188" s="35" t="s">
        <v>4525</v>
      </c>
      <c r="E188" s="36"/>
      <c r="F188" s="36"/>
      <c r="G188" s="36"/>
      <c r="H188" s="36"/>
      <c r="I188" s="36"/>
      <c r="J188" s="37"/>
      <c r="K188" s="38" t="s">
        <v>4459</v>
      </c>
      <c r="L188" s="13" t="s">
        <v>4432</v>
      </c>
      <c r="M188" s="46" t="s">
        <v>4460</v>
      </c>
    </row>
    <row r="189" spans="1:13" ht="18.75" x14ac:dyDescent="0.3">
      <c r="A189" t="s">
        <v>5057</v>
      </c>
      <c r="B189">
        <v>1</v>
      </c>
      <c r="D189" s="11" t="s">
        <v>4445</v>
      </c>
      <c r="E189" s="11" t="s">
        <v>4433</v>
      </c>
      <c r="F189" s="11" t="s">
        <v>4434</v>
      </c>
      <c r="G189" s="11" t="s">
        <v>4435</v>
      </c>
      <c r="H189" s="11" t="s">
        <v>4436</v>
      </c>
      <c r="I189" s="11" t="s">
        <v>4444</v>
      </c>
      <c r="J189" s="11" t="s">
        <v>4436</v>
      </c>
      <c r="K189" s="39"/>
      <c r="L189" s="11" t="s">
        <v>4447</v>
      </c>
      <c r="M189" s="46"/>
    </row>
    <row r="190" spans="1:13" x14ac:dyDescent="0.25">
      <c r="A190" t="s">
        <v>5057</v>
      </c>
      <c r="B190">
        <v>1</v>
      </c>
      <c r="C190">
        <v>25</v>
      </c>
      <c r="D190" t="s">
        <v>4502</v>
      </c>
      <c r="E190" s="8"/>
      <c r="G190">
        <v>16</v>
      </c>
    </row>
    <row r="191" spans="1:13" x14ac:dyDescent="0.25">
      <c r="A191" t="s">
        <v>5057</v>
      </c>
      <c r="B191">
        <v>1</v>
      </c>
      <c r="C191">
        <v>25</v>
      </c>
      <c r="D191" t="s">
        <v>4502</v>
      </c>
      <c r="E191">
        <v>7132</v>
      </c>
      <c r="F191" s="3"/>
      <c r="G191">
        <v>4</v>
      </c>
      <c r="H191">
        <v>10</v>
      </c>
    </row>
    <row r="192" spans="1:13" x14ac:dyDescent="0.25">
      <c r="A192" t="s">
        <v>5057</v>
      </c>
      <c r="B192">
        <v>1</v>
      </c>
    </row>
    <row r="193" spans="1:13" x14ac:dyDescent="0.25">
      <c r="A193" t="s">
        <v>5057</v>
      </c>
      <c r="B193">
        <v>1</v>
      </c>
    </row>
    <row r="194" spans="1:13" ht="24" x14ac:dyDescent="0.4">
      <c r="A194" t="s">
        <v>5057</v>
      </c>
      <c r="B194">
        <v>1</v>
      </c>
      <c r="D194" s="35" t="s">
        <v>4526</v>
      </c>
      <c r="E194" s="36"/>
      <c r="F194" s="36"/>
      <c r="G194" s="36"/>
      <c r="H194" s="36"/>
      <c r="I194" s="36"/>
      <c r="J194" s="37"/>
      <c r="K194" s="38" t="s">
        <v>4459</v>
      </c>
      <c r="L194" s="13" t="s">
        <v>4432</v>
      </c>
      <c r="M194" s="46" t="s">
        <v>4460</v>
      </c>
    </row>
    <row r="195" spans="1:13" ht="18.75" x14ac:dyDescent="0.3">
      <c r="A195" t="s">
        <v>5057</v>
      </c>
      <c r="B195">
        <v>1</v>
      </c>
      <c r="D195" s="11" t="s">
        <v>4445</v>
      </c>
      <c r="E195" s="11" t="s">
        <v>4433</v>
      </c>
      <c r="F195" s="11" t="s">
        <v>4434</v>
      </c>
      <c r="G195" s="11" t="s">
        <v>4435</v>
      </c>
      <c r="H195" s="11" t="s">
        <v>4436</v>
      </c>
      <c r="I195" s="11" t="s">
        <v>4444</v>
      </c>
      <c r="J195" s="11" t="s">
        <v>4436</v>
      </c>
      <c r="K195" s="39"/>
      <c r="L195" s="11" t="s">
        <v>4447</v>
      </c>
      <c r="M195" s="46"/>
    </row>
    <row r="196" spans="1:13" x14ac:dyDescent="0.25">
      <c r="A196" t="s">
        <v>5057</v>
      </c>
      <c r="B196">
        <v>1</v>
      </c>
      <c r="C196">
        <v>27</v>
      </c>
      <c r="D196" t="s">
        <v>4502</v>
      </c>
      <c r="E196" s="8"/>
      <c r="G196">
        <v>9</v>
      </c>
    </row>
  </sheetData>
  <mergeCells count="48">
    <mergeCell ref="D194:J194"/>
    <mergeCell ref="K194:K195"/>
    <mergeCell ref="M194:M195"/>
    <mergeCell ref="D154:J154"/>
    <mergeCell ref="K154:K155"/>
    <mergeCell ref="M154:M155"/>
    <mergeCell ref="D188:J188"/>
    <mergeCell ref="K188:K189"/>
    <mergeCell ref="M188:M189"/>
    <mergeCell ref="G113:G115"/>
    <mergeCell ref="H113:H115"/>
    <mergeCell ref="G70:G71"/>
    <mergeCell ref="D84:J84"/>
    <mergeCell ref="K84:K85"/>
    <mergeCell ref="G94:G95"/>
    <mergeCell ref="G98:G99"/>
    <mergeCell ref="H98:H99"/>
    <mergeCell ref="G111:G112"/>
    <mergeCell ref="H111:H112"/>
    <mergeCell ref="M84:M85"/>
    <mergeCell ref="D92:J92"/>
    <mergeCell ref="K92:K93"/>
    <mergeCell ref="M92:M93"/>
    <mergeCell ref="D39:J39"/>
    <mergeCell ref="K39:K40"/>
    <mergeCell ref="M39:M40"/>
    <mergeCell ref="D47:J47"/>
    <mergeCell ref="K47:K48"/>
    <mergeCell ref="M47:M48"/>
    <mergeCell ref="D22:J22"/>
    <mergeCell ref="K22:K23"/>
    <mergeCell ref="M22:M23"/>
    <mergeCell ref="D34:J34"/>
    <mergeCell ref="K34:K35"/>
    <mergeCell ref="M34:M35"/>
    <mergeCell ref="D12:J12"/>
    <mergeCell ref="K12:K13"/>
    <mergeCell ref="M12:M13"/>
    <mergeCell ref="D17:J17"/>
    <mergeCell ref="K17:K18"/>
    <mergeCell ref="M17:M18"/>
    <mergeCell ref="D1:K1"/>
    <mergeCell ref="D2:J2"/>
    <mergeCell ref="K2:K3"/>
    <mergeCell ref="M2:M3"/>
    <mergeCell ref="D7:J7"/>
    <mergeCell ref="K7:K8"/>
    <mergeCell ref="M7:M8"/>
  </mergeCell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D5618-01E9-451E-8C5E-C4424D9F9A03}">
  <dimension ref="A1:M131"/>
  <sheetViews>
    <sheetView workbookViewId="0"/>
  </sheetViews>
  <sheetFormatPr defaultColWidth="11.42578125" defaultRowHeight="15" x14ac:dyDescent="0.25"/>
  <cols>
    <col min="3" max="3" width="12.42578125" customWidth="1"/>
    <col min="4" max="4" width="16.42578125" customWidth="1"/>
    <col min="6" max="6" width="38.140625" customWidth="1"/>
    <col min="13" max="13" width="36.42578125" customWidth="1"/>
  </cols>
  <sheetData>
    <row r="1" spans="1:13" ht="30" customHeight="1" x14ac:dyDescent="0.4">
      <c r="D1" s="34" t="s">
        <v>4446</v>
      </c>
      <c r="E1" s="34"/>
      <c r="F1" s="34"/>
      <c r="G1" s="34"/>
      <c r="H1" s="34"/>
      <c r="I1" s="34"/>
      <c r="J1" s="34"/>
      <c r="K1" s="34"/>
      <c r="L1" s="34"/>
    </row>
    <row r="2" spans="1:13" ht="24" x14ac:dyDescent="0.4">
      <c r="D2" s="35" t="s">
        <v>4456</v>
      </c>
      <c r="E2" s="36"/>
      <c r="F2" s="36"/>
      <c r="G2" s="36"/>
      <c r="H2" s="36"/>
      <c r="I2" s="36"/>
      <c r="J2" s="37"/>
      <c r="K2" s="38" t="s">
        <v>4459</v>
      </c>
      <c r="L2" s="13" t="s">
        <v>4432</v>
      </c>
      <c r="M2" s="46" t="s">
        <v>4460</v>
      </c>
    </row>
    <row r="3" spans="1:13" s="9" customFormat="1" ht="18.75" x14ac:dyDescent="0.3">
      <c r="D3" s="11" t="s">
        <v>4445</v>
      </c>
      <c r="E3" s="11" t="s">
        <v>4433</v>
      </c>
      <c r="F3" s="11" t="s">
        <v>4434</v>
      </c>
      <c r="G3" s="11" t="s">
        <v>4435</v>
      </c>
      <c r="H3" s="11" t="s">
        <v>4436</v>
      </c>
      <c r="I3" s="11" t="s">
        <v>4444</v>
      </c>
      <c r="J3" s="11" t="s">
        <v>4436</v>
      </c>
      <c r="K3" s="39"/>
      <c r="L3" s="11" t="s">
        <v>4447</v>
      </c>
      <c r="M3" s="46"/>
    </row>
    <row r="4" spans="1:13" x14ac:dyDescent="0.25">
      <c r="A4" t="s">
        <v>5057</v>
      </c>
      <c r="B4">
        <v>2</v>
      </c>
      <c r="C4">
        <v>13</v>
      </c>
      <c r="D4" t="s">
        <v>4457</v>
      </c>
      <c r="E4">
        <v>1769</v>
      </c>
      <c r="F4" s="3"/>
      <c r="G4">
        <v>28</v>
      </c>
    </row>
    <row r="5" spans="1:13" x14ac:dyDescent="0.25">
      <c r="A5" t="s">
        <v>5057</v>
      </c>
      <c r="B5">
        <v>2</v>
      </c>
      <c r="C5">
        <v>13</v>
      </c>
      <c r="D5" t="s">
        <v>4457</v>
      </c>
      <c r="E5">
        <v>1742</v>
      </c>
      <c r="F5" s="3"/>
      <c r="G5" s="7" t="s">
        <v>4458</v>
      </c>
    </row>
    <row r="6" spans="1:13" x14ac:dyDescent="0.25">
      <c r="A6" t="s">
        <v>5057</v>
      </c>
      <c r="B6">
        <v>2</v>
      </c>
      <c r="C6">
        <v>13</v>
      </c>
      <c r="D6" t="s">
        <v>4457</v>
      </c>
      <c r="E6">
        <v>1715</v>
      </c>
      <c r="F6" s="3"/>
      <c r="G6">
        <v>4</v>
      </c>
    </row>
    <row r="7" spans="1:13" x14ac:dyDescent="0.25">
      <c r="A7" t="s">
        <v>5057</v>
      </c>
      <c r="B7">
        <v>2</v>
      </c>
      <c r="C7">
        <v>13</v>
      </c>
      <c r="D7" t="s">
        <v>4457</v>
      </c>
      <c r="E7">
        <v>1713</v>
      </c>
      <c r="F7" s="3"/>
      <c r="G7">
        <v>10</v>
      </c>
    </row>
    <row r="8" spans="1:13" x14ac:dyDescent="0.25">
      <c r="A8" t="s">
        <v>5057</v>
      </c>
      <c r="B8">
        <v>2</v>
      </c>
      <c r="C8">
        <v>13</v>
      </c>
      <c r="D8" t="s">
        <v>4457</v>
      </c>
      <c r="E8">
        <v>1712</v>
      </c>
      <c r="F8" s="3"/>
      <c r="G8">
        <v>10</v>
      </c>
      <c r="H8">
        <v>10</v>
      </c>
    </row>
    <row r="9" spans="1:13" x14ac:dyDescent="0.25">
      <c r="A9" t="s">
        <v>5057</v>
      </c>
      <c r="B9">
        <v>2</v>
      </c>
      <c r="C9">
        <v>13</v>
      </c>
      <c r="D9" t="s">
        <v>4457</v>
      </c>
      <c r="E9">
        <v>1711</v>
      </c>
      <c r="F9" s="3"/>
    </row>
    <row r="10" spans="1:13" x14ac:dyDescent="0.25">
      <c r="A10" t="s">
        <v>5057</v>
      </c>
      <c r="B10">
        <v>2</v>
      </c>
      <c r="C10">
        <v>13</v>
      </c>
      <c r="D10" t="s">
        <v>4457</v>
      </c>
      <c r="E10">
        <v>1737</v>
      </c>
      <c r="F10" s="3"/>
      <c r="G10">
        <v>2</v>
      </c>
    </row>
    <row r="11" spans="1:13" x14ac:dyDescent="0.25">
      <c r="A11" t="s">
        <v>5057</v>
      </c>
      <c r="B11">
        <v>2</v>
      </c>
      <c r="C11">
        <v>13</v>
      </c>
      <c r="D11" t="s">
        <v>4457</v>
      </c>
      <c r="E11">
        <v>1709</v>
      </c>
      <c r="F11" s="3"/>
      <c r="G11" s="7">
        <v>1</v>
      </c>
      <c r="H11">
        <v>5</v>
      </c>
    </row>
    <row r="12" spans="1:13" x14ac:dyDescent="0.25">
      <c r="A12" t="s">
        <v>5057</v>
      </c>
      <c r="B12">
        <v>2</v>
      </c>
      <c r="C12">
        <v>13</v>
      </c>
      <c r="D12" t="s">
        <v>4457</v>
      </c>
      <c r="E12">
        <v>8031</v>
      </c>
      <c r="F12" s="3"/>
      <c r="G12">
        <v>19</v>
      </c>
    </row>
    <row r="13" spans="1:13" x14ac:dyDescent="0.25">
      <c r="A13" t="s">
        <v>5057</v>
      </c>
      <c r="B13">
        <v>2</v>
      </c>
      <c r="C13">
        <v>13</v>
      </c>
      <c r="D13" t="s">
        <v>4457</v>
      </c>
      <c r="E13">
        <v>1711</v>
      </c>
      <c r="F13" s="3"/>
      <c r="G13">
        <v>22</v>
      </c>
    </row>
    <row r="14" spans="1:13" x14ac:dyDescent="0.25">
      <c r="A14" t="s">
        <v>5057</v>
      </c>
      <c r="B14">
        <v>2</v>
      </c>
      <c r="C14">
        <v>13</v>
      </c>
      <c r="D14" t="s">
        <v>4457</v>
      </c>
      <c r="E14">
        <v>1710</v>
      </c>
      <c r="F14" s="3"/>
      <c r="G14">
        <v>44</v>
      </c>
      <c r="H14">
        <v>6</v>
      </c>
    </row>
    <row r="15" spans="1:13" x14ac:dyDescent="0.25">
      <c r="A15" t="s">
        <v>5057</v>
      </c>
      <c r="B15">
        <v>2</v>
      </c>
      <c r="C15">
        <v>13</v>
      </c>
      <c r="F15" s="3"/>
    </row>
    <row r="16" spans="1:13" x14ac:dyDescent="0.25">
      <c r="A16" t="s">
        <v>5057</v>
      </c>
      <c r="B16">
        <v>2</v>
      </c>
      <c r="C16">
        <v>13</v>
      </c>
      <c r="D16" t="s">
        <v>4451</v>
      </c>
      <c r="E16">
        <v>1972</v>
      </c>
      <c r="F16" s="3"/>
      <c r="G16">
        <v>1</v>
      </c>
    </row>
    <row r="17" spans="1:13" x14ac:dyDescent="0.25">
      <c r="A17" t="s">
        <v>5057</v>
      </c>
      <c r="B17">
        <v>2</v>
      </c>
      <c r="C17">
        <v>13</v>
      </c>
      <c r="D17" t="s">
        <v>4452</v>
      </c>
      <c r="E17">
        <v>1995</v>
      </c>
      <c r="F17" s="3"/>
      <c r="G17">
        <v>5</v>
      </c>
    </row>
    <row r="18" spans="1:13" x14ac:dyDescent="0.25">
      <c r="A18" t="s">
        <v>5057</v>
      </c>
      <c r="B18">
        <v>2</v>
      </c>
      <c r="C18">
        <v>13</v>
      </c>
      <c r="D18" t="s">
        <v>4453</v>
      </c>
      <c r="E18">
        <v>1954</v>
      </c>
      <c r="F18" s="3"/>
      <c r="G18">
        <v>13</v>
      </c>
    </row>
    <row r="19" spans="1:13" x14ac:dyDescent="0.25">
      <c r="A19" t="s">
        <v>5057</v>
      </c>
      <c r="B19">
        <v>2</v>
      </c>
      <c r="C19">
        <v>13</v>
      </c>
      <c r="D19" t="s">
        <v>4454</v>
      </c>
      <c r="E19">
        <v>1958</v>
      </c>
      <c r="F19" s="3"/>
      <c r="G19">
        <v>7</v>
      </c>
    </row>
    <row r="20" spans="1:13" x14ac:dyDescent="0.25">
      <c r="A20" t="s">
        <v>5057</v>
      </c>
      <c r="B20">
        <v>2</v>
      </c>
      <c r="C20">
        <v>13</v>
      </c>
      <c r="D20" t="s">
        <v>4455</v>
      </c>
      <c r="E20">
        <v>1937</v>
      </c>
      <c r="F20" s="3"/>
      <c r="G20">
        <v>7</v>
      </c>
    </row>
    <row r="21" spans="1:13" x14ac:dyDescent="0.25">
      <c r="A21" t="s">
        <v>5057</v>
      </c>
      <c r="B21">
        <v>2</v>
      </c>
      <c r="F21" s="14"/>
    </row>
    <row r="22" spans="1:13" x14ac:dyDescent="0.25">
      <c r="A22" t="s">
        <v>5057</v>
      </c>
      <c r="B22">
        <v>2</v>
      </c>
    </row>
    <row r="23" spans="1:13" ht="24" x14ac:dyDescent="0.4">
      <c r="A23" t="s">
        <v>5057</v>
      </c>
      <c r="B23">
        <v>2</v>
      </c>
      <c r="D23" s="35" t="s">
        <v>4475</v>
      </c>
      <c r="E23" s="36"/>
      <c r="F23" s="36"/>
      <c r="G23" s="36"/>
      <c r="H23" s="36"/>
      <c r="I23" s="36"/>
      <c r="J23" s="37"/>
      <c r="K23" s="38" t="s">
        <v>4459</v>
      </c>
      <c r="L23" s="13" t="s">
        <v>4432</v>
      </c>
      <c r="M23" s="46" t="s">
        <v>4460</v>
      </c>
    </row>
    <row r="24" spans="1:13" ht="18.75" x14ac:dyDescent="0.3">
      <c r="A24" t="s">
        <v>5057</v>
      </c>
      <c r="B24">
        <v>2</v>
      </c>
      <c r="D24" s="11" t="s">
        <v>4445</v>
      </c>
      <c r="E24" s="11" t="s">
        <v>4433</v>
      </c>
      <c r="F24" s="11" t="s">
        <v>4434</v>
      </c>
      <c r="G24" s="11" t="s">
        <v>4435</v>
      </c>
      <c r="H24" s="11" t="s">
        <v>4436</v>
      </c>
      <c r="I24" s="11" t="s">
        <v>4444</v>
      </c>
      <c r="J24" s="11" t="s">
        <v>4436</v>
      </c>
      <c r="K24" s="39"/>
      <c r="L24" s="11" t="s">
        <v>4447</v>
      </c>
      <c r="M24" s="46"/>
    </row>
    <row r="25" spans="1:13" x14ac:dyDescent="0.25">
      <c r="A25" t="s">
        <v>5057</v>
      </c>
      <c r="B25">
        <v>2</v>
      </c>
      <c r="C25">
        <v>14</v>
      </c>
      <c r="D25" t="s">
        <v>4457</v>
      </c>
      <c r="E25">
        <v>7038</v>
      </c>
      <c r="F25" s="3"/>
      <c r="G25">
        <v>15</v>
      </c>
    </row>
    <row r="26" spans="1:13" x14ac:dyDescent="0.25">
      <c r="A26" t="s">
        <v>5057</v>
      </c>
      <c r="B26">
        <v>2</v>
      </c>
      <c r="C26">
        <v>14</v>
      </c>
      <c r="D26" t="s">
        <v>4457</v>
      </c>
      <c r="E26">
        <v>7037</v>
      </c>
      <c r="F26" s="3"/>
      <c r="G26" s="7">
        <v>11</v>
      </c>
    </row>
    <row r="27" spans="1:13" x14ac:dyDescent="0.25">
      <c r="A27" t="s">
        <v>5057</v>
      </c>
      <c r="B27">
        <v>2</v>
      </c>
      <c r="C27">
        <v>14</v>
      </c>
      <c r="D27" t="s">
        <v>4457</v>
      </c>
      <c r="E27">
        <v>1738</v>
      </c>
      <c r="F27" s="3"/>
      <c r="G27">
        <v>1</v>
      </c>
      <c r="H27">
        <v>2</v>
      </c>
    </row>
    <row r="28" spans="1:13" x14ac:dyDescent="0.25">
      <c r="A28" t="s">
        <v>5057</v>
      </c>
      <c r="B28">
        <v>2</v>
      </c>
      <c r="C28">
        <v>14</v>
      </c>
      <c r="D28" t="s">
        <v>4457</v>
      </c>
      <c r="E28">
        <v>1728</v>
      </c>
      <c r="F28" s="3"/>
      <c r="G28">
        <v>29</v>
      </c>
      <c r="H28">
        <v>2</v>
      </c>
    </row>
    <row r="29" spans="1:13" x14ac:dyDescent="0.25">
      <c r="A29" t="s">
        <v>5057</v>
      </c>
      <c r="B29">
        <v>2</v>
      </c>
      <c r="C29">
        <v>14</v>
      </c>
      <c r="D29" t="s">
        <v>4457</v>
      </c>
      <c r="E29">
        <v>1740</v>
      </c>
      <c r="F29" s="3"/>
      <c r="G29">
        <v>6</v>
      </c>
      <c r="H29">
        <v>5</v>
      </c>
    </row>
    <row r="30" spans="1:13" x14ac:dyDescent="0.25">
      <c r="A30" t="s">
        <v>5057</v>
      </c>
      <c r="B30">
        <v>2</v>
      </c>
      <c r="C30">
        <v>14</v>
      </c>
      <c r="D30" t="s">
        <v>4457</v>
      </c>
      <c r="E30">
        <v>1739</v>
      </c>
      <c r="F30" s="3"/>
      <c r="G30">
        <v>7</v>
      </c>
      <c r="H30">
        <v>1</v>
      </c>
    </row>
    <row r="31" spans="1:13" x14ac:dyDescent="0.25">
      <c r="A31" t="s">
        <v>5057</v>
      </c>
      <c r="B31">
        <v>2</v>
      </c>
      <c r="C31">
        <v>14</v>
      </c>
      <c r="D31" t="s">
        <v>4457</v>
      </c>
      <c r="E31">
        <v>1719</v>
      </c>
      <c r="F31" s="3"/>
      <c r="G31">
        <v>10</v>
      </c>
    </row>
    <row r="32" spans="1:13" x14ac:dyDescent="0.25">
      <c r="A32" t="s">
        <v>5057</v>
      </c>
      <c r="B32">
        <v>2</v>
      </c>
      <c r="C32">
        <v>14</v>
      </c>
      <c r="D32" t="s">
        <v>4457</v>
      </c>
      <c r="E32">
        <v>1718</v>
      </c>
      <c r="F32" s="3"/>
      <c r="G32" s="7">
        <v>3</v>
      </c>
      <c r="H32">
        <v>5</v>
      </c>
    </row>
    <row r="33" spans="1:8" x14ac:dyDescent="0.25">
      <c r="A33" t="s">
        <v>5057</v>
      </c>
      <c r="B33">
        <v>2</v>
      </c>
      <c r="C33">
        <v>14</v>
      </c>
      <c r="F33" s="4"/>
    </row>
    <row r="34" spans="1:8" x14ac:dyDescent="0.25">
      <c r="A34" t="s">
        <v>5057</v>
      </c>
      <c r="B34">
        <v>2</v>
      </c>
      <c r="C34">
        <v>14</v>
      </c>
      <c r="D34" t="s">
        <v>4457</v>
      </c>
      <c r="E34">
        <v>1727</v>
      </c>
      <c r="F34" s="3"/>
      <c r="G34">
        <v>2</v>
      </c>
    </row>
    <row r="35" spans="1:8" x14ac:dyDescent="0.25">
      <c r="A35" t="s">
        <v>5057</v>
      </c>
      <c r="B35">
        <v>2</v>
      </c>
      <c r="C35">
        <v>14</v>
      </c>
      <c r="D35" t="s">
        <v>4457</v>
      </c>
      <c r="E35">
        <v>1717</v>
      </c>
      <c r="F35" s="3"/>
      <c r="G35">
        <v>20</v>
      </c>
    </row>
    <row r="36" spans="1:8" x14ac:dyDescent="0.25">
      <c r="A36" t="s">
        <v>5057</v>
      </c>
      <c r="B36">
        <v>2</v>
      </c>
      <c r="C36">
        <v>14</v>
      </c>
      <c r="D36" t="s">
        <v>4457</v>
      </c>
      <c r="E36">
        <v>1788</v>
      </c>
      <c r="F36" s="3"/>
      <c r="G36">
        <v>2</v>
      </c>
    </row>
    <row r="37" spans="1:8" x14ac:dyDescent="0.25">
      <c r="A37" t="s">
        <v>5057</v>
      </c>
      <c r="B37">
        <v>2</v>
      </c>
      <c r="C37">
        <v>14</v>
      </c>
      <c r="F37" s="3"/>
    </row>
    <row r="38" spans="1:8" x14ac:dyDescent="0.25">
      <c r="A38" t="s">
        <v>5057</v>
      </c>
      <c r="B38">
        <v>2</v>
      </c>
      <c r="C38">
        <v>14</v>
      </c>
      <c r="D38" t="s">
        <v>4451</v>
      </c>
      <c r="E38" s="15" t="s">
        <v>4464</v>
      </c>
      <c r="F38" s="3"/>
      <c r="H38">
        <v>1</v>
      </c>
    </row>
    <row r="39" spans="1:8" x14ac:dyDescent="0.25">
      <c r="A39" t="s">
        <v>5057</v>
      </c>
      <c r="B39">
        <v>2</v>
      </c>
      <c r="C39">
        <v>14</v>
      </c>
      <c r="D39" t="s">
        <v>4451</v>
      </c>
      <c r="E39">
        <v>1574</v>
      </c>
      <c r="F39" s="3"/>
      <c r="G39" s="7" t="s">
        <v>4465</v>
      </c>
    </row>
    <row r="40" spans="1:8" x14ac:dyDescent="0.25">
      <c r="A40" t="s">
        <v>5057</v>
      </c>
      <c r="B40">
        <v>2</v>
      </c>
      <c r="C40">
        <v>14</v>
      </c>
      <c r="D40" t="s">
        <v>4451</v>
      </c>
      <c r="E40">
        <v>1571</v>
      </c>
      <c r="F40" s="3"/>
      <c r="G40" s="7" t="s">
        <v>4466</v>
      </c>
    </row>
    <row r="41" spans="1:8" x14ac:dyDescent="0.25">
      <c r="A41" t="s">
        <v>5057</v>
      </c>
      <c r="B41">
        <v>2</v>
      </c>
      <c r="C41">
        <v>14</v>
      </c>
      <c r="D41" t="s">
        <v>4451</v>
      </c>
      <c r="E41">
        <v>1570</v>
      </c>
      <c r="F41" s="3"/>
      <c r="G41" s="7" t="s">
        <v>4467</v>
      </c>
      <c r="H41">
        <v>2</v>
      </c>
    </row>
    <row r="42" spans="1:8" x14ac:dyDescent="0.25">
      <c r="A42" t="s">
        <v>5057</v>
      </c>
      <c r="B42">
        <v>2</v>
      </c>
      <c r="C42">
        <v>14</v>
      </c>
      <c r="D42" t="s">
        <v>4451</v>
      </c>
      <c r="E42">
        <v>1569</v>
      </c>
      <c r="F42" s="3"/>
      <c r="G42" s="7" t="s">
        <v>4468</v>
      </c>
      <c r="H42">
        <v>2</v>
      </c>
    </row>
    <row r="43" spans="1:8" x14ac:dyDescent="0.25">
      <c r="A43" t="s">
        <v>5057</v>
      </c>
      <c r="B43">
        <v>2</v>
      </c>
      <c r="C43">
        <v>14</v>
      </c>
      <c r="D43" t="s">
        <v>4451</v>
      </c>
      <c r="E43">
        <v>1577</v>
      </c>
      <c r="F43" s="3"/>
      <c r="G43" s="7" t="s">
        <v>4469</v>
      </c>
    </row>
    <row r="44" spans="1:8" x14ac:dyDescent="0.25">
      <c r="A44" t="s">
        <v>5057</v>
      </c>
      <c r="B44">
        <v>2</v>
      </c>
      <c r="C44">
        <v>14</v>
      </c>
      <c r="D44" t="s">
        <v>4451</v>
      </c>
      <c r="E44" s="6">
        <v>1523</v>
      </c>
      <c r="F44" s="3"/>
      <c r="G44" s="7" t="s">
        <v>4470</v>
      </c>
      <c r="H44">
        <v>3</v>
      </c>
    </row>
    <row r="45" spans="1:8" x14ac:dyDescent="0.25">
      <c r="A45" t="s">
        <v>5057</v>
      </c>
      <c r="B45">
        <v>2</v>
      </c>
      <c r="C45">
        <v>14</v>
      </c>
      <c r="D45" t="s">
        <v>4451</v>
      </c>
      <c r="E45">
        <v>1576</v>
      </c>
      <c r="F45" s="3"/>
      <c r="G45" s="7" t="s">
        <v>4468</v>
      </c>
      <c r="H45">
        <v>1</v>
      </c>
    </row>
    <row r="46" spans="1:8" x14ac:dyDescent="0.25">
      <c r="A46" t="s">
        <v>5057</v>
      </c>
      <c r="B46">
        <v>2</v>
      </c>
      <c r="C46">
        <v>14</v>
      </c>
      <c r="D46" t="s">
        <v>4451</v>
      </c>
      <c r="E46">
        <v>1567</v>
      </c>
      <c r="F46" s="3"/>
      <c r="G46" s="7" t="s">
        <v>4471</v>
      </c>
    </row>
    <row r="47" spans="1:8" x14ac:dyDescent="0.25">
      <c r="A47" t="s">
        <v>5057</v>
      </c>
      <c r="B47">
        <v>2</v>
      </c>
      <c r="C47">
        <v>14</v>
      </c>
      <c r="D47" t="s">
        <v>4451</v>
      </c>
      <c r="E47">
        <v>1566</v>
      </c>
      <c r="F47" s="3"/>
      <c r="G47" s="7" t="s">
        <v>4472</v>
      </c>
      <c r="H47">
        <v>3</v>
      </c>
    </row>
    <row r="48" spans="1:8" x14ac:dyDescent="0.25">
      <c r="A48" t="s">
        <v>5057</v>
      </c>
      <c r="B48">
        <v>2</v>
      </c>
      <c r="C48">
        <v>14</v>
      </c>
      <c r="D48" t="s">
        <v>4451</v>
      </c>
      <c r="E48">
        <v>1565</v>
      </c>
      <c r="F48" s="3"/>
      <c r="G48" s="7" t="s">
        <v>4473</v>
      </c>
    </row>
    <row r="49" spans="1:13" x14ac:dyDescent="0.25">
      <c r="A49" t="s">
        <v>5057</v>
      </c>
      <c r="B49">
        <v>2</v>
      </c>
      <c r="C49">
        <v>14</v>
      </c>
      <c r="D49" t="s">
        <v>4451</v>
      </c>
      <c r="E49">
        <v>1564</v>
      </c>
      <c r="F49" s="3"/>
      <c r="G49" s="7" t="s">
        <v>4474</v>
      </c>
      <c r="H49">
        <v>1</v>
      </c>
    </row>
    <row r="50" spans="1:13" x14ac:dyDescent="0.25">
      <c r="A50" t="s">
        <v>5057</v>
      </c>
      <c r="B50">
        <v>2</v>
      </c>
      <c r="C50">
        <v>14</v>
      </c>
      <c r="D50" t="s">
        <v>4451</v>
      </c>
      <c r="E50">
        <v>1522</v>
      </c>
      <c r="F50" s="3"/>
      <c r="G50">
        <v>6</v>
      </c>
    </row>
    <row r="51" spans="1:13" x14ac:dyDescent="0.25">
      <c r="A51" t="s">
        <v>5057</v>
      </c>
      <c r="B51">
        <v>2</v>
      </c>
    </row>
    <row r="52" spans="1:13" x14ac:dyDescent="0.25">
      <c r="A52" t="s">
        <v>5057</v>
      </c>
      <c r="B52">
        <v>2</v>
      </c>
    </row>
    <row r="53" spans="1:13" ht="24" x14ac:dyDescent="0.4">
      <c r="A53" t="s">
        <v>5057</v>
      </c>
      <c r="B53">
        <v>2</v>
      </c>
      <c r="D53" s="35" t="s">
        <v>4482</v>
      </c>
      <c r="E53" s="36"/>
      <c r="F53" s="36"/>
      <c r="G53" s="36"/>
      <c r="H53" s="36"/>
      <c r="I53" s="36"/>
      <c r="J53" s="37"/>
      <c r="K53" s="38" t="s">
        <v>4459</v>
      </c>
      <c r="L53" s="13" t="s">
        <v>4432</v>
      </c>
      <c r="M53" s="44" t="s">
        <v>4460</v>
      </c>
    </row>
    <row r="54" spans="1:13" ht="18.75" x14ac:dyDescent="0.3">
      <c r="A54" t="s">
        <v>5057</v>
      </c>
      <c r="B54">
        <v>2</v>
      </c>
      <c r="D54" s="11" t="s">
        <v>4445</v>
      </c>
      <c r="E54" s="11" t="s">
        <v>4433</v>
      </c>
      <c r="F54" s="11" t="s">
        <v>4434</v>
      </c>
      <c r="G54" s="11" t="s">
        <v>4435</v>
      </c>
      <c r="H54" s="11" t="s">
        <v>4436</v>
      </c>
      <c r="I54" s="11" t="s">
        <v>4444</v>
      </c>
      <c r="J54" s="11" t="s">
        <v>4436</v>
      </c>
      <c r="K54" s="39"/>
      <c r="L54" s="11" t="s">
        <v>4447</v>
      </c>
      <c r="M54" s="44"/>
    </row>
    <row r="55" spans="1:13" x14ac:dyDescent="0.25">
      <c r="A55" t="s">
        <v>5057</v>
      </c>
      <c r="B55">
        <v>2</v>
      </c>
      <c r="C55">
        <v>15</v>
      </c>
      <c r="D55" t="s">
        <v>4457</v>
      </c>
      <c r="E55">
        <v>1714</v>
      </c>
      <c r="F55" s="3"/>
      <c r="G55">
        <v>8</v>
      </c>
    </row>
    <row r="56" spans="1:13" x14ac:dyDescent="0.25">
      <c r="A56" t="s">
        <v>5057</v>
      </c>
      <c r="B56">
        <v>2</v>
      </c>
      <c r="C56">
        <v>15</v>
      </c>
      <c r="D56" t="s">
        <v>4457</v>
      </c>
      <c r="E56">
        <v>1726</v>
      </c>
      <c r="F56" s="3"/>
      <c r="G56">
        <v>8</v>
      </c>
      <c r="H56">
        <v>1</v>
      </c>
    </row>
    <row r="57" spans="1:13" x14ac:dyDescent="0.25">
      <c r="A57" t="s">
        <v>5057</v>
      </c>
      <c r="B57">
        <v>2</v>
      </c>
      <c r="C57">
        <v>15</v>
      </c>
      <c r="D57" t="s">
        <v>4457</v>
      </c>
      <c r="E57">
        <v>1725</v>
      </c>
      <c r="F57" s="3"/>
      <c r="G57">
        <v>6</v>
      </c>
      <c r="H57">
        <v>1</v>
      </c>
    </row>
    <row r="58" spans="1:13" x14ac:dyDescent="0.25">
      <c r="A58" t="s">
        <v>5057</v>
      </c>
      <c r="B58">
        <v>2</v>
      </c>
      <c r="C58">
        <v>15</v>
      </c>
      <c r="D58" t="s">
        <v>4457</v>
      </c>
      <c r="E58">
        <v>1724</v>
      </c>
      <c r="F58" s="3"/>
      <c r="G58">
        <v>4</v>
      </c>
      <c r="H58">
        <v>3</v>
      </c>
    </row>
    <row r="59" spans="1:13" x14ac:dyDescent="0.25">
      <c r="A59" t="s">
        <v>5057</v>
      </c>
      <c r="B59">
        <v>2</v>
      </c>
      <c r="C59">
        <v>15</v>
      </c>
      <c r="D59" t="s">
        <v>4457</v>
      </c>
      <c r="E59">
        <v>1723</v>
      </c>
      <c r="F59" s="3"/>
      <c r="G59">
        <v>6</v>
      </c>
    </row>
    <row r="60" spans="1:13" x14ac:dyDescent="0.25">
      <c r="A60" t="s">
        <v>5057</v>
      </c>
      <c r="B60">
        <v>2</v>
      </c>
      <c r="C60">
        <v>15</v>
      </c>
      <c r="D60" t="s">
        <v>4457</v>
      </c>
      <c r="E60">
        <v>1722</v>
      </c>
      <c r="F60" s="3"/>
      <c r="G60">
        <v>3</v>
      </c>
      <c r="H60">
        <v>2</v>
      </c>
    </row>
    <row r="61" spans="1:13" x14ac:dyDescent="0.25">
      <c r="A61" t="s">
        <v>5057</v>
      </c>
      <c r="B61">
        <v>2</v>
      </c>
      <c r="C61">
        <v>15</v>
      </c>
      <c r="D61" t="s">
        <v>4457</v>
      </c>
      <c r="E61">
        <v>1721</v>
      </c>
      <c r="F61" s="3"/>
      <c r="G61">
        <v>6</v>
      </c>
      <c r="H61">
        <v>3</v>
      </c>
    </row>
    <row r="62" spans="1:13" x14ac:dyDescent="0.25">
      <c r="A62" t="s">
        <v>5057</v>
      </c>
      <c r="B62">
        <v>2</v>
      </c>
      <c r="C62">
        <v>15</v>
      </c>
      <c r="D62" t="s">
        <v>4457</v>
      </c>
      <c r="E62">
        <v>1720</v>
      </c>
      <c r="F62" s="3"/>
      <c r="G62">
        <v>9</v>
      </c>
      <c r="H62">
        <v>3</v>
      </c>
    </row>
    <row r="63" spans="1:13" x14ac:dyDescent="0.25">
      <c r="A63" t="s">
        <v>5057</v>
      </c>
      <c r="B63">
        <v>2</v>
      </c>
      <c r="C63">
        <v>15</v>
      </c>
      <c r="D63" t="s">
        <v>4457</v>
      </c>
      <c r="E63">
        <v>1733</v>
      </c>
      <c r="F63" s="3"/>
      <c r="G63">
        <v>17</v>
      </c>
      <c r="H63">
        <v>1</v>
      </c>
    </row>
    <row r="64" spans="1:13" x14ac:dyDescent="0.25">
      <c r="A64" t="s">
        <v>5057</v>
      </c>
      <c r="B64">
        <v>2</v>
      </c>
      <c r="C64">
        <v>15</v>
      </c>
      <c r="D64" t="s">
        <v>4457</v>
      </c>
      <c r="E64">
        <v>1732</v>
      </c>
      <c r="F64" s="3"/>
      <c r="G64">
        <v>9</v>
      </c>
    </row>
    <row r="65" spans="1:8" x14ac:dyDescent="0.25">
      <c r="A65" t="s">
        <v>5057</v>
      </c>
      <c r="B65">
        <v>2</v>
      </c>
      <c r="C65">
        <v>15</v>
      </c>
      <c r="D65" t="s">
        <v>4457</v>
      </c>
      <c r="E65">
        <v>1731</v>
      </c>
      <c r="F65" s="3"/>
      <c r="G65">
        <v>6</v>
      </c>
      <c r="H65">
        <v>1</v>
      </c>
    </row>
    <row r="66" spans="1:8" x14ac:dyDescent="0.25">
      <c r="A66" t="s">
        <v>5057</v>
      </c>
      <c r="B66">
        <v>2</v>
      </c>
      <c r="C66">
        <v>15</v>
      </c>
      <c r="D66" t="s">
        <v>4457</v>
      </c>
      <c r="E66">
        <v>1730</v>
      </c>
      <c r="F66" s="3"/>
      <c r="G66">
        <v>2</v>
      </c>
    </row>
    <row r="67" spans="1:8" x14ac:dyDescent="0.25">
      <c r="A67" t="s">
        <v>5057</v>
      </c>
      <c r="B67">
        <v>2</v>
      </c>
      <c r="C67">
        <v>15</v>
      </c>
      <c r="D67" t="s">
        <v>4457</v>
      </c>
      <c r="E67">
        <v>1659</v>
      </c>
      <c r="F67" s="3"/>
      <c r="H67">
        <v>1</v>
      </c>
    </row>
    <row r="68" spans="1:8" x14ac:dyDescent="0.25">
      <c r="A68" t="s">
        <v>5057</v>
      </c>
      <c r="B68">
        <v>2</v>
      </c>
      <c r="C68">
        <v>15</v>
      </c>
      <c r="D68" t="s">
        <v>4457</v>
      </c>
      <c r="E68">
        <v>1931</v>
      </c>
      <c r="F68" s="3"/>
      <c r="G68">
        <v>2</v>
      </c>
    </row>
    <row r="69" spans="1:8" x14ac:dyDescent="0.25">
      <c r="A69" t="s">
        <v>5057</v>
      </c>
      <c r="B69">
        <v>2</v>
      </c>
      <c r="C69">
        <v>15</v>
      </c>
      <c r="D69" t="s">
        <v>4457</v>
      </c>
      <c r="E69">
        <v>1699</v>
      </c>
      <c r="F69" s="3"/>
      <c r="G69" s="7" t="s">
        <v>4476</v>
      </c>
    </row>
    <row r="70" spans="1:8" x14ac:dyDescent="0.25">
      <c r="A70" t="s">
        <v>5057</v>
      </c>
      <c r="B70">
        <v>2</v>
      </c>
      <c r="C70">
        <v>15</v>
      </c>
      <c r="D70" t="s">
        <v>4457</v>
      </c>
      <c r="E70">
        <v>2006</v>
      </c>
      <c r="F70" s="3"/>
      <c r="G70">
        <v>100</v>
      </c>
    </row>
    <row r="71" spans="1:8" x14ac:dyDescent="0.25">
      <c r="A71" t="s">
        <v>5057</v>
      </c>
      <c r="B71">
        <v>2</v>
      </c>
      <c r="C71">
        <v>15</v>
      </c>
    </row>
    <row r="72" spans="1:8" x14ac:dyDescent="0.25">
      <c r="A72" t="s">
        <v>5057</v>
      </c>
      <c r="B72">
        <v>2</v>
      </c>
      <c r="C72">
        <v>15</v>
      </c>
      <c r="D72" t="s">
        <v>4451</v>
      </c>
      <c r="E72">
        <v>1562</v>
      </c>
      <c r="F72" s="3"/>
      <c r="G72" t="s">
        <v>4472</v>
      </c>
    </row>
    <row r="73" spans="1:8" x14ac:dyDescent="0.25">
      <c r="A73" t="s">
        <v>5057</v>
      </c>
      <c r="B73">
        <v>2</v>
      </c>
      <c r="C73">
        <v>15</v>
      </c>
      <c r="D73" t="s">
        <v>4451</v>
      </c>
      <c r="E73">
        <v>1521</v>
      </c>
      <c r="F73" s="3"/>
      <c r="G73" t="s">
        <v>4477</v>
      </c>
    </row>
    <row r="74" spans="1:8" x14ac:dyDescent="0.25">
      <c r="A74" t="s">
        <v>5057</v>
      </c>
      <c r="B74">
        <v>2</v>
      </c>
      <c r="C74">
        <v>15</v>
      </c>
      <c r="D74" t="s">
        <v>4451</v>
      </c>
      <c r="E74">
        <v>1561</v>
      </c>
      <c r="F74" s="3"/>
      <c r="G74">
        <v>5</v>
      </c>
    </row>
    <row r="75" spans="1:8" x14ac:dyDescent="0.25">
      <c r="A75" t="s">
        <v>5057</v>
      </c>
      <c r="B75">
        <v>2</v>
      </c>
      <c r="C75">
        <v>15</v>
      </c>
      <c r="D75" t="s">
        <v>4451</v>
      </c>
      <c r="E75">
        <v>1520</v>
      </c>
      <c r="F75" s="3"/>
      <c r="G75">
        <v>6</v>
      </c>
    </row>
    <row r="76" spans="1:8" x14ac:dyDescent="0.25">
      <c r="A76" t="s">
        <v>5057</v>
      </c>
      <c r="B76">
        <v>2</v>
      </c>
      <c r="C76">
        <v>15</v>
      </c>
    </row>
    <row r="77" spans="1:8" x14ac:dyDescent="0.25">
      <c r="A77" t="s">
        <v>5057</v>
      </c>
      <c r="B77">
        <v>2</v>
      </c>
      <c r="C77">
        <v>15</v>
      </c>
      <c r="D77" t="s">
        <v>4451</v>
      </c>
      <c r="E77">
        <v>1974</v>
      </c>
      <c r="F77" s="3"/>
      <c r="H77">
        <v>3</v>
      </c>
    </row>
    <row r="78" spans="1:8" x14ac:dyDescent="0.25">
      <c r="A78" t="s">
        <v>5057</v>
      </c>
      <c r="B78">
        <v>2</v>
      </c>
      <c r="C78">
        <v>15</v>
      </c>
      <c r="D78" t="s">
        <v>4451</v>
      </c>
      <c r="E78">
        <v>1942</v>
      </c>
      <c r="F78" s="3"/>
      <c r="H78">
        <v>22</v>
      </c>
    </row>
    <row r="79" spans="1:8" x14ac:dyDescent="0.25">
      <c r="A79" t="s">
        <v>5057</v>
      </c>
      <c r="B79">
        <v>2</v>
      </c>
      <c r="C79">
        <v>15</v>
      </c>
      <c r="D79" t="s">
        <v>4451</v>
      </c>
      <c r="E79">
        <v>1941</v>
      </c>
      <c r="F79" s="3"/>
      <c r="H79">
        <v>12</v>
      </c>
    </row>
    <row r="80" spans="1:8" x14ac:dyDescent="0.25">
      <c r="A80" t="s">
        <v>5057</v>
      </c>
      <c r="B80">
        <v>2</v>
      </c>
      <c r="C80">
        <v>15</v>
      </c>
      <c r="D80" t="s">
        <v>4451</v>
      </c>
      <c r="E80">
        <v>1962</v>
      </c>
      <c r="F80" s="3"/>
      <c r="H80">
        <v>10</v>
      </c>
    </row>
    <row r="81" spans="1:8" x14ac:dyDescent="0.25">
      <c r="A81" t="s">
        <v>5057</v>
      </c>
      <c r="B81">
        <v>2</v>
      </c>
      <c r="C81">
        <v>15</v>
      </c>
      <c r="D81" t="s">
        <v>4451</v>
      </c>
      <c r="E81">
        <v>1966</v>
      </c>
      <c r="F81" s="3"/>
      <c r="H81">
        <v>4</v>
      </c>
    </row>
    <row r="82" spans="1:8" x14ac:dyDescent="0.25">
      <c r="A82" t="s">
        <v>5057</v>
      </c>
      <c r="B82">
        <v>2</v>
      </c>
      <c r="C82">
        <v>15</v>
      </c>
      <c r="D82" t="s">
        <v>4451</v>
      </c>
      <c r="E82">
        <v>1943</v>
      </c>
      <c r="F82" s="3"/>
      <c r="H82">
        <v>1</v>
      </c>
    </row>
    <row r="83" spans="1:8" x14ac:dyDescent="0.25">
      <c r="A83" t="s">
        <v>5057</v>
      </c>
      <c r="B83">
        <v>2</v>
      </c>
      <c r="C83">
        <v>15</v>
      </c>
      <c r="D83" t="s">
        <v>4451</v>
      </c>
      <c r="E83">
        <v>1965</v>
      </c>
      <c r="F83" s="3"/>
      <c r="H83">
        <v>3</v>
      </c>
    </row>
    <row r="84" spans="1:8" x14ac:dyDescent="0.25">
      <c r="A84" t="s">
        <v>5057</v>
      </c>
      <c r="B84">
        <v>2</v>
      </c>
      <c r="C84">
        <v>15</v>
      </c>
      <c r="D84" t="s">
        <v>4451</v>
      </c>
      <c r="E84">
        <v>1951</v>
      </c>
      <c r="F84" s="3"/>
      <c r="H84">
        <v>8</v>
      </c>
    </row>
    <row r="85" spans="1:8" x14ac:dyDescent="0.25">
      <c r="A85" t="s">
        <v>5057</v>
      </c>
      <c r="B85">
        <v>2</v>
      </c>
      <c r="C85">
        <v>15</v>
      </c>
      <c r="D85" t="s">
        <v>4451</v>
      </c>
      <c r="E85">
        <v>1944</v>
      </c>
      <c r="F85" s="3"/>
      <c r="H85">
        <v>8</v>
      </c>
    </row>
    <row r="86" spans="1:8" x14ac:dyDescent="0.25">
      <c r="A86" t="s">
        <v>5057</v>
      </c>
      <c r="B86">
        <v>2</v>
      </c>
      <c r="C86">
        <v>15</v>
      </c>
      <c r="D86" t="s">
        <v>4451</v>
      </c>
      <c r="E86">
        <v>1946</v>
      </c>
      <c r="F86" s="3"/>
      <c r="H86">
        <v>15</v>
      </c>
    </row>
    <row r="87" spans="1:8" x14ac:dyDescent="0.25">
      <c r="A87" t="s">
        <v>5057</v>
      </c>
      <c r="B87">
        <v>2</v>
      </c>
      <c r="C87">
        <v>15</v>
      </c>
      <c r="D87" t="s">
        <v>4451</v>
      </c>
      <c r="E87">
        <v>1961</v>
      </c>
      <c r="F87" s="3"/>
      <c r="H87">
        <v>34</v>
      </c>
    </row>
    <row r="88" spans="1:8" x14ac:dyDescent="0.25">
      <c r="A88" t="s">
        <v>5057</v>
      </c>
      <c r="B88">
        <v>2</v>
      </c>
      <c r="C88">
        <v>15</v>
      </c>
      <c r="D88" t="s">
        <v>4451</v>
      </c>
      <c r="E88">
        <v>1973</v>
      </c>
      <c r="F88" s="3"/>
      <c r="H88">
        <v>26</v>
      </c>
    </row>
    <row r="89" spans="1:8" x14ac:dyDescent="0.25">
      <c r="A89" t="s">
        <v>5057</v>
      </c>
      <c r="B89">
        <v>2</v>
      </c>
      <c r="C89">
        <v>15</v>
      </c>
      <c r="D89" t="s">
        <v>4451</v>
      </c>
      <c r="H89">
        <v>19</v>
      </c>
    </row>
    <row r="90" spans="1:8" x14ac:dyDescent="0.25">
      <c r="A90" t="s">
        <v>5057</v>
      </c>
      <c r="B90">
        <v>2</v>
      </c>
      <c r="C90">
        <v>15</v>
      </c>
      <c r="D90" t="s">
        <v>4451</v>
      </c>
      <c r="E90">
        <v>1950</v>
      </c>
      <c r="F90" s="3"/>
      <c r="H90">
        <v>9</v>
      </c>
    </row>
    <row r="91" spans="1:8" x14ac:dyDescent="0.25">
      <c r="A91" t="s">
        <v>5057</v>
      </c>
      <c r="B91">
        <v>2</v>
      </c>
      <c r="C91">
        <v>15</v>
      </c>
    </row>
    <row r="92" spans="1:8" x14ac:dyDescent="0.25">
      <c r="A92" t="s">
        <v>5057</v>
      </c>
      <c r="B92">
        <v>2</v>
      </c>
      <c r="C92">
        <v>15</v>
      </c>
      <c r="D92" t="s">
        <v>4451</v>
      </c>
      <c r="E92">
        <v>1964</v>
      </c>
      <c r="F92" s="3"/>
      <c r="H92" s="7" t="s">
        <v>4480</v>
      </c>
    </row>
    <row r="93" spans="1:8" x14ac:dyDescent="0.25">
      <c r="A93" t="s">
        <v>5057</v>
      </c>
      <c r="B93">
        <v>2</v>
      </c>
      <c r="C93">
        <v>15</v>
      </c>
      <c r="D93" t="s">
        <v>4451</v>
      </c>
      <c r="E93">
        <v>1943</v>
      </c>
      <c r="F93" s="3"/>
      <c r="H93">
        <v>12</v>
      </c>
    </row>
    <row r="94" spans="1:8" x14ac:dyDescent="0.25">
      <c r="A94" t="s">
        <v>5057</v>
      </c>
      <c r="B94">
        <v>2</v>
      </c>
    </row>
    <row r="95" spans="1:8" x14ac:dyDescent="0.25">
      <c r="A95" t="s">
        <v>5057</v>
      </c>
      <c r="B95">
        <v>2</v>
      </c>
    </row>
    <row r="96" spans="1:8" x14ac:dyDescent="0.25">
      <c r="A96" t="s">
        <v>5057</v>
      </c>
      <c r="B96">
        <v>2</v>
      </c>
    </row>
    <row r="97" spans="1:13" ht="24" x14ac:dyDescent="0.4">
      <c r="A97" t="s">
        <v>5057</v>
      </c>
      <c r="B97">
        <v>2</v>
      </c>
      <c r="D97" s="35" t="s">
        <v>4439</v>
      </c>
      <c r="E97" s="36"/>
      <c r="F97" s="36"/>
      <c r="G97" s="36"/>
      <c r="H97" s="36"/>
      <c r="I97" s="36"/>
      <c r="J97" s="37"/>
      <c r="K97" s="38" t="s">
        <v>4459</v>
      </c>
      <c r="L97" s="13" t="s">
        <v>4432</v>
      </c>
      <c r="M97" s="46" t="s">
        <v>4460</v>
      </c>
    </row>
    <row r="98" spans="1:13" ht="18.75" x14ac:dyDescent="0.3">
      <c r="A98" t="s">
        <v>5057</v>
      </c>
      <c r="B98">
        <v>2</v>
      </c>
      <c r="D98" s="11" t="s">
        <v>4445</v>
      </c>
      <c r="E98" s="11" t="s">
        <v>4433</v>
      </c>
      <c r="F98" s="11" t="s">
        <v>4434</v>
      </c>
      <c r="G98" s="11" t="s">
        <v>4435</v>
      </c>
      <c r="H98" s="11" t="s">
        <v>4436</v>
      </c>
      <c r="I98" s="11" t="s">
        <v>4444</v>
      </c>
      <c r="J98" s="11" t="s">
        <v>4436</v>
      </c>
      <c r="K98" s="39"/>
      <c r="L98" s="11" t="s">
        <v>4447</v>
      </c>
      <c r="M98" s="46"/>
    </row>
    <row r="99" spans="1:13" x14ac:dyDescent="0.25">
      <c r="A99" t="s">
        <v>5057</v>
      </c>
      <c r="B99">
        <v>2</v>
      </c>
      <c r="C99">
        <v>27</v>
      </c>
      <c r="D99" t="s">
        <v>4451</v>
      </c>
      <c r="E99">
        <v>1202</v>
      </c>
      <c r="F99" s="3"/>
      <c r="H99">
        <v>8</v>
      </c>
    </row>
    <row r="100" spans="1:13" x14ac:dyDescent="0.25">
      <c r="A100" t="s">
        <v>5057</v>
      </c>
      <c r="B100">
        <v>2</v>
      </c>
      <c r="C100">
        <v>27</v>
      </c>
      <c r="D100" t="s">
        <v>4451</v>
      </c>
      <c r="E100">
        <v>1428</v>
      </c>
      <c r="F100" s="3"/>
      <c r="G100">
        <v>4</v>
      </c>
    </row>
    <row r="101" spans="1:13" x14ac:dyDescent="0.25">
      <c r="A101" t="s">
        <v>5057</v>
      </c>
      <c r="B101">
        <v>2</v>
      </c>
      <c r="C101">
        <v>27</v>
      </c>
      <c r="D101" t="s">
        <v>4451</v>
      </c>
      <c r="E101">
        <v>119801</v>
      </c>
      <c r="F101" s="3"/>
      <c r="G101">
        <v>1</v>
      </c>
    </row>
    <row r="102" spans="1:13" x14ac:dyDescent="0.25">
      <c r="A102" t="s">
        <v>5057</v>
      </c>
      <c r="B102">
        <v>2</v>
      </c>
      <c r="C102">
        <v>27</v>
      </c>
      <c r="D102" t="s">
        <v>4451</v>
      </c>
      <c r="E102">
        <v>1405</v>
      </c>
      <c r="F102" s="3"/>
      <c r="G102">
        <v>10</v>
      </c>
    </row>
    <row r="103" spans="1:13" x14ac:dyDescent="0.25">
      <c r="A103" t="s">
        <v>5057</v>
      </c>
      <c r="B103">
        <v>2</v>
      </c>
      <c r="C103">
        <v>27</v>
      </c>
      <c r="D103" t="s">
        <v>4451</v>
      </c>
      <c r="E103">
        <v>1195</v>
      </c>
      <c r="F103" s="3"/>
      <c r="G103" s="33">
        <v>7</v>
      </c>
    </row>
    <row r="104" spans="1:13" x14ac:dyDescent="0.25">
      <c r="A104" t="s">
        <v>5057</v>
      </c>
      <c r="B104">
        <v>2</v>
      </c>
      <c r="C104">
        <v>27</v>
      </c>
      <c r="D104" t="s">
        <v>4451</v>
      </c>
      <c r="E104">
        <v>1480</v>
      </c>
      <c r="F104" s="3"/>
      <c r="G104" s="33"/>
    </row>
    <row r="105" spans="1:13" x14ac:dyDescent="0.25">
      <c r="A105" t="s">
        <v>5057</v>
      </c>
      <c r="B105">
        <v>2</v>
      </c>
      <c r="C105">
        <v>27</v>
      </c>
      <c r="D105" t="s">
        <v>4451</v>
      </c>
      <c r="E105">
        <v>1420</v>
      </c>
      <c r="F105" s="3"/>
      <c r="G105">
        <v>1</v>
      </c>
    </row>
    <row r="106" spans="1:13" x14ac:dyDescent="0.25">
      <c r="A106" t="s">
        <v>5057</v>
      </c>
      <c r="B106">
        <v>2</v>
      </c>
      <c r="C106">
        <v>27</v>
      </c>
      <c r="D106" t="s">
        <v>4451</v>
      </c>
      <c r="E106">
        <v>1412</v>
      </c>
      <c r="F106" s="3"/>
      <c r="G106" s="7" t="s">
        <v>4438</v>
      </c>
    </row>
    <row r="107" spans="1:13" x14ac:dyDescent="0.25">
      <c r="A107" t="s">
        <v>5057</v>
      </c>
      <c r="B107">
        <v>2</v>
      </c>
      <c r="C107">
        <v>27</v>
      </c>
      <c r="D107" t="s">
        <v>4451</v>
      </c>
      <c r="E107">
        <v>1413</v>
      </c>
      <c r="F107" s="3"/>
      <c r="G107">
        <v>3</v>
      </c>
    </row>
    <row r="108" spans="1:13" x14ac:dyDescent="0.25">
      <c r="A108" t="s">
        <v>5057</v>
      </c>
      <c r="B108">
        <v>2</v>
      </c>
      <c r="C108">
        <v>27</v>
      </c>
      <c r="D108" t="s">
        <v>4451</v>
      </c>
      <c r="E108">
        <v>1414</v>
      </c>
      <c r="F108" s="3"/>
      <c r="G108">
        <v>6</v>
      </c>
    </row>
    <row r="109" spans="1:13" x14ac:dyDescent="0.25">
      <c r="A109" t="s">
        <v>5057</v>
      </c>
      <c r="B109">
        <v>2</v>
      </c>
      <c r="C109">
        <v>27</v>
      </c>
      <c r="D109" t="s">
        <v>4451</v>
      </c>
      <c r="E109">
        <v>1418</v>
      </c>
      <c r="F109" s="3"/>
      <c r="G109" s="33">
        <v>9</v>
      </c>
    </row>
    <row r="110" spans="1:13" x14ac:dyDescent="0.25">
      <c r="A110" t="s">
        <v>5057</v>
      </c>
      <c r="B110">
        <v>2</v>
      </c>
      <c r="C110">
        <v>27</v>
      </c>
      <c r="D110" t="s">
        <v>4451</v>
      </c>
      <c r="E110">
        <v>14181</v>
      </c>
      <c r="F110" s="3"/>
      <c r="G110" s="33"/>
    </row>
    <row r="111" spans="1:13" x14ac:dyDescent="0.25">
      <c r="A111" t="s">
        <v>5057</v>
      </c>
      <c r="B111">
        <v>2</v>
      </c>
      <c r="C111">
        <v>27</v>
      </c>
      <c r="D111" t="s">
        <v>4451</v>
      </c>
      <c r="E111">
        <v>1415</v>
      </c>
      <c r="F111" s="3"/>
      <c r="G111" s="8">
        <v>64</v>
      </c>
      <c r="M111" t="s">
        <v>4462</v>
      </c>
    </row>
    <row r="112" spans="1:13" x14ac:dyDescent="0.25">
      <c r="A112" t="s">
        <v>5057</v>
      </c>
      <c r="B112">
        <v>2</v>
      </c>
      <c r="C112">
        <v>27</v>
      </c>
      <c r="D112" t="s">
        <v>4451</v>
      </c>
      <c r="E112">
        <v>1399</v>
      </c>
      <c r="F112" s="3"/>
      <c r="G112">
        <v>7</v>
      </c>
    </row>
    <row r="113" spans="1:13" x14ac:dyDescent="0.25">
      <c r="A113" t="s">
        <v>5057</v>
      </c>
      <c r="B113">
        <v>2</v>
      </c>
      <c r="C113">
        <v>27</v>
      </c>
      <c r="D113" t="s">
        <v>4451</v>
      </c>
      <c r="E113">
        <v>1404</v>
      </c>
      <c r="F113" s="3"/>
      <c r="G113">
        <v>6</v>
      </c>
    </row>
    <row r="114" spans="1:13" x14ac:dyDescent="0.25">
      <c r="A114" t="s">
        <v>5057</v>
      </c>
      <c r="B114">
        <v>2</v>
      </c>
      <c r="C114">
        <v>27</v>
      </c>
      <c r="D114" t="s">
        <v>4451</v>
      </c>
      <c r="E114">
        <v>1408</v>
      </c>
      <c r="F114" s="3"/>
      <c r="G114">
        <v>9</v>
      </c>
    </row>
    <row r="115" spans="1:13" x14ac:dyDescent="0.25">
      <c r="A115" t="s">
        <v>5057</v>
      </c>
      <c r="B115">
        <v>2</v>
      </c>
      <c r="C115">
        <v>27</v>
      </c>
      <c r="D115" t="s">
        <v>4451</v>
      </c>
      <c r="E115">
        <v>1407</v>
      </c>
      <c r="F115" s="3"/>
      <c r="G115">
        <v>20</v>
      </c>
    </row>
    <row r="116" spans="1:13" x14ac:dyDescent="0.25">
      <c r="A116" t="s">
        <v>5057</v>
      </c>
      <c r="B116">
        <v>2</v>
      </c>
      <c r="C116">
        <v>27</v>
      </c>
      <c r="D116" t="s">
        <v>4451</v>
      </c>
      <c r="E116">
        <v>1406</v>
      </c>
      <c r="F116" s="3"/>
      <c r="G116">
        <v>15</v>
      </c>
    </row>
    <row r="117" spans="1:13" x14ac:dyDescent="0.25">
      <c r="A117" t="s">
        <v>5057</v>
      </c>
      <c r="B117">
        <v>2</v>
      </c>
      <c r="C117">
        <v>27</v>
      </c>
    </row>
    <row r="118" spans="1:13" x14ac:dyDescent="0.25">
      <c r="A118" t="s">
        <v>5057</v>
      </c>
      <c r="B118">
        <v>2</v>
      </c>
      <c r="C118">
        <v>27</v>
      </c>
      <c r="D118" t="s">
        <v>4451</v>
      </c>
      <c r="E118" s="6" t="s">
        <v>4437</v>
      </c>
      <c r="F118" s="12"/>
      <c r="G118" s="33">
        <v>9</v>
      </c>
      <c r="M118" s="31" t="s">
        <v>4463</v>
      </c>
    </row>
    <row r="119" spans="1:13" x14ac:dyDescent="0.25">
      <c r="A119" t="s">
        <v>5057</v>
      </c>
      <c r="B119">
        <v>2</v>
      </c>
      <c r="C119">
        <v>27</v>
      </c>
      <c r="D119" t="s">
        <v>4451</v>
      </c>
      <c r="E119">
        <v>1403</v>
      </c>
      <c r="F119" s="12"/>
      <c r="G119" s="33"/>
      <c r="M119" s="31"/>
    </row>
    <row r="120" spans="1:13" x14ac:dyDescent="0.25">
      <c r="A120" t="s">
        <v>5057</v>
      </c>
      <c r="B120">
        <v>2</v>
      </c>
      <c r="C120">
        <v>27</v>
      </c>
      <c r="D120" t="s">
        <v>4451</v>
      </c>
      <c r="E120">
        <v>1478</v>
      </c>
      <c r="F120" s="3"/>
      <c r="G120">
        <v>4</v>
      </c>
    </row>
    <row r="121" spans="1:13" x14ac:dyDescent="0.25">
      <c r="A121" t="s">
        <v>5057</v>
      </c>
      <c r="B121">
        <v>2</v>
      </c>
      <c r="C121">
        <v>27</v>
      </c>
      <c r="D121" t="s">
        <v>4451</v>
      </c>
      <c r="E121">
        <v>1416</v>
      </c>
      <c r="F121" s="3"/>
      <c r="G121">
        <v>3</v>
      </c>
    </row>
    <row r="122" spans="1:13" x14ac:dyDescent="0.25">
      <c r="A122" t="s">
        <v>5057</v>
      </c>
      <c r="B122">
        <v>2</v>
      </c>
      <c r="C122">
        <v>27</v>
      </c>
      <c r="D122" t="s">
        <v>4451</v>
      </c>
      <c r="E122">
        <v>14180</v>
      </c>
      <c r="F122" s="3"/>
      <c r="G122">
        <v>3</v>
      </c>
    </row>
    <row r="123" spans="1:13" x14ac:dyDescent="0.25">
      <c r="A123" t="s">
        <v>5057</v>
      </c>
      <c r="B123">
        <v>2</v>
      </c>
      <c r="C123">
        <v>27</v>
      </c>
      <c r="D123" t="s">
        <v>4451</v>
      </c>
      <c r="E123">
        <v>1427</v>
      </c>
      <c r="F123" s="3"/>
      <c r="G123">
        <v>13</v>
      </c>
    </row>
    <row r="124" spans="1:13" x14ac:dyDescent="0.25">
      <c r="A124" t="s">
        <v>5057</v>
      </c>
      <c r="B124">
        <v>2</v>
      </c>
      <c r="C124">
        <v>27</v>
      </c>
      <c r="D124" t="s">
        <v>4451</v>
      </c>
      <c r="E124">
        <v>1419</v>
      </c>
      <c r="F124" s="3"/>
      <c r="G124">
        <v>1</v>
      </c>
    </row>
    <row r="125" spans="1:13" x14ac:dyDescent="0.25">
      <c r="A125" t="s">
        <v>5057</v>
      </c>
      <c r="B125">
        <v>2</v>
      </c>
      <c r="C125">
        <v>27</v>
      </c>
      <c r="D125" t="s">
        <v>4451</v>
      </c>
      <c r="E125">
        <v>1429</v>
      </c>
      <c r="F125" s="3"/>
      <c r="G125">
        <v>4</v>
      </c>
    </row>
    <row r="126" spans="1:13" x14ac:dyDescent="0.25">
      <c r="A126" t="s">
        <v>5057</v>
      </c>
      <c r="B126">
        <v>2</v>
      </c>
      <c r="C126">
        <v>27</v>
      </c>
      <c r="D126" t="s">
        <v>4451</v>
      </c>
      <c r="E126">
        <v>1410</v>
      </c>
      <c r="F126" s="3"/>
      <c r="G126">
        <v>44</v>
      </c>
    </row>
    <row r="127" spans="1:13" x14ac:dyDescent="0.25">
      <c r="A127" t="s">
        <v>5057</v>
      </c>
      <c r="B127">
        <v>2</v>
      </c>
      <c r="C127">
        <v>27</v>
      </c>
      <c r="D127" t="s">
        <v>4451</v>
      </c>
      <c r="E127">
        <v>1409</v>
      </c>
      <c r="F127" s="3"/>
      <c r="G127">
        <v>3</v>
      </c>
    </row>
    <row r="128" spans="1:13" x14ac:dyDescent="0.25">
      <c r="A128" t="s">
        <v>5057</v>
      </c>
      <c r="B128">
        <v>2</v>
      </c>
      <c r="C128">
        <v>27</v>
      </c>
      <c r="D128" t="s">
        <v>4451</v>
      </c>
      <c r="E128">
        <v>1425</v>
      </c>
      <c r="F128" s="3"/>
      <c r="G128">
        <v>16</v>
      </c>
    </row>
    <row r="129" spans="1:10" x14ac:dyDescent="0.25">
      <c r="A129" t="s">
        <v>5057</v>
      </c>
      <c r="B129">
        <v>2</v>
      </c>
      <c r="C129">
        <v>27</v>
      </c>
      <c r="D129" t="s">
        <v>4451</v>
      </c>
      <c r="E129">
        <v>1430</v>
      </c>
      <c r="F129" s="3"/>
      <c r="G129">
        <v>16</v>
      </c>
    </row>
    <row r="130" spans="1:10" x14ac:dyDescent="0.25">
      <c r="A130" t="s">
        <v>5057</v>
      </c>
      <c r="B130">
        <v>2</v>
      </c>
      <c r="C130">
        <v>27</v>
      </c>
      <c r="D130" t="s">
        <v>4450</v>
      </c>
      <c r="E130">
        <v>7006</v>
      </c>
      <c r="F130" s="3"/>
      <c r="I130" t="s">
        <v>4448</v>
      </c>
      <c r="J130">
        <v>18</v>
      </c>
    </row>
    <row r="131" spans="1:10" x14ac:dyDescent="0.25">
      <c r="A131" t="s">
        <v>5057</v>
      </c>
      <c r="B131">
        <v>2</v>
      </c>
      <c r="C131">
        <v>27</v>
      </c>
      <c r="D131" t="s">
        <v>4450</v>
      </c>
      <c r="E131">
        <v>7039</v>
      </c>
      <c r="F131" s="3"/>
      <c r="I131" t="s">
        <v>4449</v>
      </c>
      <c r="J131">
        <v>5</v>
      </c>
    </row>
  </sheetData>
  <mergeCells count="17">
    <mergeCell ref="G103:G104"/>
    <mergeCell ref="G109:G110"/>
    <mergeCell ref="G118:G119"/>
    <mergeCell ref="M118:M119"/>
    <mergeCell ref="D53:J53"/>
    <mergeCell ref="K53:K54"/>
    <mergeCell ref="M53:M54"/>
    <mergeCell ref="D97:J97"/>
    <mergeCell ref="K97:K98"/>
    <mergeCell ref="M97:M98"/>
    <mergeCell ref="D1:L1"/>
    <mergeCell ref="D2:J2"/>
    <mergeCell ref="K2:K3"/>
    <mergeCell ref="M2:M3"/>
    <mergeCell ref="D23:J23"/>
    <mergeCell ref="K23:K24"/>
    <mergeCell ref="M23:M24"/>
  </mergeCell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2121D-9023-46DD-BE3D-AE5E15949CC2}">
  <dimension ref="A1:M232"/>
  <sheetViews>
    <sheetView workbookViewId="0"/>
  </sheetViews>
  <sheetFormatPr defaultColWidth="11.42578125" defaultRowHeight="15" x14ac:dyDescent="0.25"/>
  <cols>
    <col min="4" max="4" width="12.5703125" customWidth="1"/>
    <col min="5" max="5" width="10.85546875" customWidth="1"/>
    <col min="6" max="6" width="43.140625" customWidth="1"/>
    <col min="13" max="13" width="28.5703125" customWidth="1"/>
  </cols>
  <sheetData>
    <row r="1" spans="1:13" ht="30" customHeight="1" x14ac:dyDescent="0.4">
      <c r="D1" s="45" t="s">
        <v>4559</v>
      </c>
      <c r="E1" s="45"/>
      <c r="F1" s="45"/>
      <c r="G1" s="45"/>
      <c r="H1" s="45"/>
      <c r="I1" s="45"/>
      <c r="J1" s="45"/>
      <c r="K1" s="45"/>
    </row>
    <row r="2" spans="1:13" ht="24" x14ac:dyDescent="0.4">
      <c r="D2" s="42" t="s">
        <v>4560</v>
      </c>
      <c r="E2" s="42"/>
      <c r="F2" s="42"/>
      <c r="G2" s="42"/>
      <c r="H2" s="42"/>
      <c r="I2" s="42"/>
      <c r="J2" s="42"/>
      <c r="K2" s="43" t="s">
        <v>4459</v>
      </c>
      <c r="L2" s="13" t="s">
        <v>4432</v>
      </c>
      <c r="M2" s="44" t="s">
        <v>4460</v>
      </c>
    </row>
    <row r="3" spans="1:13" ht="18.75" x14ac:dyDescent="0.3">
      <c r="D3" s="11" t="s">
        <v>4445</v>
      </c>
      <c r="E3" s="11" t="s">
        <v>4433</v>
      </c>
      <c r="F3" s="11" t="s">
        <v>4434</v>
      </c>
      <c r="G3" s="11" t="s">
        <v>4435</v>
      </c>
      <c r="H3" s="11" t="s">
        <v>4436</v>
      </c>
      <c r="I3" s="11" t="s">
        <v>4444</v>
      </c>
      <c r="J3" s="11" t="s">
        <v>4436</v>
      </c>
      <c r="K3" s="43"/>
      <c r="L3" s="11" t="s">
        <v>4447</v>
      </c>
      <c r="M3" s="44"/>
    </row>
    <row r="4" spans="1:13" x14ac:dyDescent="0.25">
      <c r="A4" t="s">
        <v>5057</v>
      </c>
      <c r="B4">
        <v>3</v>
      </c>
      <c r="C4">
        <v>1</v>
      </c>
      <c r="D4" t="s">
        <v>4561</v>
      </c>
      <c r="E4">
        <v>1236</v>
      </c>
      <c r="F4" s="3"/>
      <c r="G4">
        <v>6</v>
      </c>
    </row>
    <row r="5" spans="1:13" x14ac:dyDescent="0.25">
      <c r="A5" t="s">
        <v>5057</v>
      </c>
      <c r="B5">
        <v>3</v>
      </c>
      <c r="C5">
        <v>1</v>
      </c>
      <c r="D5" t="s">
        <v>4561</v>
      </c>
      <c r="E5">
        <v>1196</v>
      </c>
      <c r="F5" s="3"/>
      <c r="G5">
        <v>11</v>
      </c>
    </row>
    <row r="6" spans="1:13" x14ac:dyDescent="0.25">
      <c r="A6" t="s">
        <v>5057</v>
      </c>
      <c r="B6">
        <v>3</v>
      </c>
      <c r="C6">
        <v>1</v>
      </c>
      <c r="D6" t="s">
        <v>4561</v>
      </c>
      <c r="E6">
        <v>7158</v>
      </c>
      <c r="F6" s="3"/>
      <c r="G6">
        <v>17</v>
      </c>
      <c r="L6">
        <v>24</v>
      </c>
    </row>
    <row r="7" spans="1:13" x14ac:dyDescent="0.25">
      <c r="A7" t="s">
        <v>5057</v>
      </c>
      <c r="B7">
        <v>3</v>
      </c>
      <c r="C7">
        <v>1</v>
      </c>
      <c r="D7" t="s">
        <v>4561</v>
      </c>
      <c r="E7">
        <v>3252</v>
      </c>
      <c r="F7" s="3"/>
      <c r="G7" s="7" t="s">
        <v>4562</v>
      </c>
      <c r="H7">
        <v>4</v>
      </c>
    </row>
    <row r="8" spans="1:13" x14ac:dyDescent="0.25">
      <c r="A8" t="s">
        <v>5057</v>
      </c>
      <c r="B8">
        <v>3</v>
      </c>
      <c r="C8">
        <v>1</v>
      </c>
      <c r="D8" t="s">
        <v>4561</v>
      </c>
      <c r="E8">
        <v>493</v>
      </c>
      <c r="F8" s="3"/>
      <c r="G8">
        <v>184</v>
      </c>
    </row>
    <row r="9" spans="1:13" x14ac:dyDescent="0.25">
      <c r="A9" t="s">
        <v>5057</v>
      </c>
      <c r="B9">
        <v>3</v>
      </c>
      <c r="C9">
        <v>1</v>
      </c>
      <c r="D9" t="s">
        <v>4561</v>
      </c>
      <c r="E9">
        <v>15141</v>
      </c>
      <c r="F9" s="3"/>
      <c r="G9">
        <v>4</v>
      </c>
    </row>
    <row r="10" spans="1:13" x14ac:dyDescent="0.25">
      <c r="A10" t="s">
        <v>5057</v>
      </c>
      <c r="B10">
        <v>3</v>
      </c>
      <c r="C10">
        <v>1</v>
      </c>
      <c r="D10" t="s">
        <v>4561</v>
      </c>
      <c r="E10">
        <v>7163</v>
      </c>
      <c r="F10" s="3"/>
      <c r="G10">
        <v>405</v>
      </c>
    </row>
    <row r="11" spans="1:13" x14ac:dyDescent="0.25">
      <c r="A11" t="s">
        <v>5057</v>
      </c>
      <c r="B11">
        <v>3</v>
      </c>
      <c r="C11">
        <v>1</v>
      </c>
      <c r="D11" t="s">
        <v>4561</v>
      </c>
      <c r="E11">
        <v>7164</v>
      </c>
      <c r="F11" s="3"/>
      <c r="G11">
        <v>31</v>
      </c>
    </row>
    <row r="12" spans="1:13" x14ac:dyDescent="0.25">
      <c r="A12" t="s">
        <v>5057</v>
      </c>
      <c r="B12">
        <v>3</v>
      </c>
      <c r="C12">
        <v>1</v>
      </c>
      <c r="D12" t="s">
        <v>4561</v>
      </c>
      <c r="E12">
        <v>7165</v>
      </c>
      <c r="F12" s="3"/>
      <c r="G12">
        <v>31</v>
      </c>
    </row>
    <row r="13" spans="1:13" x14ac:dyDescent="0.25">
      <c r="A13" t="s">
        <v>5057</v>
      </c>
      <c r="B13">
        <v>3</v>
      </c>
      <c r="C13">
        <v>1</v>
      </c>
      <c r="D13" t="s">
        <v>4561</v>
      </c>
      <c r="E13">
        <v>7160</v>
      </c>
      <c r="F13" s="3"/>
      <c r="G13">
        <v>17</v>
      </c>
    </row>
    <row r="14" spans="1:13" x14ac:dyDescent="0.25">
      <c r="A14" t="s">
        <v>5057</v>
      </c>
      <c r="B14">
        <v>3</v>
      </c>
      <c r="C14">
        <v>1</v>
      </c>
      <c r="D14" t="s">
        <v>4561</v>
      </c>
      <c r="E14">
        <v>7166</v>
      </c>
      <c r="F14" s="3"/>
      <c r="G14">
        <v>9</v>
      </c>
    </row>
    <row r="15" spans="1:13" x14ac:dyDescent="0.25">
      <c r="A15" t="s">
        <v>5057</v>
      </c>
      <c r="B15">
        <v>3</v>
      </c>
      <c r="C15">
        <v>1</v>
      </c>
      <c r="D15" t="s">
        <v>4561</v>
      </c>
      <c r="E15">
        <v>7173</v>
      </c>
      <c r="F15" s="3"/>
      <c r="G15">
        <v>15</v>
      </c>
    </row>
    <row r="16" spans="1:13" x14ac:dyDescent="0.25">
      <c r="A16" t="s">
        <v>5057</v>
      </c>
      <c r="B16">
        <v>3</v>
      </c>
      <c r="C16">
        <v>1</v>
      </c>
      <c r="D16" t="s">
        <v>4561</v>
      </c>
      <c r="E16" s="6" t="s">
        <v>4563</v>
      </c>
      <c r="F16" s="3"/>
      <c r="G16" s="7" t="s">
        <v>4564</v>
      </c>
      <c r="H16">
        <v>44</v>
      </c>
    </row>
    <row r="19" spans="1:13" ht="24" x14ac:dyDescent="0.4">
      <c r="D19" s="42" t="s">
        <v>4565</v>
      </c>
      <c r="E19" s="42"/>
      <c r="F19" s="42"/>
      <c r="G19" s="42"/>
      <c r="H19" s="42"/>
      <c r="I19" s="42"/>
      <c r="J19" s="42"/>
      <c r="K19" s="43" t="s">
        <v>4459</v>
      </c>
      <c r="L19" s="13" t="s">
        <v>4432</v>
      </c>
      <c r="M19" s="44" t="s">
        <v>4460</v>
      </c>
    </row>
    <row r="20" spans="1:13" ht="18.75" x14ac:dyDescent="0.3">
      <c r="D20" s="11" t="s">
        <v>4445</v>
      </c>
      <c r="E20" s="11" t="s">
        <v>4433</v>
      </c>
      <c r="F20" s="11" t="s">
        <v>4434</v>
      </c>
      <c r="G20" s="11" t="s">
        <v>4435</v>
      </c>
      <c r="H20" s="11" t="s">
        <v>4436</v>
      </c>
      <c r="I20" s="11" t="s">
        <v>4444</v>
      </c>
      <c r="J20" s="11" t="s">
        <v>4436</v>
      </c>
      <c r="K20" s="43"/>
      <c r="L20" s="11" t="s">
        <v>4447</v>
      </c>
      <c r="M20" s="44"/>
    </row>
    <row r="21" spans="1:13" x14ac:dyDescent="0.25">
      <c r="A21" t="s">
        <v>5057</v>
      </c>
      <c r="B21">
        <v>3</v>
      </c>
      <c r="C21">
        <v>2</v>
      </c>
      <c r="D21" t="s">
        <v>4561</v>
      </c>
      <c r="E21">
        <v>1223</v>
      </c>
      <c r="F21" s="3"/>
      <c r="G21" t="s">
        <v>4566</v>
      </c>
    </row>
    <row r="22" spans="1:13" x14ac:dyDescent="0.25">
      <c r="A22" t="s">
        <v>5057</v>
      </c>
      <c r="B22">
        <v>3</v>
      </c>
      <c r="C22">
        <v>2</v>
      </c>
      <c r="D22" t="s">
        <v>4561</v>
      </c>
      <c r="E22">
        <v>7071</v>
      </c>
      <c r="F22" s="3"/>
      <c r="G22">
        <v>5</v>
      </c>
    </row>
    <row r="23" spans="1:13" x14ac:dyDescent="0.25">
      <c r="A23" t="s">
        <v>5057</v>
      </c>
      <c r="B23">
        <v>3</v>
      </c>
      <c r="C23">
        <v>2</v>
      </c>
      <c r="D23" t="s">
        <v>4561</v>
      </c>
      <c r="E23">
        <v>7080</v>
      </c>
      <c r="F23" s="3"/>
      <c r="G23">
        <v>22</v>
      </c>
    </row>
    <row r="24" spans="1:13" x14ac:dyDescent="0.25">
      <c r="A24" t="s">
        <v>5057</v>
      </c>
      <c r="B24">
        <v>3</v>
      </c>
      <c r="C24">
        <v>2</v>
      </c>
      <c r="D24" t="s">
        <v>4561</v>
      </c>
      <c r="E24">
        <v>7072</v>
      </c>
      <c r="F24" s="3"/>
      <c r="G24">
        <v>14</v>
      </c>
    </row>
    <row r="25" spans="1:13" x14ac:dyDescent="0.25">
      <c r="A25" t="s">
        <v>5057</v>
      </c>
      <c r="B25">
        <v>3</v>
      </c>
      <c r="C25">
        <v>2</v>
      </c>
      <c r="D25" t="s">
        <v>4567</v>
      </c>
      <c r="E25">
        <v>7081</v>
      </c>
      <c r="F25" s="3"/>
      <c r="G25">
        <v>6</v>
      </c>
    </row>
    <row r="26" spans="1:13" x14ac:dyDescent="0.25">
      <c r="A26" t="s">
        <v>5057</v>
      </c>
      <c r="B26">
        <v>3</v>
      </c>
      <c r="C26">
        <v>2</v>
      </c>
      <c r="D26" t="s">
        <v>4567</v>
      </c>
      <c r="E26">
        <v>7070</v>
      </c>
      <c r="F26" s="3"/>
      <c r="H26">
        <v>29</v>
      </c>
    </row>
    <row r="27" spans="1:13" x14ac:dyDescent="0.25">
      <c r="A27" t="s">
        <v>5057</v>
      </c>
      <c r="B27">
        <v>3</v>
      </c>
      <c r="C27">
        <v>2</v>
      </c>
      <c r="D27" t="s">
        <v>4567</v>
      </c>
      <c r="E27">
        <v>7079</v>
      </c>
      <c r="F27" s="3"/>
      <c r="G27" t="s">
        <v>4569</v>
      </c>
    </row>
    <row r="28" spans="1:13" x14ac:dyDescent="0.25">
      <c r="A28" t="s">
        <v>5057</v>
      </c>
      <c r="B28">
        <v>3</v>
      </c>
      <c r="C28">
        <v>2</v>
      </c>
      <c r="D28" t="s">
        <v>4567</v>
      </c>
      <c r="E28">
        <v>7073</v>
      </c>
      <c r="F28" s="3"/>
      <c r="G28" t="s">
        <v>4570</v>
      </c>
    </row>
    <row r="29" spans="1:13" x14ac:dyDescent="0.25">
      <c r="A29" t="s">
        <v>5057</v>
      </c>
      <c r="B29">
        <v>3</v>
      </c>
      <c r="C29">
        <v>2</v>
      </c>
      <c r="D29" t="s">
        <v>4567</v>
      </c>
      <c r="E29">
        <v>1161</v>
      </c>
      <c r="F29" s="3"/>
      <c r="G29">
        <v>42</v>
      </c>
    </row>
    <row r="30" spans="1:13" x14ac:dyDescent="0.25">
      <c r="A30" t="s">
        <v>5057</v>
      </c>
      <c r="B30">
        <v>3</v>
      </c>
      <c r="C30">
        <v>2</v>
      </c>
      <c r="D30" t="s">
        <v>4567</v>
      </c>
      <c r="E30">
        <v>7083</v>
      </c>
      <c r="F30" s="3"/>
      <c r="G30">
        <v>22</v>
      </c>
    </row>
    <row r="31" spans="1:13" x14ac:dyDescent="0.25">
      <c r="A31" t="s">
        <v>5057</v>
      </c>
      <c r="B31">
        <v>3</v>
      </c>
      <c r="C31">
        <v>2</v>
      </c>
      <c r="D31" t="s">
        <v>4567</v>
      </c>
      <c r="E31">
        <v>1216</v>
      </c>
      <c r="F31" s="3"/>
      <c r="G31">
        <v>93</v>
      </c>
    </row>
    <row r="32" spans="1:13" x14ac:dyDescent="0.25">
      <c r="A32" t="s">
        <v>5057</v>
      </c>
      <c r="B32">
        <v>3</v>
      </c>
      <c r="C32">
        <v>2</v>
      </c>
      <c r="D32" t="s">
        <v>4567</v>
      </c>
      <c r="E32">
        <v>7177</v>
      </c>
      <c r="F32" s="3"/>
      <c r="G32">
        <v>7</v>
      </c>
    </row>
    <row r="33" spans="1:13" x14ac:dyDescent="0.25">
      <c r="A33" t="s">
        <v>5057</v>
      </c>
      <c r="B33">
        <v>3</v>
      </c>
      <c r="C33">
        <v>2</v>
      </c>
      <c r="D33" t="s">
        <v>4567</v>
      </c>
      <c r="E33">
        <v>1218</v>
      </c>
      <c r="F33" s="3"/>
      <c r="G33">
        <v>7</v>
      </c>
    </row>
    <row r="34" spans="1:13" x14ac:dyDescent="0.25">
      <c r="A34" t="s">
        <v>5057</v>
      </c>
      <c r="B34">
        <v>3</v>
      </c>
      <c r="C34">
        <v>2</v>
      </c>
      <c r="D34" t="s">
        <v>4567</v>
      </c>
      <c r="E34">
        <v>3119</v>
      </c>
      <c r="F34" s="3"/>
      <c r="G34">
        <v>21</v>
      </c>
    </row>
    <row r="35" spans="1:13" x14ac:dyDescent="0.25">
      <c r="A35" t="s">
        <v>5057</v>
      </c>
      <c r="B35">
        <v>3</v>
      </c>
      <c r="C35">
        <v>2</v>
      </c>
      <c r="D35" t="s">
        <v>4567</v>
      </c>
      <c r="E35">
        <v>1237</v>
      </c>
      <c r="F35" s="3"/>
      <c r="G35" t="s">
        <v>4571</v>
      </c>
    </row>
    <row r="36" spans="1:13" x14ac:dyDescent="0.25">
      <c r="A36" t="s">
        <v>5057</v>
      </c>
      <c r="B36">
        <v>3</v>
      </c>
      <c r="C36">
        <v>2</v>
      </c>
      <c r="D36" t="s">
        <v>4567</v>
      </c>
      <c r="E36">
        <v>1242</v>
      </c>
      <c r="F36" s="3"/>
      <c r="G36">
        <v>4</v>
      </c>
    </row>
    <row r="37" spans="1:13" x14ac:dyDescent="0.25">
      <c r="A37" t="s">
        <v>5057</v>
      </c>
      <c r="B37">
        <v>3</v>
      </c>
      <c r="C37">
        <v>2</v>
      </c>
      <c r="D37" t="s">
        <v>4567</v>
      </c>
      <c r="E37">
        <v>1593</v>
      </c>
      <c r="F37" s="3"/>
      <c r="M37" t="s">
        <v>4572</v>
      </c>
    </row>
    <row r="38" spans="1:13" x14ac:dyDescent="0.25">
      <c r="A38" t="s">
        <v>5057</v>
      </c>
      <c r="B38">
        <v>3</v>
      </c>
      <c r="C38">
        <v>2</v>
      </c>
      <c r="D38" t="s">
        <v>4567</v>
      </c>
      <c r="E38">
        <v>7084</v>
      </c>
      <c r="F38" s="3"/>
      <c r="G38">
        <v>100</v>
      </c>
    </row>
    <row r="39" spans="1:13" x14ac:dyDescent="0.25">
      <c r="A39" t="s">
        <v>5057</v>
      </c>
      <c r="B39">
        <v>3</v>
      </c>
      <c r="C39">
        <v>2</v>
      </c>
      <c r="D39" t="s">
        <v>4567</v>
      </c>
      <c r="E39">
        <v>7076</v>
      </c>
      <c r="F39" s="3"/>
      <c r="G39">
        <v>33</v>
      </c>
    </row>
    <row r="40" spans="1:13" x14ac:dyDescent="0.25">
      <c r="A40" t="s">
        <v>5057</v>
      </c>
      <c r="B40">
        <v>3</v>
      </c>
      <c r="C40">
        <v>2</v>
      </c>
      <c r="D40" t="s">
        <v>4567</v>
      </c>
      <c r="E40">
        <v>7077</v>
      </c>
      <c r="F40" s="3"/>
      <c r="G40" t="s">
        <v>4573</v>
      </c>
    </row>
    <row r="41" spans="1:13" x14ac:dyDescent="0.25">
      <c r="A41" t="s">
        <v>5057</v>
      </c>
      <c r="B41">
        <v>3</v>
      </c>
      <c r="C41">
        <v>2</v>
      </c>
      <c r="D41" t="s">
        <v>4567</v>
      </c>
      <c r="E41">
        <v>7078</v>
      </c>
      <c r="F41" s="3"/>
      <c r="G41" t="s">
        <v>4574</v>
      </c>
    </row>
    <row r="42" spans="1:13" x14ac:dyDescent="0.25">
      <c r="A42" t="s">
        <v>5057</v>
      </c>
      <c r="B42">
        <v>3</v>
      </c>
      <c r="C42">
        <v>2</v>
      </c>
      <c r="D42" t="s">
        <v>4567</v>
      </c>
      <c r="E42">
        <v>1223</v>
      </c>
      <c r="F42" s="3"/>
      <c r="G42">
        <v>7</v>
      </c>
    </row>
    <row r="43" spans="1:13" x14ac:dyDescent="0.25">
      <c r="A43" t="s">
        <v>5057</v>
      </c>
      <c r="B43">
        <v>3</v>
      </c>
      <c r="C43">
        <v>2</v>
      </c>
      <c r="D43" t="s">
        <v>4567</v>
      </c>
      <c r="E43" s="6" t="s">
        <v>4568</v>
      </c>
      <c r="F43" s="3"/>
      <c r="G43">
        <v>12</v>
      </c>
    </row>
    <row r="44" spans="1:13" x14ac:dyDescent="0.25">
      <c r="A44" t="s">
        <v>5057</v>
      </c>
      <c r="B44">
        <v>3</v>
      </c>
      <c r="C44">
        <v>2</v>
      </c>
      <c r="D44" t="s">
        <v>4567</v>
      </c>
      <c r="E44">
        <v>7079</v>
      </c>
      <c r="F44" s="3"/>
      <c r="G44">
        <v>2</v>
      </c>
    </row>
    <row r="45" spans="1:13" x14ac:dyDescent="0.25">
      <c r="A45" t="s">
        <v>5057</v>
      </c>
      <c r="B45">
        <v>3</v>
      </c>
      <c r="C45">
        <v>2</v>
      </c>
      <c r="D45" t="s">
        <v>4567</v>
      </c>
      <c r="E45" s="21" t="s">
        <v>4575</v>
      </c>
      <c r="F45" s="3"/>
      <c r="G45" t="s">
        <v>4577</v>
      </c>
    </row>
    <row r="46" spans="1:13" x14ac:dyDescent="0.25">
      <c r="A46" t="s">
        <v>5057</v>
      </c>
      <c r="B46">
        <v>3</v>
      </c>
      <c r="C46">
        <v>2</v>
      </c>
      <c r="D46" t="s">
        <v>4567</v>
      </c>
      <c r="E46" s="21" t="s">
        <v>4576</v>
      </c>
      <c r="F46" s="3"/>
      <c r="G46" t="s">
        <v>4578</v>
      </c>
    </row>
    <row r="47" spans="1:13" x14ac:dyDescent="0.25">
      <c r="A47" t="s">
        <v>5057</v>
      </c>
      <c r="B47">
        <v>3</v>
      </c>
      <c r="C47">
        <v>2</v>
      </c>
      <c r="D47" t="s">
        <v>4567</v>
      </c>
      <c r="E47">
        <v>7082</v>
      </c>
      <c r="F47" s="3"/>
      <c r="G47" t="s">
        <v>4579</v>
      </c>
    </row>
    <row r="48" spans="1:13" x14ac:dyDescent="0.25">
      <c r="A48" t="s">
        <v>5057</v>
      </c>
      <c r="B48">
        <v>3</v>
      </c>
      <c r="C48">
        <v>2</v>
      </c>
      <c r="D48" t="s">
        <v>4567</v>
      </c>
      <c r="E48">
        <v>3292</v>
      </c>
      <c r="F48" s="3"/>
      <c r="M48" t="s">
        <v>4580</v>
      </c>
    </row>
    <row r="49" spans="1:13" x14ac:dyDescent="0.25">
      <c r="A49" t="s">
        <v>5057</v>
      </c>
      <c r="B49">
        <v>3</v>
      </c>
      <c r="C49">
        <v>2</v>
      </c>
      <c r="D49" t="s">
        <v>4567</v>
      </c>
      <c r="E49">
        <v>3293</v>
      </c>
      <c r="F49" s="3"/>
      <c r="G49" t="s">
        <v>4449</v>
      </c>
    </row>
    <row r="50" spans="1:13" x14ac:dyDescent="0.25">
      <c r="A50" t="s">
        <v>5057</v>
      </c>
      <c r="B50">
        <v>3</v>
      </c>
      <c r="C50">
        <v>2</v>
      </c>
      <c r="D50" t="s">
        <v>4567</v>
      </c>
      <c r="E50">
        <v>1157</v>
      </c>
      <c r="F50" s="3"/>
      <c r="H50">
        <v>8</v>
      </c>
    </row>
    <row r="51" spans="1:13" x14ac:dyDescent="0.25">
      <c r="A51" t="s">
        <v>5057</v>
      </c>
      <c r="B51">
        <v>3</v>
      </c>
      <c r="C51">
        <v>2</v>
      </c>
      <c r="D51" t="s">
        <v>4567</v>
      </c>
      <c r="E51">
        <v>1158</v>
      </c>
      <c r="F51" s="3"/>
      <c r="G51" t="s">
        <v>4581</v>
      </c>
      <c r="H51">
        <v>1</v>
      </c>
    </row>
    <row r="52" spans="1:13" x14ac:dyDescent="0.25">
      <c r="A52" t="s">
        <v>5057</v>
      </c>
      <c r="B52">
        <v>3</v>
      </c>
      <c r="C52">
        <v>2</v>
      </c>
      <c r="D52" t="s">
        <v>4567</v>
      </c>
      <c r="E52">
        <v>1159</v>
      </c>
      <c r="F52" s="3"/>
      <c r="G52" t="s">
        <v>4582</v>
      </c>
      <c r="H52">
        <v>2</v>
      </c>
    </row>
    <row r="53" spans="1:13" x14ac:dyDescent="0.25">
      <c r="A53" t="s">
        <v>5057</v>
      </c>
      <c r="B53">
        <v>3</v>
      </c>
      <c r="C53">
        <v>2</v>
      </c>
      <c r="D53" t="s">
        <v>4567</v>
      </c>
      <c r="E53">
        <v>33210</v>
      </c>
      <c r="F53" s="3"/>
      <c r="G53" t="s">
        <v>4583</v>
      </c>
    </row>
    <row r="54" spans="1:13" x14ac:dyDescent="0.25">
      <c r="A54" t="s">
        <v>5057</v>
      </c>
      <c r="B54">
        <v>3</v>
      </c>
      <c r="C54">
        <v>2</v>
      </c>
      <c r="D54" t="s">
        <v>4567</v>
      </c>
      <c r="E54">
        <v>1651</v>
      </c>
      <c r="F54" s="3"/>
      <c r="G54">
        <v>8</v>
      </c>
    </row>
    <row r="55" spans="1:13" x14ac:dyDescent="0.25">
      <c r="A55" t="s">
        <v>5057</v>
      </c>
      <c r="B55">
        <v>3</v>
      </c>
      <c r="C55">
        <v>2</v>
      </c>
      <c r="D55" t="s">
        <v>4567</v>
      </c>
      <c r="E55">
        <v>16510</v>
      </c>
      <c r="F55" s="3"/>
      <c r="G55">
        <v>9</v>
      </c>
    </row>
    <row r="57" spans="1:13" ht="24" x14ac:dyDescent="0.4">
      <c r="D57" s="42" t="s">
        <v>4584</v>
      </c>
      <c r="E57" s="42"/>
      <c r="F57" s="42"/>
      <c r="G57" s="42"/>
      <c r="H57" s="42"/>
      <c r="I57" s="42"/>
      <c r="J57" s="42"/>
      <c r="K57" s="43" t="s">
        <v>4459</v>
      </c>
      <c r="L57" s="13" t="s">
        <v>4432</v>
      </c>
      <c r="M57" s="44" t="s">
        <v>4460</v>
      </c>
    </row>
    <row r="58" spans="1:13" ht="18.75" x14ac:dyDescent="0.3">
      <c r="D58" s="11" t="s">
        <v>4445</v>
      </c>
      <c r="E58" s="11" t="s">
        <v>4433</v>
      </c>
      <c r="F58" s="11" t="s">
        <v>4434</v>
      </c>
      <c r="G58" s="11" t="s">
        <v>4435</v>
      </c>
      <c r="H58" s="11" t="s">
        <v>4436</v>
      </c>
      <c r="I58" s="11" t="s">
        <v>4444</v>
      </c>
      <c r="J58" s="11" t="s">
        <v>4436</v>
      </c>
      <c r="K58" s="43"/>
      <c r="L58" s="11" t="s">
        <v>4447</v>
      </c>
      <c r="M58" s="44"/>
    </row>
    <row r="59" spans="1:13" x14ac:dyDescent="0.25">
      <c r="A59" t="s">
        <v>5057</v>
      </c>
      <c r="B59">
        <v>3</v>
      </c>
      <c r="C59">
        <v>37</v>
      </c>
      <c r="D59" s="22">
        <v>46055</v>
      </c>
      <c r="E59" s="21" t="s">
        <v>4585</v>
      </c>
      <c r="F59" s="3"/>
      <c r="G59" t="s">
        <v>4586</v>
      </c>
      <c r="H59">
        <v>35</v>
      </c>
    </row>
    <row r="60" spans="1:13" x14ac:dyDescent="0.25">
      <c r="A60" t="s">
        <v>5057</v>
      </c>
      <c r="B60">
        <v>3</v>
      </c>
      <c r="C60">
        <v>37</v>
      </c>
      <c r="D60" s="22">
        <v>46055</v>
      </c>
      <c r="E60" s="21" t="s">
        <v>4587</v>
      </c>
      <c r="F60" s="3"/>
      <c r="G60" t="s">
        <v>4588</v>
      </c>
      <c r="H60" t="s">
        <v>4589</v>
      </c>
    </row>
    <row r="61" spans="1:13" x14ac:dyDescent="0.25">
      <c r="A61" t="s">
        <v>5057</v>
      </c>
      <c r="B61">
        <v>3</v>
      </c>
      <c r="C61">
        <v>37</v>
      </c>
      <c r="D61" s="22">
        <v>46055</v>
      </c>
      <c r="E61" s="21" t="s">
        <v>4590</v>
      </c>
      <c r="F61" s="3"/>
      <c r="G61" t="s">
        <v>4591</v>
      </c>
      <c r="H61">
        <v>39</v>
      </c>
    </row>
    <row r="63" spans="1:13" ht="24" x14ac:dyDescent="0.4">
      <c r="D63" s="42" t="s">
        <v>4592</v>
      </c>
      <c r="E63" s="42"/>
      <c r="F63" s="42"/>
      <c r="G63" s="42"/>
      <c r="H63" s="42"/>
      <c r="I63" s="42"/>
      <c r="J63" s="42"/>
      <c r="K63" s="43" t="s">
        <v>4459</v>
      </c>
      <c r="L63" s="13" t="s">
        <v>4432</v>
      </c>
      <c r="M63" s="44" t="s">
        <v>4460</v>
      </c>
    </row>
    <row r="64" spans="1:13" ht="18.75" x14ac:dyDescent="0.3">
      <c r="D64" s="11" t="s">
        <v>4445</v>
      </c>
      <c r="E64" s="11" t="s">
        <v>4433</v>
      </c>
      <c r="F64" s="11" t="s">
        <v>4434</v>
      </c>
      <c r="G64" s="11" t="s">
        <v>4435</v>
      </c>
      <c r="H64" s="11" t="s">
        <v>4436</v>
      </c>
      <c r="I64" s="11" t="s">
        <v>4444</v>
      </c>
      <c r="J64" s="11" t="s">
        <v>4436</v>
      </c>
      <c r="K64" s="43"/>
      <c r="L64" s="11" t="s">
        <v>4447</v>
      </c>
      <c r="M64" s="44"/>
    </row>
    <row r="65" spans="1:13" x14ac:dyDescent="0.25">
      <c r="A65" t="s">
        <v>5057</v>
      </c>
      <c r="B65">
        <v>3</v>
      </c>
      <c r="C65">
        <v>38</v>
      </c>
      <c r="D65" s="22">
        <v>46055</v>
      </c>
      <c r="E65" s="21" t="s">
        <v>4593</v>
      </c>
      <c r="F65" s="3"/>
      <c r="G65" t="s">
        <v>4594</v>
      </c>
    </row>
    <row r="66" spans="1:13" x14ac:dyDescent="0.25">
      <c r="A66" t="s">
        <v>5057</v>
      </c>
      <c r="B66">
        <v>3</v>
      </c>
      <c r="C66">
        <v>38</v>
      </c>
      <c r="D66" s="22">
        <v>46055</v>
      </c>
      <c r="E66">
        <v>7181</v>
      </c>
      <c r="F66" s="3"/>
      <c r="G66" t="s">
        <v>4588</v>
      </c>
      <c r="H66">
        <v>3</v>
      </c>
    </row>
    <row r="67" spans="1:13" x14ac:dyDescent="0.25">
      <c r="A67" t="s">
        <v>5057</v>
      </c>
      <c r="B67">
        <v>3</v>
      </c>
      <c r="C67">
        <v>38</v>
      </c>
      <c r="D67" s="22">
        <v>46055</v>
      </c>
      <c r="E67">
        <v>7180</v>
      </c>
      <c r="F67" s="3"/>
      <c r="H67">
        <v>11</v>
      </c>
    </row>
    <row r="68" spans="1:13" x14ac:dyDescent="0.25">
      <c r="A68" t="s">
        <v>5057</v>
      </c>
      <c r="B68">
        <v>3</v>
      </c>
      <c r="C68">
        <v>38</v>
      </c>
      <c r="D68" s="22">
        <v>46055</v>
      </c>
      <c r="E68">
        <v>7179</v>
      </c>
      <c r="F68" s="3"/>
      <c r="H68">
        <v>13</v>
      </c>
    </row>
    <row r="69" spans="1:13" x14ac:dyDescent="0.25">
      <c r="A69" t="s">
        <v>5057</v>
      </c>
      <c r="B69">
        <v>3</v>
      </c>
      <c r="C69">
        <v>38</v>
      </c>
      <c r="D69" s="22">
        <v>46055</v>
      </c>
      <c r="E69">
        <v>3291</v>
      </c>
      <c r="F69" s="3"/>
      <c r="G69" s="8" t="s">
        <v>4595</v>
      </c>
      <c r="H69" t="s">
        <v>4596</v>
      </c>
      <c r="M69" t="s">
        <v>4606</v>
      </c>
    </row>
    <row r="70" spans="1:13" x14ac:dyDescent="0.25">
      <c r="A70" t="s">
        <v>5057</v>
      </c>
      <c r="B70">
        <v>3</v>
      </c>
      <c r="C70">
        <v>38</v>
      </c>
      <c r="D70" s="22">
        <v>46055</v>
      </c>
      <c r="E70">
        <v>3290</v>
      </c>
      <c r="F70" s="3"/>
      <c r="G70" s="8" t="s">
        <v>4597</v>
      </c>
      <c r="H70" t="s">
        <v>4598</v>
      </c>
      <c r="M70" t="s">
        <v>4607</v>
      </c>
    </row>
    <row r="71" spans="1:13" x14ac:dyDescent="0.25">
      <c r="A71" t="s">
        <v>5057</v>
      </c>
      <c r="B71">
        <v>3</v>
      </c>
      <c r="C71">
        <v>38</v>
      </c>
      <c r="D71" s="22">
        <v>46055</v>
      </c>
      <c r="E71" s="8">
        <v>3202</v>
      </c>
      <c r="F71" s="3"/>
      <c r="G71" s="8" t="s">
        <v>4599</v>
      </c>
    </row>
    <row r="72" spans="1:13" x14ac:dyDescent="0.25">
      <c r="A72" t="s">
        <v>5057</v>
      </c>
      <c r="B72">
        <v>3</v>
      </c>
      <c r="C72">
        <v>38</v>
      </c>
      <c r="D72" s="22">
        <v>46055</v>
      </c>
      <c r="E72">
        <v>7135</v>
      </c>
      <c r="F72" s="3"/>
      <c r="G72" t="s">
        <v>4600</v>
      </c>
      <c r="H72">
        <v>86</v>
      </c>
    </row>
    <row r="73" spans="1:13" x14ac:dyDescent="0.25">
      <c r="A73" t="s">
        <v>5057</v>
      </c>
      <c r="B73">
        <v>3</v>
      </c>
      <c r="C73">
        <v>38</v>
      </c>
      <c r="D73" s="22">
        <v>46055</v>
      </c>
      <c r="E73">
        <v>7134</v>
      </c>
      <c r="F73" s="3"/>
      <c r="G73" t="s">
        <v>4601</v>
      </c>
      <c r="H73">
        <v>22</v>
      </c>
    </row>
    <row r="74" spans="1:13" x14ac:dyDescent="0.25">
      <c r="A74" t="s">
        <v>5057</v>
      </c>
      <c r="B74">
        <v>3</v>
      </c>
      <c r="C74">
        <v>38</v>
      </c>
      <c r="D74" s="22">
        <v>46055</v>
      </c>
      <c r="E74">
        <v>7133</v>
      </c>
      <c r="F74" s="3"/>
      <c r="G74" t="s">
        <v>4602</v>
      </c>
      <c r="H74">
        <v>95</v>
      </c>
    </row>
    <row r="75" spans="1:13" x14ac:dyDescent="0.25">
      <c r="A75" t="s">
        <v>5057</v>
      </c>
      <c r="B75">
        <v>3</v>
      </c>
      <c r="C75">
        <v>38</v>
      </c>
      <c r="D75" s="22">
        <v>46055</v>
      </c>
      <c r="E75">
        <v>7139</v>
      </c>
      <c r="F75" s="3"/>
      <c r="G75" t="s">
        <v>4603</v>
      </c>
      <c r="H75">
        <v>1</v>
      </c>
    </row>
    <row r="76" spans="1:13" x14ac:dyDescent="0.25">
      <c r="A76" t="s">
        <v>5057</v>
      </c>
      <c r="B76">
        <v>3</v>
      </c>
      <c r="C76">
        <v>38</v>
      </c>
      <c r="D76" s="22">
        <v>46055</v>
      </c>
      <c r="E76">
        <v>3206</v>
      </c>
      <c r="F76" s="3"/>
      <c r="H76">
        <v>134</v>
      </c>
    </row>
    <row r="77" spans="1:13" x14ac:dyDescent="0.25">
      <c r="A77" t="s">
        <v>5057</v>
      </c>
      <c r="B77">
        <v>3</v>
      </c>
      <c r="C77">
        <v>38</v>
      </c>
      <c r="D77" s="22">
        <v>46055</v>
      </c>
      <c r="E77">
        <v>7100</v>
      </c>
      <c r="F77" s="3"/>
      <c r="G77" t="s">
        <v>4600</v>
      </c>
    </row>
    <row r="78" spans="1:13" x14ac:dyDescent="0.25">
      <c r="A78" t="s">
        <v>5057</v>
      </c>
      <c r="B78">
        <v>3</v>
      </c>
      <c r="C78">
        <v>38</v>
      </c>
      <c r="D78" s="22">
        <v>46055</v>
      </c>
      <c r="E78">
        <v>3249</v>
      </c>
      <c r="F78" s="3"/>
      <c r="G78" t="s">
        <v>4604</v>
      </c>
    </row>
    <row r="79" spans="1:13" x14ac:dyDescent="0.25">
      <c r="D79" s="22"/>
    </row>
    <row r="80" spans="1:13" ht="24" x14ac:dyDescent="0.4">
      <c r="D80" s="42" t="s">
        <v>4605</v>
      </c>
      <c r="E80" s="42"/>
      <c r="F80" s="42"/>
      <c r="G80" s="42"/>
      <c r="H80" s="42"/>
      <c r="I80" s="42"/>
      <c r="J80" s="42"/>
      <c r="K80" s="43" t="s">
        <v>4459</v>
      </c>
      <c r="L80" s="13" t="s">
        <v>4432</v>
      </c>
      <c r="M80" s="44" t="s">
        <v>4460</v>
      </c>
    </row>
    <row r="81" spans="1:13" ht="18.75" x14ac:dyDescent="0.3">
      <c r="D81" s="11" t="s">
        <v>4445</v>
      </c>
      <c r="E81" s="11" t="s">
        <v>4433</v>
      </c>
      <c r="F81" s="11" t="s">
        <v>4434</v>
      </c>
      <c r="G81" s="11" t="s">
        <v>4435</v>
      </c>
      <c r="H81" s="11" t="s">
        <v>4436</v>
      </c>
      <c r="I81" s="11" t="s">
        <v>4444</v>
      </c>
      <c r="J81" s="11" t="s">
        <v>4436</v>
      </c>
      <c r="K81" s="43"/>
      <c r="L81" s="11" t="s">
        <v>4447</v>
      </c>
      <c r="M81" s="44"/>
    </row>
    <row r="82" spans="1:13" x14ac:dyDescent="0.25">
      <c r="A82" t="s">
        <v>5057</v>
      </c>
      <c r="B82">
        <v>3</v>
      </c>
      <c r="C82">
        <v>39</v>
      </c>
      <c r="D82" t="s">
        <v>4567</v>
      </c>
      <c r="E82">
        <v>3270</v>
      </c>
      <c r="F82" s="3"/>
      <c r="H82">
        <v>5</v>
      </c>
    </row>
    <row r="83" spans="1:13" x14ac:dyDescent="0.25">
      <c r="A83" t="s">
        <v>5057</v>
      </c>
      <c r="B83">
        <v>3</v>
      </c>
      <c r="C83">
        <v>39</v>
      </c>
      <c r="D83" t="s">
        <v>4567</v>
      </c>
      <c r="E83" s="23">
        <v>3104</v>
      </c>
      <c r="F83" s="3"/>
      <c r="G83" t="s">
        <v>4472</v>
      </c>
    </row>
    <row r="84" spans="1:13" x14ac:dyDescent="0.25">
      <c r="A84" t="s">
        <v>5057</v>
      </c>
      <c r="B84">
        <v>3</v>
      </c>
      <c r="C84">
        <v>39</v>
      </c>
      <c r="D84" t="s">
        <v>4567</v>
      </c>
      <c r="E84">
        <v>15095</v>
      </c>
      <c r="F84" s="3"/>
      <c r="G84">
        <v>2</v>
      </c>
    </row>
    <row r="85" spans="1:13" x14ac:dyDescent="0.25">
      <c r="A85" t="s">
        <v>5057</v>
      </c>
      <c r="B85">
        <v>3</v>
      </c>
      <c r="C85">
        <v>39</v>
      </c>
      <c r="D85" t="s">
        <v>4567</v>
      </c>
      <c r="E85" s="23">
        <v>3104</v>
      </c>
      <c r="F85" s="3"/>
      <c r="G85" t="s">
        <v>4608</v>
      </c>
      <c r="H85" t="s">
        <v>4609</v>
      </c>
    </row>
    <row r="86" spans="1:13" x14ac:dyDescent="0.25">
      <c r="A86" t="s">
        <v>5057</v>
      </c>
      <c r="B86">
        <v>3</v>
      </c>
      <c r="C86">
        <v>39</v>
      </c>
      <c r="D86" t="s">
        <v>4567</v>
      </c>
      <c r="E86">
        <v>3263</v>
      </c>
      <c r="F86" s="3"/>
      <c r="G86" t="s">
        <v>4602</v>
      </c>
    </row>
    <row r="87" spans="1:13" x14ac:dyDescent="0.25">
      <c r="A87" t="s">
        <v>5057</v>
      </c>
      <c r="B87">
        <v>3</v>
      </c>
      <c r="C87">
        <v>39</v>
      </c>
      <c r="D87" t="s">
        <v>4567</v>
      </c>
      <c r="E87">
        <v>3194</v>
      </c>
      <c r="F87" s="3"/>
      <c r="G87" t="s">
        <v>4610</v>
      </c>
    </row>
    <row r="88" spans="1:13" x14ac:dyDescent="0.25">
      <c r="A88" t="s">
        <v>5057</v>
      </c>
      <c r="B88">
        <v>3</v>
      </c>
      <c r="C88">
        <v>39</v>
      </c>
      <c r="D88" t="s">
        <v>4567</v>
      </c>
      <c r="E88">
        <v>3249</v>
      </c>
      <c r="F88" s="3"/>
      <c r="H88">
        <v>4</v>
      </c>
    </row>
    <row r="89" spans="1:13" x14ac:dyDescent="0.25">
      <c r="A89" t="s">
        <v>5057</v>
      </c>
      <c r="B89">
        <v>3</v>
      </c>
      <c r="C89">
        <v>39</v>
      </c>
      <c r="D89" t="s">
        <v>4567</v>
      </c>
      <c r="E89">
        <v>3199</v>
      </c>
      <c r="F89" s="3"/>
      <c r="H89" t="s">
        <v>4611</v>
      </c>
    </row>
    <row r="90" spans="1:13" x14ac:dyDescent="0.25">
      <c r="A90" t="s">
        <v>5057</v>
      </c>
      <c r="B90">
        <v>3</v>
      </c>
      <c r="C90">
        <v>39</v>
      </c>
      <c r="D90" t="s">
        <v>4567</v>
      </c>
      <c r="E90">
        <v>3195</v>
      </c>
      <c r="F90" s="3"/>
      <c r="H90" t="s">
        <v>4612</v>
      </c>
    </row>
    <row r="91" spans="1:13" x14ac:dyDescent="0.25">
      <c r="A91" t="s">
        <v>5057</v>
      </c>
      <c r="B91">
        <v>3</v>
      </c>
      <c r="C91">
        <v>39</v>
      </c>
      <c r="D91" t="s">
        <v>4567</v>
      </c>
      <c r="E91">
        <v>7112</v>
      </c>
      <c r="F91" s="3"/>
      <c r="H91">
        <v>43</v>
      </c>
    </row>
    <row r="92" spans="1:13" x14ac:dyDescent="0.25">
      <c r="A92" t="s">
        <v>5057</v>
      </c>
      <c r="B92">
        <v>3</v>
      </c>
      <c r="C92">
        <v>39</v>
      </c>
      <c r="D92" t="s">
        <v>4567</v>
      </c>
      <c r="E92">
        <v>7102</v>
      </c>
      <c r="F92" s="3"/>
      <c r="H92">
        <v>43</v>
      </c>
    </row>
    <row r="93" spans="1:13" x14ac:dyDescent="0.25">
      <c r="A93" t="s">
        <v>5057</v>
      </c>
      <c r="B93">
        <v>3</v>
      </c>
      <c r="C93">
        <v>39</v>
      </c>
      <c r="D93" t="s">
        <v>4567</v>
      </c>
      <c r="E93">
        <v>3261</v>
      </c>
      <c r="F93" s="3"/>
      <c r="H93">
        <v>14</v>
      </c>
    </row>
    <row r="94" spans="1:13" x14ac:dyDescent="0.25">
      <c r="A94" t="s">
        <v>5057</v>
      </c>
      <c r="B94">
        <v>3</v>
      </c>
      <c r="C94">
        <v>39</v>
      </c>
      <c r="D94" t="s">
        <v>4567</v>
      </c>
      <c r="E94">
        <v>3245</v>
      </c>
      <c r="F94" s="3"/>
      <c r="G94" t="s">
        <v>4553</v>
      </c>
    </row>
    <row r="95" spans="1:13" x14ac:dyDescent="0.25">
      <c r="A95" t="s">
        <v>5057</v>
      </c>
      <c r="B95">
        <v>3</v>
      </c>
      <c r="C95">
        <v>39</v>
      </c>
      <c r="D95" t="s">
        <v>4567</v>
      </c>
      <c r="E95">
        <v>3244</v>
      </c>
      <c r="F95" s="3"/>
      <c r="G95" t="s">
        <v>4581</v>
      </c>
    </row>
    <row r="96" spans="1:13" x14ac:dyDescent="0.25">
      <c r="A96" t="s">
        <v>5057</v>
      </c>
      <c r="B96">
        <v>3</v>
      </c>
      <c r="C96">
        <v>39</v>
      </c>
      <c r="D96" t="s">
        <v>4567</v>
      </c>
      <c r="E96">
        <v>3243</v>
      </c>
      <c r="F96" s="3"/>
      <c r="G96" t="s">
        <v>4581</v>
      </c>
    </row>
    <row r="97" spans="1:13" x14ac:dyDescent="0.25">
      <c r="A97" t="s">
        <v>5057</v>
      </c>
      <c r="B97">
        <v>3</v>
      </c>
      <c r="C97">
        <v>39</v>
      </c>
      <c r="D97" t="s">
        <v>4567</v>
      </c>
      <c r="E97">
        <v>3242</v>
      </c>
      <c r="F97" s="3"/>
      <c r="G97" t="s">
        <v>4582</v>
      </c>
    </row>
    <row r="98" spans="1:13" x14ac:dyDescent="0.25">
      <c r="A98" t="s">
        <v>5057</v>
      </c>
      <c r="B98">
        <v>3</v>
      </c>
      <c r="C98">
        <v>39</v>
      </c>
      <c r="D98" t="s">
        <v>4567</v>
      </c>
      <c r="E98">
        <v>3196</v>
      </c>
      <c r="F98" s="3"/>
      <c r="G98" t="s">
        <v>4613</v>
      </c>
      <c r="L98">
        <f>36*2</f>
        <v>72</v>
      </c>
    </row>
    <row r="99" spans="1:13" x14ac:dyDescent="0.25">
      <c r="A99" t="s">
        <v>5057</v>
      </c>
      <c r="B99">
        <v>3</v>
      </c>
      <c r="C99">
        <v>39</v>
      </c>
      <c r="D99" t="s">
        <v>4567</v>
      </c>
      <c r="E99">
        <v>3200</v>
      </c>
      <c r="F99" s="3"/>
      <c r="G99" t="s">
        <v>4614</v>
      </c>
    </row>
    <row r="100" spans="1:13" x14ac:dyDescent="0.25">
      <c r="A100" t="s">
        <v>5057</v>
      </c>
      <c r="B100">
        <v>3</v>
      </c>
      <c r="C100">
        <v>39</v>
      </c>
      <c r="D100" t="s">
        <v>4567</v>
      </c>
      <c r="E100">
        <v>3010</v>
      </c>
      <c r="F100" s="3"/>
      <c r="H100">
        <v>13</v>
      </c>
    </row>
    <row r="101" spans="1:13" x14ac:dyDescent="0.25">
      <c r="A101" t="s">
        <v>5057</v>
      </c>
      <c r="B101">
        <v>3</v>
      </c>
      <c r="C101">
        <v>39</v>
      </c>
      <c r="D101" t="s">
        <v>4567</v>
      </c>
      <c r="E101">
        <v>3013</v>
      </c>
      <c r="F101" s="3"/>
      <c r="H101">
        <v>3</v>
      </c>
    </row>
    <row r="104" spans="1:13" ht="24" x14ac:dyDescent="0.4">
      <c r="D104" s="42" t="s">
        <v>4615</v>
      </c>
      <c r="E104" s="42"/>
      <c r="F104" s="42"/>
      <c r="G104" s="42"/>
      <c r="H104" s="42"/>
      <c r="I104" s="42"/>
      <c r="J104" s="42"/>
      <c r="K104" s="43" t="s">
        <v>4459</v>
      </c>
      <c r="L104" s="13" t="s">
        <v>4432</v>
      </c>
      <c r="M104" s="44" t="s">
        <v>4460</v>
      </c>
    </row>
    <row r="105" spans="1:13" ht="18.75" x14ac:dyDescent="0.3">
      <c r="D105" s="11" t="s">
        <v>4445</v>
      </c>
      <c r="E105" s="11" t="s">
        <v>4433</v>
      </c>
      <c r="F105" s="11" t="s">
        <v>4434</v>
      </c>
      <c r="G105" s="11" t="s">
        <v>4435</v>
      </c>
      <c r="H105" s="11" t="s">
        <v>4436</v>
      </c>
      <c r="I105" s="11" t="s">
        <v>4444</v>
      </c>
      <c r="J105" s="11" t="s">
        <v>4436</v>
      </c>
      <c r="K105" s="43"/>
      <c r="L105" s="11" t="s">
        <v>4447</v>
      </c>
      <c r="M105" s="44"/>
    </row>
    <row r="106" spans="1:13" x14ac:dyDescent="0.25">
      <c r="A106" t="s">
        <v>5057</v>
      </c>
      <c r="B106">
        <v>3</v>
      </c>
      <c r="C106">
        <v>40</v>
      </c>
      <c r="D106" t="s">
        <v>4567</v>
      </c>
      <c r="E106">
        <v>1333</v>
      </c>
      <c r="F106" s="3"/>
      <c r="H106" t="s">
        <v>4595</v>
      </c>
    </row>
    <row r="107" spans="1:13" x14ac:dyDescent="0.25">
      <c r="A107" t="s">
        <v>5057</v>
      </c>
      <c r="B107">
        <v>3</v>
      </c>
      <c r="C107">
        <v>40</v>
      </c>
      <c r="D107" t="s">
        <v>4567</v>
      </c>
      <c r="E107">
        <v>1362</v>
      </c>
      <c r="F107" s="3"/>
      <c r="H107" t="s">
        <v>4616</v>
      </c>
    </row>
    <row r="108" spans="1:13" x14ac:dyDescent="0.25">
      <c r="A108" t="s">
        <v>5057</v>
      </c>
      <c r="B108">
        <v>3</v>
      </c>
      <c r="C108">
        <v>40</v>
      </c>
      <c r="D108" t="s">
        <v>4567</v>
      </c>
      <c r="E108">
        <v>1365</v>
      </c>
      <c r="F108" s="3"/>
      <c r="H108" t="s">
        <v>4617</v>
      </c>
      <c r="I108">
        <v>7</v>
      </c>
      <c r="M108" t="s">
        <v>4618</v>
      </c>
    </row>
    <row r="109" spans="1:13" x14ac:dyDescent="0.25">
      <c r="A109" t="s">
        <v>5057</v>
      </c>
      <c r="B109">
        <v>3</v>
      </c>
      <c r="C109">
        <v>40</v>
      </c>
      <c r="D109" t="s">
        <v>4567</v>
      </c>
      <c r="E109">
        <v>1324</v>
      </c>
      <c r="F109" s="3"/>
      <c r="I109">
        <v>2</v>
      </c>
    </row>
    <row r="110" spans="1:13" x14ac:dyDescent="0.25">
      <c r="A110" t="s">
        <v>5057</v>
      </c>
      <c r="B110">
        <v>3</v>
      </c>
      <c r="C110">
        <v>40</v>
      </c>
      <c r="D110" t="s">
        <v>4567</v>
      </c>
      <c r="E110">
        <v>1361</v>
      </c>
      <c r="F110" s="3"/>
      <c r="H110" t="s">
        <v>4619</v>
      </c>
    </row>
    <row r="111" spans="1:13" x14ac:dyDescent="0.25">
      <c r="A111" t="s">
        <v>5057</v>
      </c>
      <c r="B111">
        <v>3</v>
      </c>
      <c r="C111">
        <v>40</v>
      </c>
      <c r="D111" t="s">
        <v>4567</v>
      </c>
      <c r="E111">
        <v>1360</v>
      </c>
      <c r="F111" s="3"/>
      <c r="H111" t="s">
        <v>4620</v>
      </c>
    </row>
    <row r="112" spans="1:13" x14ac:dyDescent="0.25">
      <c r="A112" t="s">
        <v>5057</v>
      </c>
      <c r="B112">
        <v>3</v>
      </c>
      <c r="C112">
        <v>40</v>
      </c>
      <c r="D112" t="s">
        <v>4567</v>
      </c>
      <c r="E112">
        <v>1362</v>
      </c>
      <c r="F112" s="3"/>
      <c r="H112" t="s">
        <v>4620</v>
      </c>
    </row>
    <row r="113" spans="1:13" x14ac:dyDescent="0.25">
      <c r="A113" t="s">
        <v>5057</v>
      </c>
      <c r="B113">
        <v>3</v>
      </c>
      <c r="C113">
        <v>40</v>
      </c>
      <c r="D113" t="s">
        <v>4567</v>
      </c>
      <c r="E113">
        <v>1363</v>
      </c>
      <c r="F113" s="3"/>
      <c r="H113" t="s">
        <v>4620</v>
      </c>
    </row>
    <row r="114" spans="1:13" x14ac:dyDescent="0.25">
      <c r="A114" t="s">
        <v>5057</v>
      </c>
      <c r="B114">
        <v>3</v>
      </c>
      <c r="C114">
        <v>40</v>
      </c>
      <c r="D114" t="s">
        <v>4567</v>
      </c>
      <c r="E114">
        <v>1353</v>
      </c>
      <c r="F114" s="3"/>
      <c r="H114" t="s">
        <v>4621</v>
      </c>
    </row>
    <row r="115" spans="1:13" x14ac:dyDescent="0.25">
      <c r="A115" t="s">
        <v>5057</v>
      </c>
      <c r="B115">
        <v>3</v>
      </c>
      <c r="C115">
        <v>40</v>
      </c>
      <c r="D115" t="s">
        <v>4567</v>
      </c>
      <c r="E115">
        <v>3269</v>
      </c>
      <c r="F115" s="3"/>
      <c r="I115">
        <v>53</v>
      </c>
    </row>
    <row r="116" spans="1:13" x14ac:dyDescent="0.25">
      <c r="A116" t="s">
        <v>5057</v>
      </c>
      <c r="B116">
        <v>3</v>
      </c>
      <c r="C116">
        <v>40</v>
      </c>
      <c r="D116" t="s">
        <v>4567</v>
      </c>
      <c r="E116">
        <v>3264</v>
      </c>
      <c r="F116" s="3"/>
      <c r="I116">
        <v>44</v>
      </c>
    </row>
    <row r="117" spans="1:13" x14ac:dyDescent="0.25">
      <c r="A117" t="s">
        <v>5057</v>
      </c>
      <c r="B117">
        <v>3</v>
      </c>
      <c r="C117">
        <v>40</v>
      </c>
      <c r="D117" t="s">
        <v>4567</v>
      </c>
      <c r="E117">
        <v>3265</v>
      </c>
      <c r="F117" s="3"/>
      <c r="I117">
        <v>31</v>
      </c>
    </row>
    <row r="118" spans="1:13" x14ac:dyDescent="0.25">
      <c r="A118" t="s">
        <v>5057</v>
      </c>
      <c r="B118">
        <v>3</v>
      </c>
      <c r="C118">
        <v>40</v>
      </c>
      <c r="D118" t="s">
        <v>4567</v>
      </c>
      <c r="E118">
        <v>3333</v>
      </c>
      <c r="F118" s="3"/>
      <c r="H118" t="s">
        <v>4553</v>
      </c>
      <c r="I118">
        <v>41</v>
      </c>
    </row>
    <row r="119" spans="1:13" x14ac:dyDescent="0.25">
      <c r="A119" t="s">
        <v>5057</v>
      </c>
      <c r="B119">
        <v>3</v>
      </c>
      <c r="C119">
        <v>40</v>
      </c>
      <c r="D119" t="s">
        <v>4567</v>
      </c>
      <c r="E119">
        <v>3120</v>
      </c>
      <c r="F119" s="3"/>
      <c r="H119" t="s">
        <v>4449</v>
      </c>
      <c r="I119">
        <v>9</v>
      </c>
    </row>
    <row r="120" spans="1:13" x14ac:dyDescent="0.25">
      <c r="A120" t="s">
        <v>5057</v>
      </c>
      <c r="B120">
        <v>3</v>
      </c>
      <c r="C120">
        <v>40</v>
      </c>
      <c r="D120" s="22">
        <v>46055</v>
      </c>
      <c r="E120">
        <v>3268</v>
      </c>
      <c r="F120" s="3"/>
      <c r="H120" t="s">
        <v>4622</v>
      </c>
      <c r="I120" t="s">
        <v>4623</v>
      </c>
    </row>
    <row r="121" spans="1:13" x14ac:dyDescent="0.25">
      <c r="A121" t="s">
        <v>5057</v>
      </c>
      <c r="B121">
        <v>3</v>
      </c>
      <c r="C121">
        <v>40</v>
      </c>
      <c r="D121" s="22">
        <v>46055</v>
      </c>
      <c r="E121">
        <v>3309</v>
      </c>
      <c r="F121" s="3"/>
      <c r="H121" t="s">
        <v>4624</v>
      </c>
      <c r="I121">
        <v>14</v>
      </c>
    </row>
    <row r="122" spans="1:13" x14ac:dyDescent="0.25">
      <c r="A122" t="s">
        <v>5057</v>
      </c>
      <c r="B122">
        <v>3</v>
      </c>
      <c r="C122">
        <v>40</v>
      </c>
      <c r="D122" s="22">
        <v>46055</v>
      </c>
      <c r="E122">
        <v>11482</v>
      </c>
      <c r="F122" s="3"/>
      <c r="H122" t="s">
        <v>4625</v>
      </c>
    </row>
    <row r="123" spans="1:13" x14ac:dyDescent="0.25">
      <c r="A123" t="s">
        <v>5057</v>
      </c>
      <c r="B123">
        <v>3</v>
      </c>
      <c r="C123">
        <v>40</v>
      </c>
      <c r="D123" s="22">
        <v>46055</v>
      </c>
      <c r="E123">
        <v>3124</v>
      </c>
      <c r="F123" s="3"/>
      <c r="H123" t="s">
        <v>4626</v>
      </c>
    </row>
    <row r="126" spans="1:13" ht="24" x14ac:dyDescent="0.4">
      <c r="D126" s="42" t="s">
        <v>4627</v>
      </c>
      <c r="E126" s="42"/>
      <c r="F126" s="42"/>
      <c r="G126" s="42"/>
      <c r="H126" s="42"/>
      <c r="I126" s="42"/>
      <c r="J126" s="42"/>
      <c r="K126" s="43" t="s">
        <v>4459</v>
      </c>
      <c r="L126" s="13" t="s">
        <v>4432</v>
      </c>
      <c r="M126" s="44" t="s">
        <v>4460</v>
      </c>
    </row>
    <row r="127" spans="1:13" ht="18.75" x14ac:dyDescent="0.3">
      <c r="D127" s="11" t="s">
        <v>4445</v>
      </c>
      <c r="E127" s="11" t="s">
        <v>4433</v>
      </c>
      <c r="F127" s="11" t="s">
        <v>4434</v>
      </c>
      <c r="G127" s="11" t="s">
        <v>4435</v>
      </c>
      <c r="H127" s="11" t="s">
        <v>4436</v>
      </c>
      <c r="I127" s="11" t="s">
        <v>4444</v>
      </c>
      <c r="J127" s="11" t="s">
        <v>4436</v>
      </c>
      <c r="K127" s="43"/>
      <c r="L127" s="11" t="s">
        <v>4447</v>
      </c>
      <c r="M127" s="44"/>
    </row>
    <row r="128" spans="1:13" x14ac:dyDescent="0.25">
      <c r="A128" t="s">
        <v>5057</v>
      </c>
      <c r="B128">
        <v>3</v>
      </c>
      <c r="C128">
        <v>41</v>
      </c>
      <c r="D128" s="22">
        <v>46083</v>
      </c>
      <c r="E128">
        <v>15142</v>
      </c>
      <c r="F128" s="3"/>
      <c r="G128" t="s">
        <v>4628</v>
      </c>
    </row>
    <row r="129" spans="1:13" x14ac:dyDescent="0.25">
      <c r="A129" t="s">
        <v>5057</v>
      </c>
      <c r="B129">
        <v>3</v>
      </c>
      <c r="C129">
        <v>41</v>
      </c>
      <c r="D129" s="22">
        <v>46083</v>
      </c>
      <c r="E129" s="21" t="s">
        <v>4629</v>
      </c>
      <c r="F129" s="3"/>
      <c r="G129" t="s">
        <v>4600</v>
      </c>
    </row>
    <row r="130" spans="1:13" x14ac:dyDescent="0.25">
      <c r="A130" t="s">
        <v>5057</v>
      </c>
      <c r="B130">
        <v>3</v>
      </c>
      <c r="C130">
        <v>41</v>
      </c>
      <c r="D130" s="22">
        <v>46083</v>
      </c>
      <c r="E130">
        <v>15146</v>
      </c>
      <c r="F130" s="3"/>
      <c r="G130" t="s">
        <v>4630</v>
      </c>
    </row>
    <row r="131" spans="1:13" x14ac:dyDescent="0.25">
      <c r="A131" t="s">
        <v>5057</v>
      </c>
      <c r="B131">
        <v>3</v>
      </c>
      <c r="C131">
        <v>41</v>
      </c>
      <c r="D131" s="22">
        <v>46083</v>
      </c>
      <c r="E131">
        <v>1154</v>
      </c>
      <c r="F131" s="3"/>
      <c r="G131" t="s">
        <v>4650</v>
      </c>
    </row>
    <row r="132" spans="1:13" x14ac:dyDescent="0.25">
      <c r="A132" t="s">
        <v>5057</v>
      </c>
      <c r="B132">
        <v>3</v>
      </c>
      <c r="C132">
        <v>41</v>
      </c>
      <c r="D132" s="22"/>
      <c r="E132" s="21" t="s">
        <v>4629</v>
      </c>
      <c r="F132" s="3"/>
      <c r="G132" t="s">
        <v>4553</v>
      </c>
    </row>
    <row r="133" spans="1:13" x14ac:dyDescent="0.25">
      <c r="A133" t="s">
        <v>5057</v>
      </c>
      <c r="B133">
        <v>3</v>
      </c>
      <c r="C133">
        <v>41</v>
      </c>
      <c r="D133" s="22"/>
      <c r="E133" s="21" t="s">
        <v>4666</v>
      </c>
      <c r="F133" s="3"/>
      <c r="G133" t="s">
        <v>4667</v>
      </c>
    </row>
    <row r="134" spans="1:13" x14ac:dyDescent="0.25">
      <c r="A134" t="s">
        <v>5057</v>
      </c>
      <c r="B134">
        <v>3</v>
      </c>
      <c r="C134">
        <v>41</v>
      </c>
      <c r="D134" s="22"/>
      <c r="E134">
        <v>11541</v>
      </c>
      <c r="F134" s="3"/>
      <c r="G134">
        <v>1</v>
      </c>
    </row>
    <row r="137" spans="1:13" ht="24" x14ac:dyDescent="0.4">
      <c r="D137" s="42" t="s">
        <v>4631</v>
      </c>
      <c r="E137" s="42"/>
      <c r="F137" s="42"/>
      <c r="G137" s="42"/>
      <c r="H137" s="42"/>
      <c r="I137" s="42"/>
      <c r="J137" s="42"/>
      <c r="K137" s="43" t="s">
        <v>4459</v>
      </c>
      <c r="L137" s="13" t="s">
        <v>4432</v>
      </c>
      <c r="M137" s="44" t="s">
        <v>4460</v>
      </c>
    </row>
    <row r="138" spans="1:13" ht="18.75" x14ac:dyDescent="0.3">
      <c r="D138" s="11" t="s">
        <v>4445</v>
      </c>
      <c r="E138" s="11" t="s">
        <v>4433</v>
      </c>
      <c r="F138" s="11" t="s">
        <v>4434</v>
      </c>
      <c r="G138" s="11" t="s">
        <v>4435</v>
      </c>
      <c r="H138" s="11" t="s">
        <v>4436</v>
      </c>
      <c r="I138" s="11" t="s">
        <v>4444</v>
      </c>
      <c r="J138" s="11" t="s">
        <v>4436</v>
      </c>
      <c r="K138" s="43"/>
      <c r="L138" s="11" t="s">
        <v>4447</v>
      </c>
      <c r="M138" s="44"/>
    </row>
    <row r="139" spans="1:13" x14ac:dyDescent="0.25">
      <c r="A139" t="s">
        <v>5057</v>
      </c>
      <c r="B139">
        <v>3</v>
      </c>
      <c r="C139">
        <v>42</v>
      </c>
      <c r="D139" s="22">
        <v>46083</v>
      </c>
      <c r="E139">
        <v>15147</v>
      </c>
      <c r="F139" s="3"/>
      <c r="G139" t="s">
        <v>4628</v>
      </c>
    </row>
    <row r="140" spans="1:13" x14ac:dyDescent="0.25">
      <c r="A140" t="s">
        <v>5057</v>
      </c>
      <c r="B140">
        <v>3</v>
      </c>
      <c r="C140">
        <v>42</v>
      </c>
      <c r="D140" s="22">
        <v>46083</v>
      </c>
      <c r="E140">
        <v>15146</v>
      </c>
      <c r="F140" s="3"/>
      <c r="G140" t="s">
        <v>4632</v>
      </c>
    </row>
    <row r="141" spans="1:13" x14ac:dyDescent="0.25">
      <c r="A141" t="s">
        <v>5057</v>
      </c>
      <c r="B141">
        <v>3</v>
      </c>
      <c r="C141">
        <v>42</v>
      </c>
      <c r="D141" s="22">
        <v>46083</v>
      </c>
      <c r="E141" s="21" t="s">
        <v>4593</v>
      </c>
      <c r="F141" s="3"/>
      <c r="G141" t="s">
        <v>4649</v>
      </c>
      <c r="L141">
        <f>12*800</f>
        <v>9600</v>
      </c>
    </row>
    <row r="142" spans="1:13" x14ac:dyDescent="0.25">
      <c r="A142" t="s">
        <v>5057</v>
      </c>
      <c r="B142">
        <v>3</v>
      </c>
      <c r="C142">
        <v>42</v>
      </c>
      <c r="D142" s="22">
        <v>46083</v>
      </c>
      <c r="E142" s="21" t="s">
        <v>4648</v>
      </c>
      <c r="F142" s="3"/>
      <c r="G142" t="s">
        <v>4650</v>
      </c>
      <c r="L142">
        <f>4*25</f>
        <v>100</v>
      </c>
    </row>
    <row r="145" spans="1:13" ht="24" x14ac:dyDescent="0.4">
      <c r="D145" s="42" t="s">
        <v>4633</v>
      </c>
      <c r="E145" s="42"/>
      <c r="F145" s="42"/>
      <c r="G145" s="42"/>
      <c r="H145" s="42"/>
      <c r="I145" s="42"/>
      <c r="J145" s="42"/>
      <c r="K145" s="43" t="s">
        <v>4459</v>
      </c>
      <c r="L145" s="13" t="s">
        <v>4432</v>
      </c>
      <c r="M145" s="44" t="s">
        <v>4460</v>
      </c>
    </row>
    <row r="146" spans="1:13" ht="18.75" x14ac:dyDescent="0.3">
      <c r="D146" s="11" t="s">
        <v>4445</v>
      </c>
      <c r="E146" s="11" t="s">
        <v>4433</v>
      </c>
      <c r="F146" s="11" t="s">
        <v>4434</v>
      </c>
      <c r="G146" s="11" t="s">
        <v>4435</v>
      </c>
      <c r="H146" s="11" t="s">
        <v>4436</v>
      </c>
      <c r="I146" s="11" t="s">
        <v>4444</v>
      </c>
      <c r="J146" s="11" t="s">
        <v>4436</v>
      </c>
      <c r="K146" s="43"/>
      <c r="L146" s="11" t="s">
        <v>4447</v>
      </c>
      <c r="M146" s="44"/>
    </row>
    <row r="147" spans="1:13" x14ac:dyDescent="0.25">
      <c r="A147" t="s">
        <v>5057</v>
      </c>
      <c r="B147">
        <v>3</v>
      </c>
      <c r="C147">
        <v>43</v>
      </c>
      <c r="D147" s="22">
        <v>46083</v>
      </c>
      <c r="E147" s="21" t="s">
        <v>4634</v>
      </c>
      <c r="F147" s="3"/>
      <c r="G147" t="s">
        <v>4636</v>
      </c>
    </row>
    <row r="148" spans="1:13" x14ac:dyDescent="0.25">
      <c r="A148" t="s">
        <v>5057</v>
      </c>
      <c r="B148">
        <v>3</v>
      </c>
      <c r="C148">
        <v>43</v>
      </c>
      <c r="D148" s="22">
        <v>46083</v>
      </c>
      <c r="E148" s="21" t="s">
        <v>4635</v>
      </c>
      <c r="F148" s="3"/>
      <c r="G148" t="s">
        <v>4637</v>
      </c>
    </row>
    <row r="149" spans="1:13" x14ac:dyDescent="0.25">
      <c r="A149" t="s">
        <v>5057</v>
      </c>
      <c r="B149">
        <v>3</v>
      </c>
      <c r="C149">
        <v>43</v>
      </c>
      <c r="D149" s="22">
        <v>46083</v>
      </c>
      <c r="E149" s="21" t="s">
        <v>4638</v>
      </c>
      <c r="F149" s="3"/>
      <c r="G149" t="s">
        <v>4636</v>
      </c>
    </row>
    <row r="150" spans="1:13" x14ac:dyDescent="0.25">
      <c r="A150" t="s">
        <v>5057</v>
      </c>
      <c r="B150">
        <v>3</v>
      </c>
      <c r="C150">
        <v>43</v>
      </c>
      <c r="D150" s="22">
        <v>46083</v>
      </c>
      <c r="E150" s="21" t="s">
        <v>4639</v>
      </c>
      <c r="F150" s="3"/>
      <c r="G150" t="s">
        <v>4642</v>
      </c>
    </row>
    <row r="151" spans="1:13" x14ac:dyDescent="0.25">
      <c r="A151" t="s">
        <v>5057</v>
      </c>
      <c r="B151">
        <v>3</v>
      </c>
      <c r="C151">
        <v>43</v>
      </c>
      <c r="D151" s="22">
        <v>46083</v>
      </c>
      <c r="E151" s="21" t="s">
        <v>4640</v>
      </c>
      <c r="F151" s="3"/>
      <c r="G151" t="s">
        <v>4643</v>
      </c>
    </row>
    <row r="152" spans="1:13" x14ac:dyDescent="0.25">
      <c r="A152" t="s">
        <v>5057</v>
      </c>
      <c r="B152">
        <v>3</v>
      </c>
      <c r="C152">
        <v>43</v>
      </c>
      <c r="D152" s="22">
        <v>46083</v>
      </c>
      <c r="E152" s="21" t="s">
        <v>4641</v>
      </c>
      <c r="F152" s="3"/>
      <c r="G152" t="s">
        <v>4644</v>
      </c>
    </row>
    <row r="153" spans="1:13" x14ac:dyDescent="0.25">
      <c r="A153" t="s">
        <v>5057</v>
      </c>
      <c r="B153">
        <v>3</v>
      </c>
      <c r="C153">
        <v>43</v>
      </c>
      <c r="D153" s="22">
        <v>46083</v>
      </c>
      <c r="E153">
        <v>1906</v>
      </c>
      <c r="F153" s="3"/>
      <c r="H153">
        <v>1</v>
      </c>
    </row>
    <row r="154" spans="1:13" x14ac:dyDescent="0.25">
      <c r="A154" t="s">
        <v>5057</v>
      </c>
      <c r="B154">
        <v>3</v>
      </c>
      <c r="C154">
        <v>43</v>
      </c>
      <c r="D154" s="22">
        <v>46083</v>
      </c>
      <c r="E154">
        <v>1307</v>
      </c>
      <c r="F154" s="3"/>
      <c r="H154">
        <v>4</v>
      </c>
    </row>
    <row r="155" spans="1:13" x14ac:dyDescent="0.25">
      <c r="A155" t="s">
        <v>5057</v>
      </c>
      <c r="B155">
        <v>3</v>
      </c>
      <c r="C155">
        <v>43</v>
      </c>
      <c r="D155" s="22">
        <v>46083</v>
      </c>
      <c r="E155">
        <v>1309</v>
      </c>
      <c r="F155" s="3"/>
      <c r="H155" t="s">
        <v>4645</v>
      </c>
    </row>
    <row r="156" spans="1:13" x14ac:dyDescent="0.25">
      <c r="A156" t="s">
        <v>5057</v>
      </c>
      <c r="B156">
        <v>3</v>
      </c>
      <c r="C156">
        <v>43</v>
      </c>
      <c r="D156" s="22">
        <v>46083</v>
      </c>
      <c r="E156">
        <v>1305</v>
      </c>
      <c r="F156" s="3"/>
      <c r="H156" t="s">
        <v>4614</v>
      </c>
      <c r="M156" t="s">
        <v>4647</v>
      </c>
    </row>
    <row r="157" spans="1:13" x14ac:dyDescent="0.25">
      <c r="A157" t="s">
        <v>5057</v>
      </c>
      <c r="B157">
        <v>3</v>
      </c>
      <c r="C157">
        <v>43</v>
      </c>
      <c r="D157" s="22">
        <v>46083</v>
      </c>
      <c r="E157">
        <v>1306</v>
      </c>
      <c r="F157" s="3"/>
      <c r="H157" t="s">
        <v>4646</v>
      </c>
    </row>
    <row r="158" spans="1:13" x14ac:dyDescent="0.25">
      <c r="A158" t="s">
        <v>5057</v>
      </c>
      <c r="B158">
        <v>3</v>
      </c>
      <c r="C158">
        <v>43</v>
      </c>
      <c r="D158" s="22">
        <v>46083</v>
      </c>
      <c r="E158">
        <v>3334</v>
      </c>
      <c r="F158" s="3"/>
      <c r="G158" t="s">
        <v>4653</v>
      </c>
      <c r="L158">
        <f>2*30</f>
        <v>60</v>
      </c>
    </row>
    <row r="159" spans="1:13" x14ac:dyDescent="0.25">
      <c r="A159" t="s">
        <v>5057</v>
      </c>
      <c r="B159">
        <v>3</v>
      </c>
      <c r="C159">
        <v>43</v>
      </c>
      <c r="D159" s="22">
        <v>46083</v>
      </c>
      <c r="E159">
        <v>16351</v>
      </c>
      <c r="F159" s="3"/>
      <c r="G159">
        <v>2</v>
      </c>
    </row>
    <row r="160" spans="1:13" x14ac:dyDescent="0.25">
      <c r="A160" t="s">
        <v>5057</v>
      </c>
      <c r="B160">
        <v>3</v>
      </c>
      <c r="C160">
        <v>43</v>
      </c>
      <c r="D160" s="22">
        <v>46083</v>
      </c>
      <c r="E160">
        <v>1635</v>
      </c>
      <c r="F160" s="3"/>
      <c r="G160">
        <v>4</v>
      </c>
    </row>
    <row r="161" spans="1:13" x14ac:dyDescent="0.25">
      <c r="A161" t="s">
        <v>5057</v>
      </c>
      <c r="B161">
        <v>3</v>
      </c>
      <c r="C161">
        <v>43</v>
      </c>
      <c r="D161" s="22">
        <v>46083</v>
      </c>
      <c r="E161">
        <v>1634</v>
      </c>
      <c r="F161" s="3"/>
      <c r="G161">
        <v>6</v>
      </c>
      <c r="H161">
        <v>6</v>
      </c>
    </row>
    <row r="162" spans="1:13" x14ac:dyDescent="0.25">
      <c r="A162" t="s">
        <v>5057</v>
      </c>
      <c r="B162">
        <v>3</v>
      </c>
      <c r="C162">
        <v>43</v>
      </c>
      <c r="D162" s="22">
        <v>46083</v>
      </c>
      <c r="E162">
        <v>1633</v>
      </c>
      <c r="F162" s="3"/>
      <c r="G162">
        <v>1</v>
      </c>
      <c r="H162">
        <v>4</v>
      </c>
    </row>
    <row r="163" spans="1:13" x14ac:dyDescent="0.25">
      <c r="A163" t="s">
        <v>5057</v>
      </c>
      <c r="B163">
        <v>3</v>
      </c>
      <c r="C163">
        <v>43</v>
      </c>
      <c r="D163" s="22">
        <v>46083</v>
      </c>
      <c r="E163">
        <v>8012</v>
      </c>
      <c r="F163" s="3"/>
      <c r="G163" t="s">
        <v>4654</v>
      </c>
      <c r="L163">
        <v>370</v>
      </c>
    </row>
    <row r="164" spans="1:13" x14ac:dyDescent="0.25">
      <c r="A164" t="s">
        <v>5057</v>
      </c>
      <c r="B164">
        <v>3</v>
      </c>
      <c r="C164">
        <v>43</v>
      </c>
      <c r="D164" s="22">
        <v>46083</v>
      </c>
      <c r="E164" s="21" t="s">
        <v>4651</v>
      </c>
      <c r="F164" s="3"/>
      <c r="G164" t="s">
        <v>4655</v>
      </c>
      <c r="L164">
        <v>800</v>
      </c>
      <c r="M164" t="s">
        <v>4652</v>
      </c>
    </row>
    <row r="165" spans="1:13" x14ac:dyDescent="0.25">
      <c r="A165" t="s">
        <v>5057</v>
      </c>
      <c r="B165">
        <v>3</v>
      </c>
      <c r="C165">
        <v>43</v>
      </c>
      <c r="D165" s="22">
        <v>46083</v>
      </c>
      <c r="E165">
        <v>3002</v>
      </c>
      <c r="F165" s="3"/>
      <c r="G165">
        <v>39</v>
      </c>
      <c r="H165">
        <v>1</v>
      </c>
    </row>
    <row r="166" spans="1:13" x14ac:dyDescent="0.25">
      <c r="A166" t="s">
        <v>5057</v>
      </c>
      <c r="B166">
        <v>3</v>
      </c>
      <c r="C166">
        <v>43</v>
      </c>
      <c r="D166" s="22">
        <v>46083</v>
      </c>
      <c r="E166">
        <v>3003</v>
      </c>
      <c r="F166" s="3"/>
      <c r="G166">
        <v>30</v>
      </c>
    </row>
    <row r="169" spans="1:13" ht="24" x14ac:dyDescent="0.4">
      <c r="D169" s="42" t="s">
        <v>4656</v>
      </c>
      <c r="E169" s="42"/>
      <c r="F169" s="42"/>
      <c r="G169" s="42"/>
      <c r="H169" s="42"/>
      <c r="I169" s="42"/>
      <c r="J169" s="42"/>
      <c r="K169" s="43" t="s">
        <v>4459</v>
      </c>
      <c r="L169" s="13" t="s">
        <v>4432</v>
      </c>
      <c r="M169" s="44" t="s">
        <v>4460</v>
      </c>
    </row>
    <row r="170" spans="1:13" ht="18.75" x14ac:dyDescent="0.3">
      <c r="D170" s="11" t="s">
        <v>4445</v>
      </c>
      <c r="E170" s="11" t="s">
        <v>4433</v>
      </c>
      <c r="F170" s="11" t="s">
        <v>4434</v>
      </c>
      <c r="G170" s="11" t="s">
        <v>4435</v>
      </c>
      <c r="H170" s="11" t="s">
        <v>4436</v>
      </c>
      <c r="I170" s="11" t="s">
        <v>4444</v>
      </c>
      <c r="J170" s="11" t="s">
        <v>4436</v>
      </c>
      <c r="K170" s="43"/>
      <c r="L170" s="11" t="s">
        <v>4447</v>
      </c>
      <c r="M170" s="44"/>
    </row>
    <row r="171" spans="1:13" x14ac:dyDescent="0.25">
      <c r="A171" t="s">
        <v>5057</v>
      </c>
      <c r="B171">
        <v>3</v>
      </c>
      <c r="C171">
        <v>44</v>
      </c>
      <c r="D171" s="22">
        <v>46083</v>
      </c>
      <c r="E171">
        <v>1303</v>
      </c>
      <c r="F171" s="3"/>
      <c r="H171">
        <v>8</v>
      </c>
    </row>
    <row r="172" spans="1:13" x14ac:dyDescent="0.25">
      <c r="A172" t="s">
        <v>5057</v>
      </c>
      <c r="B172">
        <v>3</v>
      </c>
      <c r="C172">
        <v>44</v>
      </c>
      <c r="D172" s="22">
        <v>46083</v>
      </c>
      <c r="E172">
        <v>1315</v>
      </c>
      <c r="F172" s="3"/>
      <c r="H172">
        <v>4</v>
      </c>
    </row>
    <row r="173" spans="1:13" x14ac:dyDescent="0.25">
      <c r="A173" t="s">
        <v>5057</v>
      </c>
      <c r="B173">
        <v>3</v>
      </c>
      <c r="C173">
        <v>44</v>
      </c>
      <c r="D173" s="22">
        <v>46083</v>
      </c>
      <c r="E173">
        <v>1316</v>
      </c>
      <c r="F173" s="3"/>
      <c r="H173">
        <v>5</v>
      </c>
    </row>
    <row r="174" spans="1:13" x14ac:dyDescent="0.25">
      <c r="A174" t="s">
        <v>5057</v>
      </c>
      <c r="B174">
        <v>3</v>
      </c>
      <c r="C174">
        <v>44</v>
      </c>
      <c r="D174" s="22">
        <v>46083</v>
      </c>
      <c r="E174">
        <v>1302</v>
      </c>
      <c r="F174" s="3"/>
      <c r="H174" t="s">
        <v>4600</v>
      </c>
    </row>
    <row r="175" spans="1:13" x14ac:dyDescent="0.25">
      <c r="A175" t="s">
        <v>5057</v>
      </c>
      <c r="B175">
        <v>3</v>
      </c>
      <c r="C175">
        <v>44</v>
      </c>
      <c r="D175" s="22">
        <v>46083</v>
      </c>
      <c r="E175">
        <v>1312</v>
      </c>
      <c r="F175" s="3"/>
      <c r="G175" t="s">
        <v>4660</v>
      </c>
      <c r="H175" t="s">
        <v>4661</v>
      </c>
    </row>
    <row r="176" spans="1:13" x14ac:dyDescent="0.25">
      <c r="A176" t="s">
        <v>5057</v>
      </c>
      <c r="B176">
        <v>3</v>
      </c>
      <c r="C176">
        <v>44</v>
      </c>
      <c r="D176" s="22">
        <v>46083</v>
      </c>
      <c r="E176">
        <v>1311</v>
      </c>
      <c r="F176" s="3"/>
      <c r="M176" t="s">
        <v>4659</v>
      </c>
    </row>
    <row r="177" spans="1:13" x14ac:dyDescent="0.25">
      <c r="A177" t="s">
        <v>5057</v>
      </c>
      <c r="B177">
        <v>3</v>
      </c>
      <c r="C177">
        <v>44</v>
      </c>
      <c r="D177" s="22">
        <v>46083</v>
      </c>
      <c r="E177">
        <v>1313</v>
      </c>
      <c r="F177" s="3"/>
      <c r="H177">
        <v>16</v>
      </c>
    </row>
    <row r="178" spans="1:13" x14ac:dyDescent="0.25">
      <c r="A178" t="s">
        <v>5057</v>
      </c>
      <c r="B178">
        <v>3</v>
      </c>
      <c r="C178">
        <v>44</v>
      </c>
      <c r="D178" s="22">
        <v>46083</v>
      </c>
      <c r="E178">
        <v>1301</v>
      </c>
      <c r="F178" s="3"/>
      <c r="G178" t="s">
        <v>4600</v>
      </c>
    </row>
    <row r="179" spans="1:13" x14ac:dyDescent="0.25">
      <c r="A179" t="s">
        <v>5057</v>
      </c>
      <c r="B179">
        <v>3</v>
      </c>
      <c r="C179">
        <v>44</v>
      </c>
      <c r="D179" s="22">
        <v>46083</v>
      </c>
      <c r="E179">
        <v>1299</v>
      </c>
      <c r="F179" s="3"/>
      <c r="G179" t="s">
        <v>4553</v>
      </c>
    </row>
    <row r="180" spans="1:13" x14ac:dyDescent="0.25">
      <c r="A180" t="s">
        <v>5057</v>
      </c>
      <c r="B180">
        <v>3</v>
      </c>
      <c r="C180">
        <v>44</v>
      </c>
      <c r="D180" s="22">
        <v>46083</v>
      </c>
      <c r="E180">
        <v>3335</v>
      </c>
      <c r="F180" s="3"/>
      <c r="G180" t="s">
        <v>4662</v>
      </c>
      <c r="H180">
        <v>9</v>
      </c>
    </row>
    <row r="181" spans="1:13" x14ac:dyDescent="0.25">
      <c r="A181" t="s">
        <v>5057</v>
      </c>
      <c r="B181">
        <v>3</v>
      </c>
      <c r="C181">
        <v>44</v>
      </c>
      <c r="D181" s="22">
        <v>46083</v>
      </c>
      <c r="E181">
        <v>3506</v>
      </c>
      <c r="F181" s="3"/>
      <c r="G181" t="s">
        <v>4663</v>
      </c>
    </row>
    <row r="182" spans="1:13" x14ac:dyDescent="0.25">
      <c r="A182" t="s">
        <v>5057</v>
      </c>
      <c r="B182">
        <v>3</v>
      </c>
      <c r="C182">
        <v>44</v>
      </c>
      <c r="D182" s="22">
        <v>46083</v>
      </c>
      <c r="E182" s="21" t="s">
        <v>4657</v>
      </c>
      <c r="F182" s="3"/>
      <c r="G182" t="s">
        <v>4664</v>
      </c>
    </row>
    <row r="183" spans="1:13" x14ac:dyDescent="0.25">
      <c r="A183" t="s">
        <v>5057</v>
      </c>
      <c r="B183">
        <v>3</v>
      </c>
      <c r="C183">
        <v>44</v>
      </c>
      <c r="D183" s="22">
        <v>46083</v>
      </c>
      <c r="E183" s="21" t="s">
        <v>4658</v>
      </c>
      <c r="F183" s="3"/>
      <c r="G183" t="s">
        <v>4665</v>
      </c>
    </row>
    <row r="184" spans="1:13" x14ac:dyDescent="0.25">
      <c r="A184" t="s">
        <v>5057</v>
      </c>
      <c r="B184">
        <v>3</v>
      </c>
      <c r="C184">
        <v>44</v>
      </c>
      <c r="D184" s="22">
        <v>46083</v>
      </c>
      <c r="E184">
        <v>3124</v>
      </c>
      <c r="F184" s="3"/>
      <c r="G184" t="s">
        <v>4474</v>
      </c>
    </row>
    <row r="186" spans="1:13" ht="24" x14ac:dyDescent="0.4">
      <c r="D186" s="42" t="s">
        <v>4668</v>
      </c>
      <c r="E186" s="42"/>
      <c r="F186" s="42"/>
      <c r="G186" s="42"/>
      <c r="H186" s="42"/>
      <c r="I186" s="42"/>
      <c r="J186" s="42"/>
      <c r="K186" s="43" t="s">
        <v>4459</v>
      </c>
      <c r="L186" s="13" t="s">
        <v>4432</v>
      </c>
      <c r="M186" s="44" t="s">
        <v>4460</v>
      </c>
    </row>
    <row r="187" spans="1:13" ht="18.75" x14ac:dyDescent="0.3">
      <c r="D187" s="11" t="s">
        <v>4445</v>
      </c>
      <c r="E187" s="11" t="s">
        <v>4433</v>
      </c>
      <c r="F187" s="11" t="s">
        <v>4434</v>
      </c>
      <c r="G187" s="11" t="s">
        <v>4435</v>
      </c>
      <c r="H187" s="11" t="s">
        <v>4436</v>
      </c>
      <c r="I187" s="11" t="s">
        <v>4444</v>
      </c>
      <c r="J187" s="11" t="s">
        <v>4436</v>
      </c>
      <c r="K187" s="43"/>
      <c r="L187" s="11" t="s">
        <v>4447</v>
      </c>
      <c r="M187" s="44"/>
    </row>
    <row r="188" spans="1:13" x14ac:dyDescent="0.25">
      <c r="A188" t="s">
        <v>5057</v>
      </c>
      <c r="B188">
        <v>3</v>
      </c>
      <c r="C188">
        <v>45</v>
      </c>
      <c r="D188" s="22">
        <v>46055</v>
      </c>
      <c r="E188" s="21" t="s">
        <v>4669</v>
      </c>
      <c r="F188" s="3"/>
      <c r="G188" t="s">
        <v>4671</v>
      </c>
    </row>
    <row r="189" spans="1:13" x14ac:dyDescent="0.25">
      <c r="A189" t="s">
        <v>5057</v>
      </c>
      <c r="B189">
        <v>3</v>
      </c>
      <c r="C189">
        <v>45</v>
      </c>
      <c r="D189" s="22">
        <v>46055</v>
      </c>
      <c r="E189" s="21" t="s">
        <v>4670</v>
      </c>
      <c r="F189" s="3"/>
      <c r="G189" t="s">
        <v>4672</v>
      </c>
    </row>
    <row r="192" spans="1:13" ht="24" x14ac:dyDescent="0.4">
      <c r="D192" s="42" t="s">
        <v>4673</v>
      </c>
      <c r="E192" s="42"/>
      <c r="F192" s="42"/>
      <c r="G192" s="42"/>
      <c r="H192" s="42"/>
      <c r="I192" s="42"/>
      <c r="J192" s="42"/>
      <c r="K192" s="43" t="s">
        <v>4459</v>
      </c>
      <c r="L192" s="13" t="s">
        <v>4432</v>
      </c>
      <c r="M192" s="44" t="s">
        <v>4460</v>
      </c>
    </row>
    <row r="193" spans="1:13" ht="18.75" x14ac:dyDescent="0.3">
      <c r="D193" s="11" t="s">
        <v>4445</v>
      </c>
      <c r="E193" s="11" t="s">
        <v>4433</v>
      </c>
      <c r="F193" s="11" t="s">
        <v>4434</v>
      </c>
      <c r="G193" s="11" t="s">
        <v>4435</v>
      </c>
      <c r="H193" s="11" t="s">
        <v>4436</v>
      </c>
      <c r="I193" s="11" t="s">
        <v>4444</v>
      </c>
      <c r="J193" s="11" t="s">
        <v>4436</v>
      </c>
      <c r="K193" s="43"/>
      <c r="L193" s="11" t="s">
        <v>4447</v>
      </c>
      <c r="M193" s="44"/>
    </row>
    <row r="194" spans="1:13" x14ac:dyDescent="0.25">
      <c r="A194" t="s">
        <v>5057</v>
      </c>
      <c r="B194">
        <v>3</v>
      </c>
      <c r="C194">
        <v>46</v>
      </c>
      <c r="D194" s="22">
        <v>46055</v>
      </c>
      <c r="E194" s="21" t="s">
        <v>4674</v>
      </c>
      <c r="F194" s="3"/>
      <c r="G194" t="s">
        <v>4675</v>
      </c>
    </row>
    <row r="195" spans="1:13" x14ac:dyDescent="0.25">
      <c r="A195" t="s">
        <v>5057</v>
      </c>
      <c r="B195">
        <v>3</v>
      </c>
      <c r="C195">
        <v>46</v>
      </c>
      <c r="D195" s="22">
        <v>46055</v>
      </c>
      <c r="E195" s="21" t="s">
        <v>4677</v>
      </c>
      <c r="F195" s="3"/>
      <c r="G195" t="s">
        <v>4676</v>
      </c>
    </row>
    <row r="196" spans="1:13" x14ac:dyDescent="0.25">
      <c r="A196" t="s">
        <v>5057</v>
      </c>
      <c r="B196">
        <v>3</v>
      </c>
      <c r="C196">
        <v>46</v>
      </c>
      <c r="D196" s="22">
        <v>46055</v>
      </c>
      <c r="E196" s="21" t="s">
        <v>4678</v>
      </c>
      <c r="F196" s="3"/>
      <c r="G196" t="s">
        <v>4622</v>
      </c>
    </row>
    <row r="197" spans="1:13" x14ac:dyDescent="0.25">
      <c r="A197" t="s">
        <v>5057</v>
      </c>
      <c r="B197">
        <v>3</v>
      </c>
      <c r="C197">
        <v>46</v>
      </c>
      <c r="D197" s="22">
        <v>46055</v>
      </c>
      <c r="E197" s="21" t="s">
        <v>4679</v>
      </c>
      <c r="F197" s="3"/>
      <c r="G197" t="s">
        <v>4675</v>
      </c>
    </row>
    <row r="198" spans="1:13" x14ac:dyDescent="0.25">
      <c r="A198" t="s">
        <v>5057</v>
      </c>
      <c r="B198">
        <v>3</v>
      </c>
      <c r="C198">
        <v>46</v>
      </c>
      <c r="D198" s="22">
        <v>46055</v>
      </c>
      <c r="E198" s="21" t="s">
        <v>4680</v>
      </c>
      <c r="F198" s="3"/>
      <c r="G198" t="s">
        <v>4682</v>
      </c>
    </row>
    <row r="199" spans="1:13" x14ac:dyDescent="0.25">
      <c r="A199" t="s">
        <v>5057</v>
      </c>
      <c r="B199">
        <v>3</v>
      </c>
      <c r="C199">
        <v>46</v>
      </c>
      <c r="D199" s="22">
        <v>46055</v>
      </c>
      <c r="E199" s="21" t="s">
        <v>4681</v>
      </c>
      <c r="F199" s="3"/>
      <c r="G199" t="s">
        <v>4683</v>
      </c>
    </row>
    <row r="200" spans="1:13" x14ac:dyDescent="0.25">
      <c r="A200" t="s">
        <v>5057</v>
      </c>
      <c r="B200">
        <v>3</v>
      </c>
      <c r="C200">
        <v>46</v>
      </c>
      <c r="D200" s="22">
        <v>46055</v>
      </c>
      <c r="E200" s="21" t="s">
        <v>4666</v>
      </c>
      <c r="F200" s="3"/>
      <c r="G200" t="s">
        <v>4684</v>
      </c>
    </row>
    <row r="203" spans="1:13" ht="24" x14ac:dyDescent="0.4">
      <c r="D203" s="42" t="s">
        <v>4685</v>
      </c>
      <c r="E203" s="42"/>
      <c r="F203" s="42"/>
      <c r="G203" s="42"/>
      <c r="H203" s="42"/>
      <c r="I203" s="42"/>
      <c r="J203" s="42"/>
      <c r="K203" s="43" t="s">
        <v>4459</v>
      </c>
      <c r="L203" s="13" t="s">
        <v>4432</v>
      </c>
      <c r="M203" s="44" t="s">
        <v>4460</v>
      </c>
    </row>
    <row r="204" spans="1:13" ht="18.75" x14ac:dyDescent="0.3">
      <c r="D204" s="11" t="s">
        <v>4445</v>
      </c>
      <c r="E204" s="11" t="s">
        <v>4433</v>
      </c>
      <c r="F204" s="11" t="s">
        <v>4434</v>
      </c>
      <c r="G204" s="11" t="s">
        <v>4435</v>
      </c>
      <c r="H204" s="11" t="s">
        <v>4436</v>
      </c>
      <c r="I204" s="11" t="s">
        <v>4444</v>
      </c>
      <c r="J204" s="11" t="s">
        <v>4436</v>
      </c>
      <c r="K204" s="43"/>
      <c r="L204" s="11" t="s">
        <v>4447</v>
      </c>
      <c r="M204" s="44"/>
    </row>
    <row r="205" spans="1:13" x14ac:dyDescent="0.25">
      <c r="A205" t="s">
        <v>5057</v>
      </c>
      <c r="B205">
        <v>3</v>
      </c>
      <c r="C205">
        <v>47</v>
      </c>
      <c r="D205" s="22">
        <v>46055</v>
      </c>
      <c r="E205" s="21" t="s">
        <v>4686</v>
      </c>
      <c r="F205" s="3"/>
      <c r="G205" t="s">
        <v>4549</v>
      </c>
    </row>
    <row r="206" spans="1:13" x14ac:dyDescent="0.25">
      <c r="A206" t="s">
        <v>5057</v>
      </c>
      <c r="B206">
        <v>3</v>
      </c>
      <c r="C206">
        <v>47</v>
      </c>
      <c r="D206" s="22">
        <v>46055</v>
      </c>
      <c r="E206" s="21" t="s">
        <v>4687</v>
      </c>
      <c r="F206" s="3"/>
      <c r="G206" t="s">
        <v>4468</v>
      </c>
    </row>
    <row r="207" spans="1:13" x14ac:dyDescent="0.25">
      <c r="A207" t="s">
        <v>5057</v>
      </c>
      <c r="B207">
        <v>3</v>
      </c>
      <c r="C207">
        <v>47</v>
      </c>
      <c r="D207" s="22">
        <v>46055</v>
      </c>
      <c r="E207" s="21" t="s">
        <v>4688</v>
      </c>
      <c r="F207" s="3"/>
      <c r="G207" t="s">
        <v>4691</v>
      </c>
    </row>
    <row r="208" spans="1:13" x14ac:dyDescent="0.25">
      <c r="A208" t="s">
        <v>5057</v>
      </c>
      <c r="B208">
        <v>3</v>
      </c>
      <c r="C208">
        <v>47</v>
      </c>
      <c r="D208" s="22">
        <v>46055</v>
      </c>
      <c r="E208" s="21" t="s">
        <v>4689</v>
      </c>
      <c r="F208" s="3"/>
      <c r="G208" t="s">
        <v>4547</v>
      </c>
    </row>
    <row r="209" spans="1:13" x14ac:dyDescent="0.25">
      <c r="A209" t="s">
        <v>5057</v>
      </c>
      <c r="B209">
        <v>3</v>
      </c>
      <c r="C209">
        <v>47</v>
      </c>
      <c r="D209" s="22">
        <v>46055</v>
      </c>
      <c r="E209" s="21" t="s">
        <v>4690</v>
      </c>
      <c r="F209" s="3"/>
      <c r="G209" t="s">
        <v>4692</v>
      </c>
    </row>
    <row r="210" spans="1:13" x14ac:dyDescent="0.25">
      <c r="A210" t="s">
        <v>5057</v>
      </c>
      <c r="B210">
        <v>3</v>
      </c>
      <c r="C210">
        <v>47</v>
      </c>
      <c r="D210" s="22">
        <v>46055</v>
      </c>
      <c r="E210" s="21" t="s">
        <v>4669</v>
      </c>
      <c r="F210" s="3"/>
      <c r="G210" t="s">
        <v>4693</v>
      </c>
    </row>
    <row r="213" spans="1:13" ht="24" x14ac:dyDescent="0.4">
      <c r="D213" s="42" t="s">
        <v>4694</v>
      </c>
      <c r="E213" s="42"/>
      <c r="F213" s="42"/>
      <c r="G213" s="42"/>
      <c r="H213" s="42"/>
      <c r="I213" s="42"/>
      <c r="J213" s="42"/>
      <c r="K213" s="43" t="s">
        <v>4459</v>
      </c>
      <c r="L213" s="13" t="s">
        <v>4432</v>
      </c>
      <c r="M213" s="44" t="s">
        <v>4460</v>
      </c>
    </row>
    <row r="214" spans="1:13" ht="18.75" x14ac:dyDescent="0.3">
      <c r="D214" s="11" t="s">
        <v>4445</v>
      </c>
      <c r="E214" s="11" t="s">
        <v>4433</v>
      </c>
      <c r="F214" s="11" t="s">
        <v>4434</v>
      </c>
      <c r="G214" s="11" t="s">
        <v>4435</v>
      </c>
      <c r="H214" s="11" t="s">
        <v>4436</v>
      </c>
      <c r="I214" s="11" t="s">
        <v>4444</v>
      </c>
      <c r="J214" s="11" t="s">
        <v>4436</v>
      </c>
      <c r="K214" s="43"/>
      <c r="L214" s="11" t="s">
        <v>4447</v>
      </c>
      <c r="M214" s="44"/>
    </row>
    <row r="215" spans="1:13" x14ac:dyDescent="0.25">
      <c r="A215" t="s">
        <v>5057</v>
      </c>
      <c r="B215">
        <v>3</v>
      </c>
      <c r="C215">
        <v>48</v>
      </c>
      <c r="D215" s="22">
        <v>46055</v>
      </c>
      <c r="E215" s="21" t="s">
        <v>4695</v>
      </c>
      <c r="F215" s="3"/>
      <c r="G215" t="s">
        <v>4699</v>
      </c>
    </row>
    <row r="216" spans="1:13" x14ac:dyDescent="0.25">
      <c r="A216" t="s">
        <v>5057</v>
      </c>
      <c r="B216">
        <v>3</v>
      </c>
      <c r="C216">
        <v>48</v>
      </c>
      <c r="D216" s="22">
        <v>46055</v>
      </c>
      <c r="E216" s="21" t="s">
        <v>4696</v>
      </c>
      <c r="F216" s="3"/>
      <c r="G216" t="s">
        <v>4700</v>
      </c>
    </row>
    <row r="217" spans="1:13" x14ac:dyDescent="0.25">
      <c r="A217" t="s">
        <v>5057</v>
      </c>
      <c r="B217">
        <v>3</v>
      </c>
      <c r="C217">
        <v>48</v>
      </c>
      <c r="D217" s="22">
        <v>46055</v>
      </c>
      <c r="E217" s="21" t="s">
        <v>4697</v>
      </c>
      <c r="F217" s="3"/>
      <c r="H217" t="s">
        <v>4701</v>
      </c>
    </row>
    <row r="218" spans="1:13" x14ac:dyDescent="0.25">
      <c r="A218" t="s">
        <v>5057</v>
      </c>
      <c r="B218">
        <v>3</v>
      </c>
      <c r="C218">
        <v>48</v>
      </c>
      <c r="D218" s="22">
        <v>46055</v>
      </c>
      <c r="E218" s="21" t="s">
        <v>4698</v>
      </c>
      <c r="F218" s="3"/>
      <c r="G218" t="s">
        <v>4702</v>
      </c>
    </row>
    <row r="219" spans="1:13" x14ac:dyDescent="0.25">
      <c r="A219" t="s">
        <v>5057</v>
      </c>
      <c r="B219">
        <v>3</v>
      </c>
      <c r="C219">
        <v>48</v>
      </c>
      <c r="D219" s="22">
        <v>46055</v>
      </c>
      <c r="E219" s="21" t="s">
        <v>4703</v>
      </c>
      <c r="F219" s="3"/>
      <c r="G219" t="s">
        <v>4707</v>
      </c>
    </row>
    <row r="220" spans="1:13" x14ac:dyDescent="0.25">
      <c r="A220" t="s">
        <v>5057</v>
      </c>
      <c r="B220">
        <v>3</v>
      </c>
      <c r="C220">
        <v>48</v>
      </c>
      <c r="D220" s="22">
        <v>46055</v>
      </c>
      <c r="E220" s="21" t="s">
        <v>4704</v>
      </c>
      <c r="F220" s="3"/>
      <c r="H220">
        <v>82</v>
      </c>
    </row>
    <row r="221" spans="1:13" x14ac:dyDescent="0.25">
      <c r="A221" t="s">
        <v>5057</v>
      </c>
      <c r="B221">
        <v>3</v>
      </c>
      <c r="C221">
        <v>48</v>
      </c>
      <c r="D221" s="22">
        <v>46055</v>
      </c>
      <c r="E221" s="21" t="s">
        <v>4705</v>
      </c>
      <c r="F221" s="3"/>
      <c r="G221" t="s">
        <v>4708</v>
      </c>
    </row>
    <row r="222" spans="1:13" x14ac:dyDescent="0.25">
      <c r="A222" t="s">
        <v>5057</v>
      </c>
      <c r="B222">
        <v>3</v>
      </c>
      <c r="C222">
        <v>48</v>
      </c>
      <c r="D222" s="22">
        <v>46055</v>
      </c>
      <c r="E222">
        <v>3281</v>
      </c>
      <c r="F222" s="3"/>
      <c r="M222" t="s">
        <v>4709</v>
      </c>
    </row>
    <row r="223" spans="1:13" x14ac:dyDescent="0.25">
      <c r="A223" t="s">
        <v>5057</v>
      </c>
      <c r="B223">
        <v>3</v>
      </c>
      <c r="C223">
        <v>48</v>
      </c>
      <c r="D223" s="22">
        <v>46055</v>
      </c>
      <c r="E223" s="21" t="s">
        <v>4706</v>
      </c>
      <c r="F223" s="3"/>
      <c r="H223">
        <v>30</v>
      </c>
    </row>
    <row r="224" spans="1:13" x14ac:dyDescent="0.25">
      <c r="A224" t="s">
        <v>5057</v>
      </c>
      <c r="B224">
        <v>3</v>
      </c>
      <c r="C224">
        <v>48</v>
      </c>
      <c r="D224" s="22">
        <v>46055</v>
      </c>
      <c r="E224">
        <v>3020</v>
      </c>
      <c r="F224" s="3"/>
      <c r="H224">
        <v>9</v>
      </c>
    </row>
    <row r="225" spans="1:8" x14ac:dyDescent="0.25">
      <c r="A225" t="s">
        <v>5057</v>
      </c>
      <c r="B225">
        <v>3</v>
      </c>
      <c r="C225">
        <v>48</v>
      </c>
      <c r="D225" s="22">
        <v>46055</v>
      </c>
      <c r="E225">
        <v>3006</v>
      </c>
      <c r="F225" s="3"/>
      <c r="H225">
        <v>10</v>
      </c>
    </row>
    <row r="226" spans="1:8" x14ac:dyDescent="0.25">
      <c r="A226" t="s">
        <v>5057</v>
      </c>
      <c r="B226">
        <v>3</v>
      </c>
      <c r="C226">
        <v>48</v>
      </c>
      <c r="E226">
        <v>3028</v>
      </c>
      <c r="F226" s="3"/>
      <c r="H226">
        <v>4</v>
      </c>
    </row>
    <row r="227" spans="1:8" x14ac:dyDescent="0.25">
      <c r="A227" t="s">
        <v>5057</v>
      </c>
      <c r="B227">
        <v>3</v>
      </c>
      <c r="C227">
        <v>48</v>
      </c>
      <c r="E227">
        <v>3005</v>
      </c>
      <c r="F227" s="3"/>
      <c r="H227">
        <v>5</v>
      </c>
    </row>
    <row r="228" spans="1:8" x14ac:dyDescent="0.25">
      <c r="A228" t="s">
        <v>5057</v>
      </c>
      <c r="B228">
        <v>3</v>
      </c>
      <c r="C228">
        <v>48</v>
      </c>
      <c r="E228">
        <v>3027</v>
      </c>
      <c r="F228" s="3"/>
      <c r="H228">
        <v>3</v>
      </c>
    </row>
    <row r="229" spans="1:8" x14ac:dyDescent="0.25">
      <c r="A229" t="s">
        <v>5057</v>
      </c>
      <c r="B229">
        <v>3</v>
      </c>
      <c r="C229">
        <v>48</v>
      </c>
      <c r="E229">
        <v>2998</v>
      </c>
      <c r="F229" s="3"/>
      <c r="H229">
        <v>23</v>
      </c>
    </row>
    <row r="230" spans="1:8" x14ac:dyDescent="0.25">
      <c r="A230" t="s">
        <v>5057</v>
      </c>
      <c r="B230">
        <v>3</v>
      </c>
      <c r="C230">
        <v>48</v>
      </c>
      <c r="E230">
        <v>312</v>
      </c>
      <c r="F230" s="3"/>
      <c r="G230" t="s">
        <v>4548</v>
      </c>
    </row>
    <row r="231" spans="1:8" x14ac:dyDescent="0.25">
      <c r="A231" t="s">
        <v>5057</v>
      </c>
      <c r="B231">
        <v>3</v>
      </c>
      <c r="C231">
        <v>48</v>
      </c>
      <c r="E231">
        <v>3018</v>
      </c>
      <c r="F231" s="3"/>
      <c r="H231">
        <v>10</v>
      </c>
    </row>
    <row r="232" spans="1:8" x14ac:dyDescent="0.25">
      <c r="A232" t="s">
        <v>5057</v>
      </c>
      <c r="B232">
        <v>3</v>
      </c>
      <c r="C232">
        <v>48</v>
      </c>
      <c r="E232">
        <v>526</v>
      </c>
      <c r="F232" s="3"/>
      <c r="H232" t="s">
        <v>4547</v>
      </c>
    </row>
  </sheetData>
  <mergeCells count="43">
    <mergeCell ref="D203:J203"/>
    <mergeCell ref="K203:K204"/>
    <mergeCell ref="M203:M204"/>
    <mergeCell ref="D213:J213"/>
    <mergeCell ref="K213:K214"/>
    <mergeCell ref="M213:M214"/>
    <mergeCell ref="D186:J186"/>
    <mergeCell ref="K186:K187"/>
    <mergeCell ref="M186:M187"/>
    <mergeCell ref="D192:J192"/>
    <mergeCell ref="K192:K193"/>
    <mergeCell ref="M192:M193"/>
    <mergeCell ref="D145:J145"/>
    <mergeCell ref="K145:K146"/>
    <mergeCell ref="M145:M146"/>
    <mergeCell ref="D169:J169"/>
    <mergeCell ref="K169:K170"/>
    <mergeCell ref="M169:M170"/>
    <mergeCell ref="D126:J126"/>
    <mergeCell ref="K126:K127"/>
    <mergeCell ref="M126:M127"/>
    <mergeCell ref="D137:J137"/>
    <mergeCell ref="K137:K138"/>
    <mergeCell ref="M137:M138"/>
    <mergeCell ref="D80:J80"/>
    <mergeCell ref="K80:K81"/>
    <mergeCell ref="M80:M81"/>
    <mergeCell ref="D104:J104"/>
    <mergeCell ref="K104:K105"/>
    <mergeCell ref="M104:M105"/>
    <mergeCell ref="D57:J57"/>
    <mergeCell ref="K57:K58"/>
    <mergeCell ref="M57:M58"/>
    <mergeCell ref="D63:J63"/>
    <mergeCell ref="K63:K64"/>
    <mergeCell ref="M63:M64"/>
    <mergeCell ref="D1:K1"/>
    <mergeCell ref="D2:J2"/>
    <mergeCell ref="K2:K3"/>
    <mergeCell ref="M2:M3"/>
    <mergeCell ref="D19:J19"/>
    <mergeCell ref="K19:K20"/>
    <mergeCell ref="M19:M2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4B279-642E-4DDC-A94E-8CC7E6D459C4}">
  <dimension ref="A1:O250"/>
  <sheetViews>
    <sheetView zoomScale="98" zoomScaleNormal="98" workbookViewId="0"/>
  </sheetViews>
  <sheetFormatPr defaultColWidth="11.42578125" defaultRowHeight="15" x14ac:dyDescent="0.25"/>
  <cols>
    <col min="4" max="4" width="12.5703125" customWidth="1"/>
    <col min="5" max="5" width="10.85546875" customWidth="1"/>
    <col min="6" max="6" width="43.140625" customWidth="1"/>
    <col min="13" max="13" width="28.5703125" customWidth="1"/>
    <col min="15" max="15" width="71.5703125" bestFit="1" customWidth="1"/>
  </cols>
  <sheetData>
    <row r="1" spans="1:15" ht="30" customHeight="1" x14ac:dyDescent="0.4">
      <c r="D1" s="45" t="s">
        <v>4712</v>
      </c>
      <c r="E1" s="45"/>
      <c r="F1" s="45"/>
      <c r="G1" s="45"/>
      <c r="H1" s="45"/>
      <c r="I1" s="45"/>
      <c r="J1" s="45"/>
      <c r="K1" s="45"/>
    </row>
    <row r="2" spans="1:15" ht="24" x14ac:dyDescent="0.4">
      <c r="D2" s="42" t="s">
        <v>4713</v>
      </c>
      <c r="E2" s="42"/>
      <c r="F2" s="42"/>
      <c r="G2" s="42"/>
      <c r="H2" s="42"/>
      <c r="I2" s="42"/>
      <c r="J2" s="42"/>
      <c r="K2" s="43" t="s">
        <v>4459</v>
      </c>
      <c r="L2" s="13" t="s">
        <v>4432</v>
      </c>
      <c r="M2" s="44" t="s">
        <v>4460</v>
      </c>
      <c r="O2" s="27" t="s">
        <v>5043</v>
      </c>
    </row>
    <row r="3" spans="1:15" ht="18.75" x14ac:dyDescent="0.3">
      <c r="D3" s="11" t="s">
        <v>4445</v>
      </c>
      <c r="E3" s="11" t="s">
        <v>4433</v>
      </c>
      <c r="F3" s="11" t="s">
        <v>4434</v>
      </c>
      <c r="G3" s="11" t="s">
        <v>4435</v>
      </c>
      <c r="H3" s="11" t="s">
        <v>4436</v>
      </c>
      <c r="I3" s="11" t="s">
        <v>4444</v>
      </c>
      <c r="J3" s="11" t="s">
        <v>4436</v>
      </c>
      <c r="K3" s="43"/>
      <c r="L3" s="11" t="s">
        <v>4447</v>
      </c>
      <c r="M3" s="44"/>
      <c r="O3" t="s">
        <v>5042</v>
      </c>
    </row>
    <row r="4" spans="1:15" x14ac:dyDescent="0.25">
      <c r="A4" t="s">
        <v>5057</v>
      </c>
      <c r="B4">
        <v>4</v>
      </c>
      <c r="D4" s="22">
        <v>46083</v>
      </c>
      <c r="E4">
        <v>3322</v>
      </c>
      <c r="F4" s="3"/>
      <c r="H4">
        <v>36</v>
      </c>
    </row>
    <row r="5" spans="1:15" x14ac:dyDescent="0.25">
      <c r="D5" s="22">
        <v>46083</v>
      </c>
      <c r="E5">
        <v>1652</v>
      </c>
      <c r="F5" s="3"/>
      <c r="H5">
        <v>6</v>
      </c>
    </row>
    <row r="6" spans="1:15" x14ac:dyDescent="0.25">
      <c r="D6" s="22">
        <v>46083</v>
      </c>
      <c r="E6" s="8">
        <v>7187</v>
      </c>
      <c r="F6" s="3"/>
    </row>
    <row r="7" spans="1:15" x14ac:dyDescent="0.25">
      <c r="D7" s="22">
        <v>46083</v>
      </c>
      <c r="E7">
        <v>1654</v>
      </c>
      <c r="F7" s="3"/>
      <c r="G7" t="s">
        <v>4714</v>
      </c>
    </row>
    <row r="8" spans="1:15" x14ac:dyDescent="0.25">
      <c r="F8" s="3" t="s">
        <v>5041</v>
      </c>
    </row>
    <row r="9" spans="1:15" ht="24" x14ac:dyDescent="0.4">
      <c r="D9" s="42" t="s">
        <v>4560</v>
      </c>
      <c r="E9" s="42"/>
      <c r="F9" s="42"/>
      <c r="G9" s="42"/>
      <c r="H9" s="42"/>
      <c r="I9" s="42"/>
      <c r="J9" s="42"/>
      <c r="K9" s="43" t="s">
        <v>4459</v>
      </c>
      <c r="L9" s="13" t="s">
        <v>4432</v>
      </c>
      <c r="M9" s="44" t="s">
        <v>4460</v>
      </c>
    </row>
    <row r="10" spans="1:15" ht="18.75" x14ac:dyDescent="0.3">
      <c r="D10" s="11" t="s">
        <v>4445</v>
      </c>
      <c r="E10" s="11" t="s">
        <v>4433</v>
      </c>
      <c r="F10" s="11" t="s">
        <v>4434</v>
      </c>
      <c r="G10" s="11" t="s">
        <v>4435</v>
      </c>
      <c r="H10" s="11" t="s">
        <v>4436</v>
      </c>
      <c r="I10" s="11" t="s">
        <v>4444</v>
      </c>
      <c r="J10" s="11" t="s">
        <v>4436</v>
      </c>
      <c r="K10" s="43"/>
      <c r="L10" s="11" t="s">
        <v>4447</v>
      </c>
      <c r="M10" s="44"/>
    </row>
    <row r="11" spans="1:15" x14ac:dyDescent="0.25">
      <c r="A11" t="s">
        <v>5057</v>
      </c>
      <c r="B11">
        <v>4</v>
      </c>
      <c r="C11">
        <v>1</v>
      </c>
      <c r="D11" s="22">
        <v>46083</v>
      </c>
      <c r="E11" s="21" t="s">
        <v>4710</v>
      </c>
      <c r="F11" s="3"/>
      <c r="H11" t="s">
        <v>4715</v>
      </c>
    </row>
    <row r="12" spans="1:15" x14ac:dyDescent="0.25">
      <c r="A12" t="s">
        <v>5057</v>
      </c>
      <c r="B12">
        <v>4</v>
      </c>
      <c r="C12">
        <v>1</v>
      </c>
      <c r="D12" s="22">
        <v>46083</v>
      </c>
      <c r="E12" s="21" t="s">
        <v>4711</v>
      </c>
      <c r="F12" s="3"/>
      <c r="H12" t="s">
        <v>4716</v>
      </c>
    </row>
    <row r="13" spans="1:15" x14ac:dyDescent="0.25">
      <c r="F13" s="3"/>
    </row>
    <row r="14" spans="1:15" ht="24" x14ac:dyDescent="0.4">
      <c r="D14" s="42" t="s">
        <v>4565</v>
      </c>
      <c r="E14" s="42"/>
      <c r="F14" s="42"/>
      <c r="G14" s="42"/>
      <c r="H14" s="42"/>
      <c r="I14" s="42"/>
      <c r="J14" s="42"/>
      <c r="K14" s="43" t="s">
        <v>4459</v>
      </c>
      <c r="L14" s="13" t="s">
        <v>4432</v>
      </c>
      <c r="M14" s="44" t="s">
        <v>4460</v>
      </c>
    </row>
    <row r="15" spans="1:15" ht="18.75" x14ac:dyDescent="0.3">
      <c r="D15" s="11" t="s">
        <v>4445</v>
      </c>
      <c r="E15" s="11" t="s">
        <v>4433</v>
      </c>
      <c r="F15" s="11" t="s">
        <v>4434</v>
      </c>
      <c r="G15" s="11" t="s">
        <v>4435</v>
      </c>
      <c r="H15" s="11" t="s">
        <v>4436</v>
      </c>
      <c r="I15" s="11" t="s">
        <v>4444</v>
      </c>
      <c r="J15" s="11" t="s">
        <v>4436</v>
      </c>
      <c r="K15" s="43"/>
      <c r="L15" s="11" t="s">
        <v>4447</v>
      </c>
      <c r="M15" s="44"/>
    </row>
    <row r="16" spans="1:15" x14ac:dyDescent="0.25">
      <c r="A16" t="s">
        <v>5057</v>
      </c>
      <c r="B16">
        <v>4</v>
      </c>
      <c r="C16">
        <v>2</v>
      </c>
      <c r="D16" s="22">
        <v>46083</v>
      </c>
      <c r="E16">
        <v>12431</v>
      </c>
      <c r="F16" s="3"/>
      <c r="G16" t="s">
        <v>4603</v>
      </c>
      <c r="H16">
        <v>5</v>
      </c>
    </row>
    <row r="17" spans="1:13" x14ac:dyDescent="0.25">
      <c r="A17" t="s">
        <v>5057</v>
      </c>
      <c r="B17">
        <v>4</v>
      </c>
      <c r="C17">
        <v>2</v>
      </c>
      <c r="D17" s="22">
        <v>46083</v>
      </c>
      <c r="E17">
        <v>1249</v>
      </c>
      <c r="F17" s="3"/>
      <c r="G17" t="s">
        <v>4718</v>
      </c>
      <c r="H17">
        <v>3</v>
      </c>
    </row>
    <row r="18" spans="1:13" x14ac:dyDescent="0.25">
      <c r="A18" t="s">
        <v>5057</v>
      </c>
      <c r="B18">
        <v>4</v>
      </c>
      <c r="C18">
        <v>2</v>
      </c>
      <c r="D18" s="22">
        <v>46083</v>
      </c>
      <c r="E18">
        <v>1246</v>
      </c>
      <c r="F18" s="3"/>
      <c r="G18" t="s">
        <v>4719</v>
      </c>
    </row>
    <row r="19" spans="1:13" x14ac:dyDescent="0.25">
      <c r="A19" t="s">
        <v>5057</v>
      </c>
      <c r="B19">
        <v>4</v>
      </c>
      <c r="C19">
        <v>2</v>
      </c>
      <c r="D19" s="22">
        <v>46083</v>
      </c>
      <c r="E19">
        <v>12521</v>
      </c>
      <c r="F19" s="3"/>
      <c r="G19" t="s">
        <v>4720</v>
      </c>
      <c r="H19">
        <v>2</v>
      </c>
    </row>
    <row r="20" spans="1:13" x14ac:dyDescent="0.25">
      <c r="A20" t="s">
        <v>5057</v>
      </c>
      <c r="B20">
        <v>4</v>
      </c>
      <c r="C20">
        <v>2</v>
      </c>
      <c r="D20" s="22">
        <v>46083</v>
      </c>
      <c r="E20">
        <v>12441</v>
      </c>
      <c r="F20" s="3"/>
      <c r="G20" t="s">
        <v>4604</v>
      </c>
      <c r="H20">
        <v>8</v>
      </c>
    </row>
    <row r="21" spans="1:13" x14ac:dyDescent="0.25">
      <c r="A21" t="s">
        <v>5057</v>
      </c>
      <c r="B21">
        <v>4</v>
      </c>
      <c r="C21">
        <v>2</v>
      </c>
      <c r="D21" s="22">
        <v>46083</v>
      </c>
      <c r="E21">
        <v>12451</v>
      </c>
      <c r="F21" s="3"/>
      <c r="G21" t="s">
        <v>4581</v>
      </c>
      <c r="H21">
        <v>1</v>
      </c>
    </row>
    <row r="22" spans="1:13" x14ac:dyDescent="0.25">
      <c r="A22" t="s">
        <v>5057</v>
      </c>
      <c r="B22">
        <v>4</v>
      </c>
      <c r="C22">
        <v>2</v>
      </c>
      <c r="D22" s="22">
        <v>46083</v>
      </c>
      <c r="E22">
        <v>1247</v>
      </c>
      <c r="F22" s="3"/>
      <c r="G22" t="s">
        <v>4721</v>
      </c>
      <c r="H22">
        <v>4</v>
      </c>
    </row>
    <row r="23" spans="1:13" x14ac:dyDescent="0.25">
      <c r="A23" t="s">
        <v>5057</v>
      </c>
      <c r="B23">
        <v>4</v>
      </c>
      <c r="C23">
        <v>2</v>
      </c>
      <c r="D23" s="22">
        <v>46083</v>
      </c>
      <c r="E23">
        <v>1248</v>
      </c>
      <c r="F23" s="3"/>
      <c r="G23" t="s">
        <v>4581</v>
      </c>
    </row>
    <row r="24" spans="1:13" x14ac:dyDescent="0.25">
      <c r="A24" t="s">
        <v>5057</v>
      </c>
      <c r="B24">
        <v>4</v>
      </c>
      <c r="C24">
        <v>2</v>
      </c>
      <c r="D24" s="22">
        <v>46083</v>
      </c>
      <c r="E24">
        <v>12501</v>
      </c>
      <c r="F24" s="3"/>
      <c r="G24" t="s">
        <v>4718</v>
      </c>
      <c r="H24">
        <v>2</v>
      </c>
    </row>
    <row r="26" spans="1:13" ht="24" x14ac:dyDescent="0.4">
      <c r="D26" s="42" t="s">
        <v>4717</v>
      </c>
      <c r="E26" s="42"/>
      <c r="F26" s="42"/>
      <c r="G26" s="42"/>
      <c r="H26" s="42"/>
      <c r="I26" s="42"/>
      <c r="J26" s="42"/>
      <c r="K26" s="43" t="s">
        <v>4459</v>
      </c>
      <c r="L26" s="13" t="s">
        <v>4432</v>
      </c>
      <c r="M26" s="44" t="s">
        <v>4460</v>
      </c>
    </row>
    <row r="27" spans="1:13" ht="18.75" x14ac:dyDescent="0.3">
      <c r="D27" s="11" t="s">
        <v>4445</v>
      </c>
      <c r="E27" s="11" t="s">
        <v>4433</v>
      </c>
      <c r="F27" s="11" t="s">
        <v>4434</v>
      </c>
      <c r="G27" s="11" t="s">
        <v>4435</v>
      </c>
      <c r="H27" s="11" t="s">
        <v>4436</v>
      </c>
      <c r="I27" s="11" t="s">
        <v>4444</v>
      </c>
      <c r="J27" s="11" t="s">
        <v>4436</v>
      </c>
      <c r="K27" s="43"/>
      <c r="L27" s="11" t="s">
        <v>4447</v>
      </c>
      <c r="M27" s="44"/>
    </row>
    <row r="28" spans="1:13" x14ac:dyDescent="0.25">
      <c r="A28" t="s">
        <v>5057</v>
      </c>
      <c r="B28">
        <v>4</v>
      </c>
      <c r="C28">
        <v>3</v>
      </c>
      <c r="D28" s="22">
        <v>46083</v>
      </c>
      <c r="E28">
        <v>12541</v>
      </c>
      <c r="F28" s="3"/>
      <c r="G28" t="s">
        <v>4604</v>
      </c>
      <c r="H28">
        <v>6</v>
      </c>
    </row>
    <row r="29" spans="1:13" x14ac:dyDescent="0.25">
      <c r="A29" t="s">
        <v>5057</v>
      </c>
      <c r="B29">
        <v>4</v>
      </c>
      <c r="C29">
        <v>3</v>
      </c>
      <c r="D29" s="22">
        <v>46083</v>
      </c>
      <c r="E29">
        <v>12601</v>
      </c>
      <c r="F29" s="3"/>
      <c r="G29" t="s">
        <v>4722</v>
      </c>
      <c r="H29">
        <v>5</v>
      </c>
    </row>
    <row r="30" spans="1:13" x14ac:dyDescent="0.25">
      <c r="A30" t="s">
        <v>5057</v>
      </c>
      <c r="B30">
        <v>4</v>
      </c>
      <c r="C30">
        <v>3</v>
      </c>
      <c r="D30" s="22">
        <v>46083</v>
      </c>
      <c r="E30">
        <v>12551</v>
      </c>
      <c r="F30" s="3"/>
      <c r="G30" t="s">
        <v>4723</v>
      </c>
    </row>
    <row r="31" spans="1:13" x14ac:dyDescent="0.25">
      <c r="A31" t="s">
        <v>5057</v>
      </c>
      <c r="B31">
        <v>4</v>
      </c>
      <c r="C31">
        <v>3</v>
      </c>
      <c r="D31" s="22">
        <v>46083</v>
      </c>
      <c r="E31">
        <v>12603</v>
      </c>
      <c r="F31" s="3"/>
      <c r="H31">
        <v>2</v>
      </c>
    </row>
    <row r="32" spans="1:13" x14ac:dyDescent="0.25">
      <c r="A32" t="s">
        <v>5057</v>
      </c>
      <c r="B32">
        <v>4</v>
      </c>
      <c r="C32">
        <v>3</v>
      </c>
      <c r="D32" s="22">
        <v>46083</v>
      </c>
      <c r="E32">
        <v>12602</v>
      </c>
      <c r="F32" s="3"/>
      <c r="G32" t="s">
        <v>4724</v>
      </c>
      <c r="H32">
        <v>3</v>
      </c>
    </row>
    <row r="33" spans="1:13" x14ac:dyDescent="0.25">
      <c r="A33" t="s">
        <v>5057</v>
      </c>
      <c r="B33">
        <v>4</v>
      </c>
      <c r="C33">
        <v>3</v>
      </c>
      <c r="D33" s="22">
        <v>46083</v>
      </c>
      <c r="E33">
        <v>12561</v>
      </c>
      <c r="F33" s="3"/>
      <c r="G33" t="s">
        <v>4604</v>
      </c>
      <c r="H33">
        <v>7</v>
      </c>
    </row>
    <row r="35" spans="1:13" ht="24" x14ac:dyDescent="0.4">
      <c r="D35" s="42" t="s">
        <v>4725</v>
      </c>
      <c r="E35" s="42"/>
      <c r="F35" s="42"/>
      <c r="G35" s="42"/>
      <c r="H35" s="42"/>
      <c r="I35" s="42"/>
      <c r="J35" s="42"/>
      <c r="K35" s="43" t="s">
        <v>4459</v>
      </c>
      <c r="L35" s="13" t="s">
        <v>4432</v>
      </c>
      <c r="M35" s="44" t="s">
        <v>4460</v>
      </c>
    </row>
    <row r="36" spans="1:13" ht="18.75" x14ac:dyDescent="0.3">
      <c r="D36" s="11" t="s">
        <v>4445</v>
      </c>
      <c r="E36" s="11" t="s">
        <v>4433</v>
      </c>
      <c r="F36" s="11" t="s">
        <v>4434</v>
      </c>
      <c r="G36" s="11" t="s">
        <v>4435</v>
      </c>
      <c r="H36" s="11" t="s">
        <v>4436</v>
      </c>
      <c r="I36" s="11" t="s">
        <v>4444</v>
      </c>
      <c r="J36" s="11" t="s">
        <v>4436</v>
      </c>
      <c r="K36" s="43"/>
      <c r="L36" s="11" t="s">
        <v>4447</v>
      </c>
      <c r="M36" s="44"/>
    </row>
    <row r="37" spans="1:13" x14ac:dyDescent="0.25">
      <c r="A37" t="s">
        <v>5057</v>
      </c>
      <c r="B37">
        <v>4</v>
      </c>
      <c r="C37">
        <v>4</v>
      </c>
      <c r="D37" s="22">
        <v>46083</v>
      </c>
      <c r="E37">
        <v>12533</v>
      </c>
      <c r="F37" s="3"/>
      <c r="G37" t="s">
        <v>4732</v>
      </c>
      <c r="H37">
        <v>1</v>
      </c>
    </row>
    <row r="38" spans="1:13" x14ac:dyDescent="0.25">
      <c r="A38" t="s">
        <v>5057</v>
      </c>
      <c r="B38">
        <v>4</v>
      </c>
      <c r="C38">
        <v>4</v>
      </c>
      <c r="D38" s="22">
        <v>46083</v>
      </c>
      <c r="E38">
        <v>1277</v>
      </c>
      <c r="F38" s="3"/>
      <c r="G38" t="s">
        <v>4733</v>
      </c>
      <c r="H38">
        <v>1</v>
      </c>
    </row>
    <row r="40" spans="1:13" ht="24" x14ac:dyDescent="0.4">
      <c r="D40" s="42" t="s">
        <v>4730</v>
      </c>
      <c r="E40" s="42"/>
      <c r="F40" s="42"/>
      <c r="G40" s="42"/>
      <c r="H40" s="42"/>
      <c r="I40" s="42"/>
      <c r="J40" s="42"/>
      <c r="K40" s="43" t="s">
        <v>4459</v>
      </c>
      <c r="L40" s="13" t="s">
        <v>4432</v>
      </c>
      <c r="M40" s="44" t="s">
        <v>4460</v>
      </c>
    </row>
    <row r="41" spans="1:13" ht="18.75" x14ac:dyDescent="0.3">
      <c r="D41" s="11" t="s">
        <v>4445</v>
      </c>
      <c r="E41" s="11" t="s">
        <v>4433</v>
      </c>
      <c r="F41" s="11" t="s">
        <v>4434</v>
      </c>
      <c r="G41" s="11" t="s">
        <v>4435</v>
      </c>
      <c r="H41" s="11" t="s">
        <v>4436</v>
      </c>
      <c r="I41" s="11" t="s">
        <v>4444</v>
      </c>
      <c r="J41" s="11" t="s">
        <v>4436</v>
      </c>
      <c r="K41" s="43"/>
      <c r="L41" s="11" t="s">
        <v>4447</v>
      </c>
      <c r="M41" s="44"/>
    </row>
    <row r="42" spans="1:13" x14ac:dyDescent="0.25">
      <c r="A42" t="s">
        <v>5057</v>
      </c>
      <c r="B42">
        <v>4</v>
      </c>
      <c r="C42">
        <v>5</v>
      </c>
      <c r="D42" s="22">
        <v>46083</v>
      </c>
      <c r="E42" s="26" t="s">
        <v>4726</v>
      </c>
      <c r="F42" s="3"/>
      <c r="G42" t="s">
        <v>4734</v>
      </c>
    </row>
    <row r="43" spans="1:13" x14ac:dyDescent="0.25">
      <c r="A43" t="s">
        <v>5057</v>
      </c>
      <c r="B43">
        <v>4</v>
      </c>
      <c r="C43">
        <v>5</v>
      </c>
      <c r="D43" s="22">
        <v>46083</v>
      </c>
      <c r="E43" s="26" t="s">
        <v>4727</v>
      </c>
      <c r="F43" s="3"/>
      <c r="G43" t="s">
        <v>4735</v>
      </c>
      <c r="M43" t="s">
        <v>4736</v>
      </c>
    </row>
    <row r="44" spans="1:13" x14ac:dyDescent="0.25">
      <c r="A44" t="s">
        <v>5057</v>
      </c>
      <c r="B44">
        <v>4</v>
      </c>
      <c r="C44">
        <v>5</v>
      </c>
      <c r="D44" s="22">
        <v>46083</v>
      </c>
      <c r="E44" s="26" t="s">
        <v>4728</v>
      </c>
      <c r="F44" s="3"/>
      <c r="G44" t="s">
        <v>4737</v>
      </c>
    </row>
    <row r="45" spans="1:13" x14ac:dyDescent="0.25">
      <c r="A45" t="s">
        <v>5057</v>
      </c>
      <c r="B45">
        <v>4</v>
      </c>
      <c r="C45">
        <v>5</v>
      </c>
      <c r="D45" s="22">
        <v>46083</v>
      </c>
      <c r="E45" s="26" t="s">
        <v>4729</v>
      </c>
      <c r="F45" s="3"/>
      <c r="G45" t="s">
        <v>4738</v>
      </c>
    </row>
    <row r="46" spans="1:13" x14ac:dyDescent="0.25">
      <c r="A46" t="s">
        <v>5057</v>
      </c>
      <c r="B46">
        <v>4</v>
      </c>
      <c r="C46">
        <v>5</v>
      </c>
      <c r="D46" s="22">
        <v>46114</v>
      </c>
      <c r="E46" s="26" t="s">
        <v>4731</v>
      </c>
      <c r="F46" s="3"/>
      <c r="G46" t="s">
        <v>4739</v>
      </c>
    </row>
    <row r="48" spans="1:13" ht="24" x14ac:dyDescent="0.4">
      <c r="D48" s="42" t="s">
        <v>4740</v>
      </c>
      <c r="E48" s="42"/>
      <c r="F48" s="42"/>
      <c r="G48" s="42"/>
      <c r="H48" s="42"/>
      <c r="I48" s="42"/>
      <c r="J48" s="42"/>
      <c r="K48" s="43" t="s">
        <v>4459</v>
      </c>
      <c r="L48" s="13" t="s">
        <v>4432</v>
      </c>
      <c r="M48" s="44" t="s">
        <v>4460</v>
      </c>
    </row>
    <row r="49" spans="1:13" ht="18.75" x14ac:dyDescent="0.3">
      <c r="D49" s="11" t="s">
        <v>4445</v>
      </c>
      <c r="E49" s="11" t="s">
        <v>4433</v>
      </c>
      <c r="F49" s="11" t="s">
        <v>4434</v>
      </c>
      <c r="G49" s="11" t="s">
        <v>4435</v>
      </c>
      <c r="H49" s="11" t="s">
        <v>4436</v>
      </c>
      <c r="I49" s="11" t="s">
        <v>4444</v>
      </c>
      <c r="J49" s="11" t="s">
        <v>4436</v>
      </c>
      <c r="K49" s="43"/>
      <c r="L49" s="11" t="s">
        <v>4447</v>
      </c>
      <c r="M49" s="44"/>
    </row>
    <row r="50" spans="1:13" x14ac:dyDescent="0.25">
      <c r="A50" t="s">
        <v>5057</v>
      </c>
      <c r="B50">
        <v>4</v>
      </c>
      <c r="C50">
        <v>6</v>
      </c>
      <c r="D50" s="22">
        <v>46114</v>
      </c>
      <c r="E50">
        <v>1262</v>
      </c>
      <c r="F50" s="3"/>
      <c r="G50" t="s">
        <v>4604</v>
      </c>
      <c r="H50">
        <v>8</v>
      </c>
    </row>
    <row r="51" spans="1:13" x14ac:dyDescent="0.25">
      <c r="A51" t="s">
        <v>5057</v>
      </c>
      <c r="B51">
        <v>4</v>
      </c>
      <c r="C51">
        <v>6</v>
      </c>
      <c r="D51" s="22">
        <v>46114</v>
      </c>
      <c r="E51">
        <v>1274</v>
      </c>
      <c r="F51" s="3"/>
      <c r="G51" t="s">
        <v>4646</v>
      </c>
    </row>
    <row r="52" spans="1:13" x14ac:dyDescent="0.25">
      <c r="A52" t="s">
        <v>5057</v>
      </c>
      <c r="B52">
        <v>4</v>
      </c>
      <c r="C52">
        <v>6</v>
      </c>
      <c r="D52" s="22">
        <v>46114</v>
      </c>
      <c r="E52">
        <v>1264</v>
      </c>
      <c r="F52" s="3"/>
      <c r="G52" t="s">
        <v>4741</v>
      </c>
    </row>
    <row r="53" spans="1:13" x14ac:dyDescent="0.25">
      <c r="A53" t="s">
        <v>5057</v>
      </c>
      <c r="B53">
        <v>4</v>
      </c>
      <c r="C53">
        <v>6</v>
      </c>
      <c r="D53" s="22">
        <v>46114</v>
      </c>
      <c r="E53">
        <v>1271</v>
      </c>
      <c r="F53" s="3"/>
      <c r="G53" t="s">
        <v>4742</v>
      </c>
    </row>
    <row r="54" spans="1:13" x14ac:dyDescent="0.25">
      <c r="A54" t="s">
        <v>5057</v>
      </c>
      <c r="B54">
        <v>4</v>
      </c>
      <c r="C54">
        <v>6</v>
      </c>
      <c r="D54" s="22">
        <v>46114</v>
      </c>
      <c r="E54">
        <v>1261</v>
      </c>
      <c r="F54" s="3"/>
      <c r="G54" t="s">
        <v>4743</v>
      </c>
      <c r="H54">
        <v>6</v>
      </c>
    </row>
    <row r="55" spans="1:13" x14ac:dyDescent="0.25">
      <c r="A55" t="s">
        <v>5057</v>
      </c>
      <c r="B55">
        <v>4</v>
      </c>
      <c r="C55">
        <v>6</v>
      </c>
      <c r="D55" s="22">
        <v>46114</v>
      </c>
      <c r="E55">
        <v>12532</v>
      </c>
      <c r="F55" s="3"/>
      <c r="G55" t="s">
        <v>4720</v>
      </c>
      <c r="H55">
        <v>4</v>
      </c>
    </row>
    <row r="56" spans="1:13" x14ac:dyDescent="0.25">
      <c r="A56" t="s">
        <v>5057</v>
      </c>
      <c r="B56">
        <v>4</v>
      </c>
      <c r="C56">
        <v>6</v>
      </c>
      <c r="D56" s="22">
        <v>46114</v>
      </c>
      <c r="E56">
        <v>12531</v>
      </c>
      <c r="F56" s="3"/>
      <c r="G56" t="s">
        <v>4744</v>
      </c>
    </row>
    <row r="57" spans="1:13" x14ac:dyDescent="0.25">
      <c r="A57" t="s">
        <v>5057</v>
      </c>
      <c r="B57">
        <v>4</v>
      </c>
      <c r="C57">
        <v>6</v>
      </c>
      <c r="D57" s="22">
        <v>46114</v>
      </c>
      <c r="E57">
        <v>12511</v>
      </c>
      <c r="F57" s="3"/>
      <c r="G57" t="s">
        <v>4718</v>
      </c>
      <c r="H57">
        <v>4</v>
      </c>
    </row>
    <row r="61" spans="1:13" ht="24" x14ac:dyDescent="0.4">
      <c r="D61" s="42" t="s">
        <v>4745</v>
      </c>
      <c r="E61" s="42"/>
      <c r="F61" s="42"/>
      <c r="G61" s="42"/>
      <c r="H61" s="42"/>
      <c r="I61" s="42"/>
      <c r="J61" s="42"/>
      <c r="K61" s="43" t="s">
        <v>4459</v>
      </c>
      <c r="L61" s="13" t="s">
        <v>4432</v>
      </c>
      <c r="M61" s="44" t="s">
        <v>4460</v>
      </c>
    </row>
    <row r="62" spans="1:13" ht="18.75" x14ac:dyDescent="0.3">
      <c r="D62" s="11" t="s">
        <v>4445</v>
      </c>
      <c r="E62" s="11" t="s">
        <v>4433</v>
      </c>
      <c r="F62" s="11" t="s">
        <v>4434</v>
      </c>
      <c r="G62" s="11" t="s">
        <v>4435</v>
      </c>
      <c r="H62" s="11" t="s">
        <v>4436</v>
      </c>
      <c r="I62" s="11" t="s">
        <v>4444</v>
      </c>
      <c r="J62" s="11" t="s">
        <v>4436</v>
      </c>
      <c r="K62" s="43"/>
      <c r="L62" s="11" t="s">
        <v>4447</v>
      </c>
      <c r="M62" s="44"/>
    </row>
    <row r="63" spans="1:13" x14ac:dyDescent="0.25">
      <c r="A63" t="s">
        <v>5057</v>
      </c>
      <c r="B63">
        <v>4</v>
      </c>
      <c r="C63">
        <v>7</v>
      </c>
      <c r="D63" s="22">
        <v>46114</v>
      </c>
      <c r="E63">
        <v>12581</v>
      </c>
      <c r="F63" s="3"/>
      <c r="G63" t="s">
        <v>4742</v>
      </c>
    </row>
    <row r="64" spans="1:13" x14ac:dyDescent="0.25">
      <c r="A64" t="s">
        <v>5057</v>
      </c>
      <c r="B64">
        <v>4</v>
      </c>
      <c r="C64">
        <v>7</v>
      </c>
      <c r="D64" s="22">
        <v>46114</v>
      </c>
      <c r="E64">
        <v>12591</v>
      </c>
      <c r="F64" s="3"/>
      <c r="G64" t="s">
        <v>4742</v>
      </c>
      <c r="H64">
        <v>10</v>
      </c>
    </row>
    <row r="65" spans="1:13" x14ac:dyDescent="0.25">
      <c r="A65" t="s">
        <v>5057</v>
      </c>
      <c r="B65">
        <v>4</v>
      </c>
      <c r="C65">
        <v>7</v>
      </c>
      <c r="D65" s="22">
        <v>46114</v>
      </c>
      <c r="E65">
        <v>1284</v>
      </c>
      <c r="F65" s="3"/>
      <c r="G65" t="s">
        <v>4747</v>
      </c>
    </row>
    <row r="66" spans="1:13" x14ac:dyDescent="0.25">
      <c r="A66" t="s">
        <v>5057</v>
      </c>
      <c r="B66">
        <v>4</v>
      </c>
      <c r="C66">
        <v>7</v>
      </c>
      <c r="D66" s="22">
        <v>46114</v>
      </c>
      <c r="E66">
        <v>12605</v>
      </c>
      <c r="F66" s="3"/>
      <c r="G66" t="s">
        <v>4748</v>
      </c>
      <c r="H66">
        <v>5</v>
      </c>
    </row>
    <row r="67" spans="1:13" x14ac:dyDescent="0.25">
      <c r="A67" t="s">
        <v>5057</v>
      </c>
      <c r="B67">
        <v>4</v>
      </c>
      <c r="C67">
        <v>7</v>
      </c>
      <c r="D67" s="22">
        <v>46114</v>
      </c>
      <c r="E67">
        <v>1285</v>
      </c>
      <c r="F67" s="3"/>
      <c r="G67" t="s">
        <v>4749</v>
      </c>
    </row>
    <row r="69" spans="1:13" ht="24" x14ac:dyDescent="0.4">
      <c r="D69" s="42" t="s">
        <v>4746</v>
      </c>
      <c r="E69" s="42"/>
      <c r="F69" s="42"/>
      <c r="G69" s="42"/>
      <c r="H69" s="42"/>
      <c r="I69" s="42"/>
      <c r="J69" s="42"/>
      <c r="K69" s="43" t="s">
        <v>4459</v>
      </c>
      <c r="L69" s="13" t="s">
        <v>4432</v>
      </c>
      <c r="M69" s="44" t="s">
        <v>4460</v>
      </c>
    </row>
    <row r="70" spans="1:13" ht="18.75" x14ac:dyDescent="0.3">
      <c r="D70" s="11" t="s">
        <v>4445</v>
      </c>
      <c r="E70" s="11" t="s">
        <v>4433</v>
      </c>
      <c r="F70" s="11" t="s">
        <v>4434</v>
      </c>
      <c r="G70" s="11" t="s">
        <v>4435</v>
      </c>
      <c r="H70" s="11" t="s">
        <v>4436</v>
      </c>
      <c r="I70" s="11" t="s">
        <v>4444</v>
      </c>
      <c r="J70" s="11" t="s">
        <v>4436</v>
      </c>
      <c r="K70" s="43"/>
      <c r="L70" s="11" t="s">
        <v>4447</v>
      </c>
      <c r="M70" s="44"/>
    </row>
    <row r="71" spans="1:13" x14ac:dyDescent="0.25">
      <c r="A71" t="s">
        <v>5057</v>
      </c>
      <c r="B71">
        <v>4</v>
      </c>
      <c r="C71">
        <v>8</v>
      </c>
      <c r="D71" s="22">
        <v>46114</v>
      </c>
      <c r="E71">
        <v>1283</v>
      </c>
      <c r="F71" s="3"/>
      <c r="G71" t="s">
        <v>4750</v>
      </c>
    </row>
    <row r="72" spans="1:13" x14ac:dyDescent="0.25">
      <c r="A72" t="s">
        <v>5057</v>
      </c>
      <c r="B72">
        <v>4</v>
      </c>
      <c r="C72">
        <v>8</v>
      </c>
      <c r="D72" s="22">
        <v>46114</v>
      </c>
      <c r="E72">
        <v>1282</v>
      </c>
      <c r="F72" s="3"/>
      <c r="G72" t="s">
        <v>4751</v>
      </c>
    </row>
    <row r="73" spans="1:13" x14ac:dyDescent="0.25">
      <c r="A73" t="s">
        <v>5057</v>
      </c>
      <c r="B73">
        <v>4</v>
      </c>
      <c r="C73">
        <v>8</v>
      </c>
      <c r="D73" s="22">
        <v>46114</v>
      </c>
      <c r="E73">
        <v>1281</v>
      </c>
      <c r="F73" s="3"/>
      <c r="G73" t="s">
        <v>4752</v>
      </c>
    </row>
    <row r="74" spans="1:13" x14ac:dyDescent="0.25">
      <c r="A74" t="s">
        <v>5057</v>
      </c>
      <c r="B74">
        <v>4</v>
      </c>
      <c r="C74">
        <v>8</v>
      </c>
      <c r="D74" s="22">
        <v>46114</v>
      </c>
      <c r="E74">
        <v>1293</v>
      </c>
      <c r="F74" s="3"/>
      <c r="G74" t="s">
        <v>4753</v>
      </c>
    </row>
    <row r="75" spans="1:13" x14ac:dyDescent="0.25">
      <c r="A75" t="s">
        <v>5057</v>
      </c>
      <c r="B75">
        <v>4</v>
      </c>
      <c r="C75">
        <v>8</v>
      </c>
      <c r="D75" s="22">
        <v>46114</v>
      </c>
      <c r="E75">
        <v>12607</v>
      </c>
      <c r="F75" s="3"/>
      <c r="G75" t="s">
        <v>4754</v>
      </c>
      <c r="M75" t="s">
        <v>4755</v>
      </c>
    </row>
    <row r="77" spans="1:13" ht="24" x14ac:dyDescent="0.4">
      <c r="D77" s="42" t="s">
        <v>4759</v>
      </c>
      <c r="E77" s="42"/>
      <c r="F77" s="42"/>
      <c r="G77" s="42"/>
      <c r="H77" s="42"/>
      <c r="I77" s="42"/>
      <c r="J77" s="42"/>
      <c r="K77" s="43" t="s">
        <v>4459</v>
      </c>
      <c r="L77" s="13" t="s">
        <v>4432</v>
      </c>
      <c r="M77" s="44" t="s">
        <v>4460</v>
      </c>
    </row>
    <row r="78" spans="1:13" ht="18.75" x14ac:dyDescent="0.3">
      <c r="D78" s="11" t="s">
        <v>4445</v>
      </c>
      <c r="E78" s="11" t="s">
        <v>4433</v>
      </c>
      <c r="F78" s="11" t="s">
        <v>4434</v>
      </c>
      <c r="G78" s="11" t="s">
        <v>4435</v>
      </c>
      <c r="H78" s="11" t="s">
        <v>4436</v>
      </c>
      <c r="I78" s="11" t="s">
        <v>4444</v>
      </c>
      <c r="J78" s="11" t="s">
        <v>4436</v>
      </c>
      <c r="K78" s="43"/>
      <c r="L78" s="11" t="s">
        <v>4447</v>
      </c>
      <c r="M78" s="44"/>
    </row>
    <row r="79" spans="1:13" x14ac:dyDescent="0.25">
      <c r="A79" t="s">
        <v>5057</v>
      </c>
      <c r="B79">
        <v>4</v>
      </c>
      <c r="C79">
        <v>9</v>
      </c>
      <c r="D79" s="22">
        <v>46114</v>
      </c>
      <c r="E79" s="21" t="s">
        <v>4756</v>
      </c>
      <c r="F79" s="3"/>
      <c r="G79" t="s">
        <v>4760</v>
      </c>
    </row>
    <row r="80" spans="1:13" x14ac:dyDescent="0.25">
      <c r="A80" t="s">
        <v>5057</v>
      </c>
      <c r="B80">
        <v>4</v>
      </c>
      <c r="C80">
        <v>9</v>
      </c>
      <c r="D80" s="22">
        <v>46114</v>
      </c>
      <c r="E80" s="21" t="s">
        <v>4757</v>
      </c>
      <c r="F80" s="3"/>
      <c r="G80" t="s">
        <v>4761</v>
      </c>
    </row>
    <row r="81" spans="1:13" x14ac:dyDescent="0.25">
      <c r="A81" t="s">
        <v>5057</v>
      </c>
      <c r="B81">
        <v>4</v>
      </c>
      <c r="C81">
        <v>9</v>
      </c>
      <c r="D81" s="22">
        <v>46114</v>
      </c>
      <c r="E81" s="21" t="s">
        <v>4758</v>
      </c>
      <c r="F81" s="3"/>
      <c r="G81" t="s">
        <v>4762</v>
      </c>
    </row>
    <row r="82" spans="1:13" x14ac:dyDescent="0.25">
      <c r="A82" t="s">
        <v>5057</v>
      </c>
      <c r="B82">
        <v>4</v>
      </c>
      <c r="C82">
        <v>9</v>
      </c>
      <c r="D82" s="22">
        <v>46114</v>
      </c>
      <c r="E82" s="21" t="s">
        <v>4731</v>
      </c>
      <c r="F82" s="3"/>
      <c r="G82" t="s">
        <v>4763</v>
      </c>
    </row>
    <row r="84" spans="1:13" ht="24" x14ac:dyDescent="0.4">
      <c r="D84" s="42" t="s">
        <v>4764</v>
      </c>
      <c r="E84" s="42"/>
      <c r="F84" s="42"/>
      <c r="G84" s="42"/>
      <c r="H84" s="42"/>
      <c r="I84" s="42"/>
      <c r="J84" s="42"/>
      <c r="K84" s="43" t="s">
        <v>4459</v>
      </c>
      <c r="L84" s="13" t="s">
        <v>4432</v>
      </c>
      <c r="M84" s="44" t="s">
        <v>4460</v>
      </c>
    </row>
    <row r="85" spans="1:13" ht="18.75" x14ac:dyDescent="0.3">
      <c r="D85" s="11" t="s">
        <v>4445</v>
      </c>
      <c r="E85" s="11" t="s">
        <v>4433</v>
      </c>
      <c r="F85" s="11" t="s">
        <v>4434</v>
      </c>
      <c r="G85" s="11" t="s">
        <v>4435</v>
      </c>
      <c r="H85" s="11" t="s">
        <v>4436</v>
      </c>
      <c r="I85" s="11" t="s">
        <v>4444</v>
      </c>
      <c r="J85" s="11" t="s">
        <v>4436</v>
      </c>
      <c r="K85" s="43"/>
      <c r="L85" s="11" t="s">
        <v>4447</v>
      </c>
      <c r="M85" s="44"/>
    </row>
    <row r="86" spans="1:13" x14ac:dyDescent="0.25">
      <c r="A86" t="s">
        <v>5057</v>
      </c>
      <c r="B86">
        <v>4</v>
      </c>
      <c r="C86">
        <v>10</v>
      </c>
      <c r="D86" s="22">
        <v>46114</v>
      </c>
      <c r="E86">
        <v>1276</v>
      </c>
      <c r="F86" s="3"/>
      <c r="G86" t="s">
        <v>4765</v>
      </c>
      <c r="H86">
        <v>2</v>
      </c>
    </row>
    <row r="87" spans="1:13" x14ac:dyDescent="0.25">
      <c r="A87" t="s">
        <v>5057</v>
      </c>
      <c r="B87">
        <v>4</v>
      </c>
      <c r="C87">
        <v>10</v>
      </c>
      <c r="D87" s="22">
        <v>46114</v>
      </c>
      <c r="E87">
        <v>1275</v>
      </c>
      <c r="F87" s="3"/>
      <c r="G87" t="s">
        <v>4720</v>
      </c>
      <c r="H87">
        <v>4</v>
      </c>
    </row>
    <row r="88" spans="1:13" x14ac:dyDescent="0.25">
      <c r="A88" t="s">
        <v>5057</v>
      </c>
      <c r="B88">
        <v>4</v>
      </c>
      <c r="C88">
        <v>10</v>
      </c>
      <c r="D88" s="22">
        <v>46114</v>
      </c>
      <c r="E88">
        <v>1269</v>
      </c>
      <c r="F88" s="3"/>
      <c r="G88" t="s">
        <v>4766</v>
      </c>
      <c r="H88">
        <v>4</v>
      </c>
    </row>
    <row r="89" spans="1:13" x14ac:dyDescent="0.25">
      <c r="A89" t="s">
        <v>5057</v>
      </c>
      <c r="B89">
        <v>4</v>
      </c>
      <c r="C89">
        <v>10</v>
      </c>
      <c r="D89" s="22">
        <v>46114</v>
      </c>
      <c r="E89">
        <v>1270</v>
      </c>
      <c r="F89" s="3"/>
      <c r="G89" t="s">
        <v>4767</v>
      </c>
      <c r="H89">
        <v>2</v>
      </c>
    </row>
    <row r="90" spans="1:13" x14ac:dyDescent="0.25">
      <c r="A90" t="s">
        <v>5057</v>
      </c>
      <c r="B90">
        <v>4</v>
      </c>
      <c r="C90">
        <v>10</v>
      </c>
      <c r="D90" s="22">
        <v>46114</v>
      </c>
      <c r="E90">
        <v>1273</v>
      </c>
      <c r="F90" s="3"/>
      <c r="G90" t="s">
        <v>4768</v>
      </c>
      <c r="H90">
        <v>4</v>
      </c>
    </row>
    <row r="91" spans="1:13" x14ac:dyDescent="0.25">
      <c r="A91" t="s">
        <v>5057</v>
      </c>
      <c r="B91">
        <v>4</v>
      </c>
      <c r="C91">
        <v>10</v>
      </c>
      <c r="D91" s="22">
        <v>46114</v>
      </c>
      <c r="E91">
        <v>1263</v>
      </c>
      <c r="F91" s="3"/>
      <c r="G91" t="s">
        <v>4604</v>
      </c>
      <c r="H91">
        <v>2</v>
      </c>
    </row>
    <row r="92" spans="1:13" x14ac:dyDescent="0.25">
      <c r="A92" t="s">
        <v>5057</v>
      </c>
      <c r="B92">
        <v>4</v>
      </c>
      <c r="C92">
        <v>10</v>
      </c>
      <c r="D92" s="22">
        <v>46114</v>
      </c>
      <c r="E92">
        <v>1272</v>
      </c>
      <c r="F92" s="3"/>
      <c r="G92" t="s">
        <v>4748</v>
      </c>
    </row>
    <row r="94" spans="1:13" ht="24" x14ac:dyDescent="0.4">
      <c r="D94" s="42" t="s">
        <v>4769</v>
      </c>
      <c r="E94" s="42"/>
      <c r="F94" s="42"/>
      <c r="G94" s="42"/>
      <c r="H94" s="42"/>
      <c r="I94" s="42"/>
      <c r="J94" s="42"/>
      <c r="K94" s="43" t="s">
        <v>4459</v>
      </c>
      <c r="L94" s="13" t="s">
        <v>4432</v>
      </c>
      <c r="M94" s="44" t="s">
        <v>4460</v>
      </c>
    </row>
    <row r="95" spans="1:13" ht="18.75" x14ac:dyDescent="0.3">
      <c r="D95" s="11" t="s">
        <v>4445</v>
      </c>
      <c r="E95" s="11" t="s">
        <v>4433</v>
      </c>
      <c r="F95" s="11" t="s">
        <v>4434</v>
      </c>
      <c r="G95" s="11" t="s">
        <v>4435</v>
      </c>
      <c r="H95" s="11" t="s">
        <v>4436</v>
      </c>
      <c r="I95" s="11" t="s">
        <v>4444</v>
      </c>
      <c r="J95" s="11" t="s">
        <v>4436</v>
      </c>
      <c r="K95" s="43"/>
      <c r="L95" s="11" t="s">
        <v>4447</v>
      </c>
      <c r="M95" s="44"/>
    </row>
    <row r="96" spans="1:13" x14ac:dyDescent="0.25">
      <c r="A96" t="s">
        <v>5057</v>
      </c>
      <c r="B96">
        <v>4</v>
      </c>
      <c r="C96">
        <v>11</v>
      </c>
      <c r="D96" s="22">
        <v>46114</v>
      </c>
      <c r="E96">
        <v>1286</v>
      </c>
      <c r="F96" s="3"/>
      <c r="G96">
        <v>17</v>
      </c>
    </row>
    <row r="97" spans="1:13" x14ac:dyDescent="0.25">
      <c r="A97" t="s">
        <v>5057</v>
      </c>
      <c r="B97">
        <v>4</v>
      </c>
      <c r="C97">
        <v>11</v>
      </c>
      <c r="D97" s="22">
        <v>46114</v>
      </c>
      <c r="E97">
        <v>1287</v>
      </c>
      <c r="F97" s="3"/>
      <c r="G97">
        <v>21</v>
      </c>
    </row>
    <row r="98" spans="1:13" x14ac:dyDescent="0.25">
      <c r="A98" t="s">
        <v>5057</v>
      </c>
      <c r="B98">
        <v>4</v>
      </c>
      <c r="C98">
        <v>11</v>
      </c>
      <c r="D98" s="22">
        <v>46114</v>
      </c>
      <c r="E98">
        <v>1288</v>
      </c>
      <c r="F98" s="3"/>
      <c r="G98">
        <v>21</v>
      </c>
    </row>
    <row r="99" spans="1:13" x14ac:dyDescent="0.25">
      <c r="A99" t="s">
        <v>5057</v>
      </c>
      <c r="B99">
        <v>4</v>
      </c>
      <c r="C99">
        <v>11</v>
      </c>
      <c r="D99" s="22">
        <v>46114</v>
      </c>
      <c r="E99">
        <v>1289</v>
      </c>
      <c r="F99" s="3"/>
      <c r="G99">
        <v>21</v>
      </c>
    </row>
    <row r="100" spans="1:13" x14ac:dyDescent="0.25">
      <c r="A100" t="s">
        <v>5057</v>
      </c>
      <c r="B100">
        <v>4</v>
      </c>
      <c r="C100">
        <v>11</v>
      </c>
      <c r="D100" s="22">
        <v>46114</v>
      </c>
      <c r="E100">
        <v>1290</v>
      </c>
      <c r="F100" s="3"/>
      <c r="G100">
        <v>12</v>
      </c>
    </row>
    <row r="101" spans="1:13" x14ac:dyDescent="0.25">
      <c r="A101" t="s">
        <v>5057</v>
      </c>
      <c r="B101">
        <v>4</v>
      </c>
      <c r="C101">
        <v>11</v>
      </c>
      <c r="D101" s="22">
        <v>46114</v>
      </c>
      <c r="E101">
        <v>1291</v>
      </c>
      <c r="F101" s="3"/>
      <c r="G101">
        <v>17</v>
      </c>
    </row>
    <row r="102" spans="1:13" x14ac:dyDescent="0.25">
      <c r="A102" t="s">
        <v>5057</v>
      </c>
      <c r="B102">
        <v>4</v>
      </c>
      <c r="C102">
        <v>11</v>
      </c>
      <c r="D102" s="22">
        <v>46114</v>
      </c>
      <c r="E102">
        <v>1292</v>
      </c>
      <c r="F102" s="3"/>
      <c r="G102">
        <v>7</v>
      </c>
      <c r="M102">
        <v>3836</v>
      </c>
    </row>
    <row r="104" spans="1:13" ht="24" x14ac:dyDescent="0.4">
      <c r="D104" s="42" t="s">
        <v>4770</v>
      </c>
      <c r="E104" s="42"/>
      <c r="F104" s="42"/>
      <c r="G104" s="42"/>
      <c r="H104" s="42"/>
      <c r="I104" s="42"/>
      <c r="J104" s="42"/>
      <c r="K104" s="43" t="s">
        <v>4459</v>
      </c>
      <c r="L104" s="13" t="s">
        <v>4432</v>
      </c>
      <c r="M104" s="44" t="s">
        <v>4460</v>
      </c>
    </row>
    <row r="105" spans="1:13" ht="18.75" x14ac:dyDescent="0.3">
      <c r="D105" s="11" t="s">
        <v>4445</v>
      </c>
      <c r="E105" s="11" t="s">
        <v>4433</v>
      </c>
      <c r="F105" s="11" t="s">
        <v>4434</v>
      </c>
      <c r="G105" s="11" t="s">
        <v>4435</v>
      </c>
      <c r="H105" s="11" t="s">
        <v>4436</v>
      </c>
      <c r="I105" s="11" t="s">
        <v>4444</v>
      </c>
      <c r="J105" s="11" t="s">
        <v>4436</v>
      </c>
      <c r="K105" s="43"/>
      <c r="L105" s="11" t="s">
        <v>4447</v>
      </c>
      <c r="M105" s="44"/>
    </row>
    <row r="106" spans="1:13" x14ac:dyDescent="0.25">
      <c r="A106" t="s">
        <v>5057</v>
      </c>
      <c r="B106">
        <v>4</v>
      </c>
      <c r="C106">
        <v>12</v>
      </c>
      <c r="D106" s="22">
        <v>46114</v>
      </c>
      <c r="E106">
        <v>1260</v>
      </c>
      <c r="F106" s="3"/>
      <c r="G106" t="s">
        <v>4744</v>
      </c>
      <c r="H106">
        <v>3</v>
      </c>
    </row>
    <row r="107" spans="1:13" x14ac:dyDescent="0.25">
      <c r="A107" t="s">
        <v>5057</v>
      </c>
      <c r="B107">
        <v>4</v>
      </c>
      <c r="C107">
        <v>12</v>
      </c>
      <c r="D107" s="22">
        <v>46114</v>
      </c>
      <c r="E107">
        <v>1253</v>
      </c>
      <c r="F107" s="3"/>
      <c r="H107">
        <v>4</v>
      </c>
    </row>
    <row r="108" spans="1:13" x14ac:dyDescent="0.25">
      <c r="A108" t="s">
        <v>5057</v>
      </c>
      <c r="B108">
        <v>4</v>
      </c>
      <c r="C108">
        <v>12</v>
      </c>
      <c r="D108" s="22">
        <v>46114</v>
      </c>
      <c r="E108">
        <v>1245</v>
      </c>
      <c r="F108" s="3"/>
      <c r="G108" t="s">
        <v>4547</v>
      </c>
      <c r="H108">
        <v>5</v>
      </c>
    </row>
    <row r="109" spans="1:13" x14ac:dyDescent="0.25">
      <c r="A109" t="s">
        <v>5057</v>
      </c>
      <c r="B109">
        <v>4</v>
      </c>
      <c r="C109">
        <v>12</v>
      </c>
      <c r="D109" s="22">
        <v>46114</v>
      </c>
      <c r="E109">
        <v>1267</v>
      </c>
      <c r="F109" s="3"/>
      <c r="G109" t="s">
        <v>4771</v>
      </c>
      <c r="H109">
        <v>1</v>
      </c>
    </row>
    <row r="111" spans="1:13" ht="24" x14ac:dyDescent="0.4">
      <c r="D111" s="42" t="s">
        <v>4772</v>
      </c>
      <c r="E111" s="42"/>
      <c r="F111" s="42"/>
      <c r="G111" s="42"/>
      <c r="H111" s="42"/>
      <c r="I111" s="42"/>
      <c r="J111" s="42"/>
      <c r="K111" s="43" t="s">
        <v>4459</v>
      </c>
      <c r="L111" s="13" t="s">
        <v>4432</v>
      </c>
      <c r="M111" s="44" t="s">
        <v>4460</v>
      </c>
    </row>
    <row r="112" spans="1:13" ht="18.75" x14ac:dyDescent="0.3">
      <c r="D112" s="11" t="s">
        <v>4445</v>
      </c>
      <c r="E112" s="11" t="s">
        <v>4433</v>
      </c>
      <c r="F112" s="11" t="s">
        <v>4434</v>
      </c>
      <c r="G112" s="11" t="s">
        <v>4435</v>
      </c>
      <c r="H112" s="11" t="s">
        <v>4436</v>
      </c>
      <c r="I112" s="11" t="s">
        <v>4444</v>
      </c>
      <c r="J112" s="11" t="s">
        <v>4436</v>
      </c>
      <c r="K112" s="43"/>
      <c r="L112" s="11" t="s">
        <v>4447</v>
      </c>
      <c r="M112" s="44"/>
    </row>
    <row r="113" spans="1:13" x14ac:dyDescent="0.25">
      <c r="A113" t="s">
        <v>5057</v>
      </c>
      <c r="B113">
        <v>4</v>
      </c>
      <c r="C113">
        <v>33</v>
      </c>
      <c r="D113" s="22">
        <v>46114</v>
      </c>
      <c r="E113">
        <v>3328</v>
      </c>
      <c r="F113" s="3"/>
      <c r="G113" t="s">
        <v>4776</v>
      </c>
    </row>
    <row r="114" spans="1:13" x14ac:dyDescent="0.25">
      <c r="A114" t="s">
        <v>5057</v>
      </c>
      <c r="B114">
        <v>4</v>
      </c>
      <c r="C114">
        <v>33</v>
      </c>
      <c r="D114" s="22">
        <v>46114</v>
      </c>
      <c r="E114">
        <v>1808</v>
      </c>
      <c r="F114" s="3"/>
      <c r="G114" t="s">
        <v>4777</v>
      </c>
    </row>
    <row r="116" spans="1:13" ht="24" x14ac:dyDescent="0.4">
      <c r="D116" s="42" t="s">
        <v>4773</v>
      </c>
      <c r="E116" s="42"/>
      <c r="F116" s="42"/>
      <c r="G116" s="42"/>
      <c r="H116" s="42"/>
      <c r="I116" s="42"/>
      <c r="J116" s="42"/>
      <c r="K116" s="43" t="s">
        <v>4459</v>
      </c>
      <c r="L116" s="13" t="s">
        <v>4432</v>
      </c>
      <c r="M116" s="44" t="s">
        <v>4460</v>
      </c>
    </row>
    <row r="117" spans="1:13" ht="18.75" x14ac:dyDescent="0.3">
      <c r="D117" s="11" t="s">
        <v>4445</v>
      </c>
      <c r="E117" s="11" t="s">
        <v>4433</v>
      </c>
      <c r="F117" s="11" t="s">
        <v>4434</v>
      </c>
      <c r="G117" s="11" t="s">
        <v>4435</v>
      </c>
      <c r="H117" s="11" t="s">
        <v>4436</v>
      </c>
      <c r="I117" s="11" t="s">
        <v>4444</v>
      </c>
      <c r="J117" s="11" t="s">
        <v>4436</v>
      </c>
      <c r="K117" s="43"/>
      <c r="L117" s="11" t="s">
        <v>4447</v>
      </c>
      <c r="M117" s="44"/>
    </row>
    <row r="118" spans="1:13" x14ac:dyDescent="0.25">
      <c r="A118" t="s">
        <v>5057</v>
      </c>
      <c r="B118">
        <v>4</v>
      </c>
      <c r="C118">
        <v>29</v>
      </c>
      <c r="D118" s="22">
        <v>46114</v>
      </c>
      <c r="E118">
        <v>3229</v>
      </c>
      <c r="F118" s="3"/>
      <c r="G118">
        <v>75</v>
      </c>
    </row>
    <row r="121" spans="1:13" ht="24" x14ac:dyDescent="0.4">
      <c r="D121" s="42" t="s">
        <v>4774</v>
      </c>
      <c r="E121" s="42"/>
      <c r="F121" s="42"/>
      <c r="G121" s="42"/>
      <c r="H121" s="42"/>
      <c r="I121" s="42"/>
      <c r="J121" s="42"/>
      <c r="K121" s="43" t="s">
        <v>4459</v>
      </c>
      <c r="L121" s="13" t="s">
        <v>4432</v>
      </c>
      <c r="M121" s="44" t="s">
        <v>4460</v>
      </c>
    </row>
    <row r="122" spans="1:13" ht="18.75" x14ac:dyDescent="0.3">
      <c r="D122" s="11" t="s">
        <v>4445</v>
      </c>
      <c r="E122" s="11" t="s">
        <v>4433</v>
      </c>
      <c r="F122" s="11" t="s">
        <v>4434</v>
      </c>
      <c r="G122" s="11" t="s">
        <v>4435</v>
      </c>
      <c r="H122" s="11" t="s">
        <v>4436</v>
      </c>
      <c r="I122" s="11" t="s">
        <v>4444</v>
      </c>
      <c r="J122" s="11" t="s">
        <v>4436</v>
      </c>
      <c r="K122" s="43"/>
      <c r="L122" s="11" t="s">
        <v>4447</v>
      </c>
      <c r="M122" s="44"/>
    </row>
    <row r="123" spans="1:13" x14ac:dyDescent="0.25">
      <c r="A123" t="s">
        <v>5057</v>
      </c>
      <c r="B123">
        <v>4</v>
      </c>
      <c r="C123">
        <v>36</v>
      </c>
      <c r="D123" s="22">
        <v>46114</v>
      </c>
      <c r="E123">
        <v>1878</v>
      </c>
      <c r="F123" s="3"/>
      <c r="H123">
        <v>1</v>
      </c>
    </row>
    <row r="124" spans="1:13" x14ac:dyDescent="0.25">
      <c r="A124" t="s">
        <v>5057</v>
      </c>
      <c r="B124">
        <v>4</v>
      </c>
      <c r="C124">
        <v>36</v>
      </c>
      <c r="D124" s="22">
        <v>46114</v>
      </c>
      <c r="E124">
        <v>1879</v>
      </c>
      <c r="F124" s="3"/>
      <c r="H124">
        <v>2</v>
      </c>
    </row>
    <row r="127" spans="1:13" ht="24" x14ac:dyDescent="0.4">
      <c r="D127" s="42" t="s">
        <v>4775</v>
      </c>
      <c r="E127" s="42"/>
      <c r="F127" s="42"/>
      <c r="G127" s="42"/>
      <c r="H127" s="42"/>
      <c r="I127" s="42"/>
      <c r="J127" s="42"/>
      <c r="K127" s="43" t="s">
        <v>4459</v>
      </c>
      <c r="L127" s="13" t="s">
        <v>4432</v>
      </c>
      <c r="M127" s="44" t="s">
        <v>4460</v>
      </c>
    </row>
    <row r="128" spans="1:13" ht="18.75" x14ac:dyDescent="0.3">
      <c r="D128" s="11" t="s">
        <v>4445</v>
      </c>
      <c r="E128" s="11" t="s">
        <v>4433</v>
      </c>
      <c r="F128" s="11" t="s">
        <v>4434</v>
      </c>
      <c r="G128" s="11" t="s">
        <v>4435</v>
      </c>
      <c r="H128" s="11" t="s">
        <v>4436</v>
      </c>
      <c r="I128" s="11" t="s">
        <v>4444</v>
      </c>
      <c r="J128" s="11" t="s">
        <v>4436</v>
      </c>
      <c r="K128" s="43"/>
      <c r="L128" s="11" t="s">
        <v>4447</v>
      </c>
      <c r="M128" s="44"/>
    </row>
    <row r="129" spans="1:13" x14ac:dyDescent="0.25">
      <c r="A129" t="s">
        <v>5057</v>
      </c>
      <c r="B129">
        <v>4</v>
      </c>
      <c r="C129">
        <v>32</v>
      </c>
      <c r="D129" s="22">
        <v>46114</v>
      </c>
      <c r="E129">
        <v>4203</v>
      </c>
      <c r="F129" s="3"/>
      <c r="G129" t="s">
        <v>4778</v>
      </c>
      <c r="H129">
        <v>12</v>
      </c>
    </row>
    <row r="130" spans="1:13" x14ac:dyDescent="0.25">
      <c r="A130" t="s">
        <v>5057</v>
      </c>
      <c r="B130">
        <v>4</v>
      </c>
      <c r="C130">
        <v>32</v>
      </c>
      <c r="D130" s="22">
        <v>46114</v>
      </c>
      <c r="E130">
        <v>4207</v>
      </c>
      <c r="F130" s="3"/>
      <c r="H130">
        <v>7</v>
      </c>
    </row>
    <row r="131" spans="1:13" x14ac:dyDescent="0.25">
      <c r="A131" t="s">
        <v>5057</v>
      </c>
      <c r="B131">
        <v>4</v>
      </c>
      <c r="C131">
        <v>32</v>
      </c>
      <c r="D131" s="22">
        <v>46114</v>
      </c>
      <c r="E131">
        <v>4205</v>
      </c>
      <c r="F131" s="3"/>
      <c r="H131">
        <v>26</v>
      </c>
    </row>
    <row r="132" spans="1:13" x14ac:dyDescent="0.25">
      <c r="A132" t="s">
        <v>5057</v>
      </c>
      <c r="B132">
        <v>4</v>
      </c>
      <c r="C132">
        <v>32</v>
      </c>
      <c r="D132" s="22">
        <v>46114</v>
      </c>
      <c r="E132">
        <v>4204</v>
      </c>
      <c r="F132" s="3"/>
      <c r="G132" t="s">
        <v>4782</v>
      </c>
      <c r="H132">
        <v>6</v>
      </c>
    </row>
    <row r="133" spans="1:13" x14ac:dyDescent="0.25">
      <c r="A133" t="s">
        <v>5057</v>
      </c>
      <c r="B133">
        <v>4</v>
      </c>
      <c r="C133">
        <v>32</v>
      </c>
      <c r="D133" s="22">
        <v>46114</v>
      </c>
      <c r="E133">
        <v>4210</v>
      </c>
      <c r="F133" s="3"/>
      <c r="G133" t="s">
        <v>4562</v>
      </c>
      <c r="H133">
        <v>18</v>
      </c>
      <c r="M133" t="s">
        <v>4791</v>
      </c>
    </row>
    <row r="134" spans="1:13" x14ac:dyDescent="0.25">
      <c r="A134" t="s">
        <v>5057</v>
      </c>
      <c r="B134">
        <v>4</v>
      </c>
      <c r="C134">
        <v>32</v>
      </c>
      <c r="D134" s="22">
        <v>46114</v>
      </c>
      <c r="E134">
        <v>4208</v>
      </c>
      <c r="F134" s="3"/>
      <c r="G134" t="s">
        <v>4553</v>
      </c>
      <c r="H134">
        <v>49</v>
      </c>
      <c r="M134" t="s">
        <v>4791</v>
      </c>
    </row>
    <row r="135" spans="1:13" x14ac:dyDescent="0.25">
      <c r="A135" t="s">
        <v>5057</v>
      </c>
      <c r="B135">
        <v>4</v>
      </c>
      <c r="C135">
        <v>32</v>
      </c>
      <c r="D135" s="22">
        <v>46114</v>
      </c>
      <c r="E135">
        <v>4201</v>
      </c>
      <c r="F135" s="3"/>
      <c r="H135">
        <v>27</v>
      </c>
      <c r="M135" t="s">
        <v>4791</v>
      </c>
    </row>
    <row r="136" spans="1:13" x14ac:dyDescent="0.25">
      <c r="A136" t="s">
        <v>5057</v>
      </c>
      <c r="B136">
        <v>4</v>
      </c>
      <c r="C136">
        <v>32</v>
      </c>
      <c r="D136" s="22">
        <v>46114</v>
      </c>
      <c r="E136">
        <v>4200</v>
      </c>
      <c r="F136" s="3"/>
      <c r="G136" t="s">
        <v>4783</v>
      </c>
      <c r="H136">
        <v>45</v>
      </c>
      <c r="M136" t="s">
        <v>4791</v>
      </c>
    </row>
    <row r="137" spans="1:13" x14ac:dyDescent="0.25">
      <c r="A137" t="s">
        <v>5057</v>
      </c>
      <c r="B137">
        <v>4</v>
      </c>
      <c r="C137">
        <v>32</v>
      </c>
      <c r="D137" s="22">
        <v>46114</v>
      </c>
      <c r="E137" s="21" t="s">
        <v>4779</v>
      </c>
      <c r="F137" s="3"/>
      <c r="G137" t="s">
        <v>4784</v>
      </c>
      <c r="H137" t="s">
        <v>4785</v>
      </c>
    </row>
    <row r="138" spans="1:13" x14ac:dyDescent="0.25">
      <c r="A138" t="s">
        <v>5057</v>
      </c>
      <c r="B138">
        <v>4</v>
      </c>
      <c r="C138">
        <v>32</v>
      </c>
      <c r="D138" s="22">
        <v>46114</v>
      </c>
      <c r="E138" s="21" t="s">
        <v>4780</v>
      </c>
      <c r="F138" s="3"/>
      <c r="G138" t="s">
        <v>4449</v>
      </c>
    </row>
    <row r="139" spans="1:13" x14ac:dyDescent="0.25">
      <c r="A139" t="s">
        <v>5057</v>
      </c>
      <c r="B139">
        <v>4</v>
      </c>
      <c r="C139">
        <v>32</v>
      </c>
      <c r="D139" s="22">
        <v>46114</v>
      </c>
      <c r="E139" s="21" t="s">
        <v>4781</v>
      </c>
      <c r="F139" s="3"/>
      <c r="G139" t="s">
        <v>4622</v>
      </c>
    </row>
    <row r="140" spans="1:13" x14ac:dyDescent="0.25">
      <c r="A140" t="s">
        <v>5057</v>
      </c>
      <c r="B140">
        <v>4</v>
      </c>
      <c r="C140">
        <v>32</v>
      </c>
      <c r="D140" s="22">
        <v>46114</v>
      </c>
      <c r="E140">
        <v>1804</v>
      </c>
      <c r="F140" s="3"/>
      <c r="G140" t="s">
        <v>4786</v>
      </c>
      <c r="H140">
        <v>2</v>
      </c>
    </row>
    <row r="141" spans="1:13" x14ac:dyDescent="0.25">
      <c r="A141" t="s">
        <v>5057</v>
      </c>
      <c r="B141">
        <v>4</v>
      </c>
      <c r="C141">
        <v>32</v>
      </c>
      <c r="D141" s="22">
        <v>46114</v>
      </c>
      <c r="E141">
        <v>19271</v>
      </c>
      <c r="F141" s="3"/>
      <c r="G141" t="s">
        <v>4787</v>
      </c>
    </row>
    <row r="142" spans="1:13" x14ac:dyDescent="0.25">
      <c r="A142" t="s">
        <v>5057</v>
      </c>
      <c r="B142">
        <v>4</v>
      </c>
      <c r="C142">
        <v>32</v>
      </c>
      <c r="D142" s="22">
        <v>46114</v>
      </c>
      <c r="E142">
        <v>1653</v>
      </c>
      <c r="F142" s="3"/>
      <c r="G142" t="s">
        <v>4788</v>
      </c>
    </row>
    <row r="143" spans="1:13" x14ac:dyDescent="0.25">
      <c r="A143" t="s">
        <v>5057</v>
      </c>
      <c r="B143">
        <v>4</v>
      </c>
      <c r="C143">
        <v>32</v>
      </c>
      <c r="D143" s="22">
        <v>46114</v>
      </c>
      <c r="E143">
        <v>1862</v>
      </c>
      <c r="F143" s="3"/>
      <c r="G143">
        <v>3</v>
      </c>
    </row>
    <row r="144" spans="1:13" x14ac:dyDescent="0.25">
      <c r="A144" t="s">
        <v>5057</v>
      </c>
      <c r="B144">
        <v>4</v>
      </c>
      <c r="C144">
        <v>32</v>
      </c>
      <c r="D144" s="22">
        <v>46114</v>
      </c>
      <c r="E144">
        <v>1852</v>
      </c>
      <c r="F144" s="3"/>
      <c r="G144" t="s">
        <v>4789</v>
      </c>
    </row>
    <row r="145" spans="1:13" x14ac:dyDescent="0.25">
      <c r="A145" t="s">
        <v>5057</v>
      </c>
      <c r="B145">
        <v>4</v>
      </c>
      <c r="C145">
        <v>32</v>
      </c>
      <c r="D145" s="22">
        <v>46144</v>
      </c>
      <c r="E145">
        <v>1644</v>
      </c>
      <c r="F145" s="3"/>
      <c r="H145">
        <v>1</v>
      </c>
    </row>
    <row r="146" spans="1:13" x14ac:dyDescent="0.25">
      <c r="A146" t="s">
        <v>5057</v>
      </c>
      <c r="B146">
        <v>4</v>
      </c>
      <c r="C146">
        <v>32</v>
      </c>
      <c r="D146" s="22">
        <v>46144</v>
      </c>
      <c r="E146">
        <v>1632</v>
      </c>
      <c r="F146" s="3"/>
      <c r="H146">
        <v>10</v>
      </c>
    </row>
    <row r="147" spans="1:13" x14ac:dyDescent="0.25">
      <c r="A147" t="s">
        <v>5057</v>
      </c>
      <c r="B147">
        <v>4</v>
      </c>
      <c r="C147">
        <v>32</v>
      </c>
      <c r="D147" s="22">
        <v>46144</v>
      </c>
      <c r="E147">
        <v>1840</v>
      </c>
      <c r="F147" s="3"/>
      <c r="H147">
        <v>4</v>
      </c>
    </row>
    <row r="148" spans="1:13" x14ac:dyDescent="0.25">
      <c r="A148" t="s">
        <v>5057</v>
      </c>
      <c r="B148">
        <v>4</v>
      </c>
      <c r="C148">
        <v>32</v>
      </c>
      <c r="D148" s="22">
        <v>46144</v>
      </c>
      <c r="E148">
        <v>1637</v>
      </c>
      <c r="F148" s="3"/>
      <c r="H148">
        <v>1</v>
      </c>
    </row>
    <row r="149" spans="1:13" x14ac:dyDescent="0.25">
      <c r="A149" t="s">
        <v>5057</v>
      </c>
      <c r="B149">
        <v>4</v>
      </c>
      <c r="C149">
        <v>32</v>
      </c>
      <c r="D149" s="22">
        <v>46144</v>
      </c>
      <c r="E149">
        <v>1628</v>
      </c>
      <c r="F149" s="3"/>
      <c r="H149">
        <v>4</v>
      </c>
    </row>
    <row r="150" spans="1:13" x14ac:dyDescent="0.25">
      <c r="A150" t="s">
        <v>5057</v>
      </c>
      <c r="B150">
        <v>4</v>
      </c>
      <c r="C150">
        <v>32</v>
      </c>
      <c r="D150" s="22">
        <v>46144</v>
      </c>
      <c r="E150" s="8"/>
      <c r="F150" s="3"/>
      <c r="G150" t="s">
        <v>4798</v>
      </c>
      <c r="H150">
        <v>2</v>
      </c>
      <c r="M150" t="s">
        <v>4797</v>
      </c>
    </row>
    <row r="151" spans="1:13" x14ac:dyDescent="0.25">
      <c r="A151" t="s">
        <v>5057</v>
      </c>
      <c r="B151">
        <v>4</v>
      </c>
      <c r="C151">
        <v>32</v>
      </c>
      <c r="D151" s="22">
        <v>46144</v>
      </c>
      <c r="E151">
        <v>1650</v>
      </c>
      <c r="F151" s="3"/>
      <c r="H151" t="s">
        <v>4799</v>
      </c>
    </row>
    <row r="152" spans="1:13" x14ac:dyDescent="0.25">
      <c r="A152" t="s">
        <v>5057</v>
      </c>
      <c r="B152">
        <v>4</v>
      </c>
      <c r="C152">
        <v>32</v>
      </c>
      <c r="D152" s="22">
        <v>46144</v>
      </c>
      <c r="E152">
        <v>1831</v>
      </c>
      <c r="F152" s="3"/>
      <c r="H152">
        <v>6</v>
      </c>
    </row>
    <row r="153" spans="1:13" x14ac:dyDescent="0.25">
      <c r="A153" t="s">
        <v>5057</v>
      </c>
      <c r="B153">
        <v>4</v>
      </c>
      <c r="C153">
        <v>32</v>
      </c>
      <c r="D153" s="22">
        <v>46144</v>
      </c>
      <c r="E153">
        <v>1822</v>
      </c>
      <c r="F153" s="3"/>
      <c r="H153">
        <v>3</v>
      </c>
    </row>
    <row r="154" spans="1:13" x14ac:dyDescent="0.25">
      <c r="D154" s="22"/>
    </row>
    <row r="156" spans="1:13" ht="24" x14ac:dyDescent="0.4">
      <c r="D156" s="42" t="s">
        <v>4525</v>
      </c>
      <c r="E156" s="42"/>
      <c r="F156" s="42"/>
      <c r="G156" s="42"/>
      <c r="H156" s="42"/>
      <c r="I156" s="42"/>
      <c r="J156" s="42"/>
      <c r="K156" s="43" t="s">
        <v>4459</v>
      </c>
      <c r="L156" s="13" t="s">
        <v>4432</v>
      </c>
      <c r="M156" s="44" t="s">
        <v>4460</v>
      </c>
    </row>
    <row r="157" spans="1:13" ht="18.75" x14ac:dyDescent="0.3">
      <c r="D157" s="11" t="s">
        <v>4445</v>
      </c>
      <c r="E157" s="11" t="s">
        <v>4433</v>
      </c>
      <c r="F157" s="11" t="s">
        <v>4434</v>
      </c>
      <c r="G157" s="11" t="s">
        <v>4435</v>
      </c>
      <c r="H157" s="11" t="s">
        <v>4436</v>
      </c>
      <c r="I157" s="11" t="s">
        <v>4444</v>
      </c>
      <c r="J157" s="11" t="s">
        <v>4436</v>
      </c>
      <c r="K157" s="43"/>
      <c r="L157" s="11" t="s">
        <v>4447</v>
      </c>
      <c r="M157" s="44"/>
    </row>
    <row r="158" spans="1:13" x14ac:dyDescent="0.25">
      <c r="A158" t="s">
        <v>5057</v>
      </c>
      <c r="B158">
        <v>4</v>
      </c>
      <c r="C158">
        <v>25</v>
      </c>
      <c r="D158" s="22">
        <v>46114</v>
      </c>
      <c r="E158">
        <v>1802</v>
      </c>
      <c r="F158" s="3"/>
      <c r="G158" t="s">
        <v>4790</v>
      </c>
      <c r="H158">
        <v>1</v>
      </c>
    </row>
    <row r="159" spans="1:13" x14ac:dyDescent="0.25">
      <c r="A159" t="s">
        <v>5057</v>
      </c>
      <c r="B159">
        <v>4</v>
      </c>
      <c r="C159">
        <v>25</v>
      </c>
      <c r="D159" s="22">
        <v>46114</v>
      </c>
      <c r="E159">
        <v>1804</v>
      </c>
      <c r="F159" s="3"/>
      <c r="G159">
        <v>1</v>
      </c>
    </row>
    <row r="160" spans="1:13" x14ac:dyDescent="0.25">
      <c r="A160" t="s">
        <v>5057</v>
      </c>
      <c r="B160">
        <v>4</v>
      </c>
      <c r="C160">
        <v>25</v>
      </c>
      <c r="D160" s="22">
        <v>46114</v>
      </c>
      <c r="E160">
        <v>1801</v>
      </c>
      <c r="F160" s="3"/>
      <c r="H160">
        <v>2</v>
      </c>
    </row>
    <row r="161" spans="1:13" x14ac:dyDescent="0.25">
      <c r="A161" t="s">
        <v>5057</v>
      </c>
      <c r="B161">
        <v>4</v>
      </c>
      <c r="C161">
        <v>25</v>
      </c>
      <c r="D161" s="22">
        <v>46114</v>
      </c>
      <c r="E161">
        <v>1800</v>
      </c>
      <c r="F161" s="3"/>
      <c r="G161">
        <v>1</v>
      </c>
    </row>
    <row r="163" spans="1:13" ht="24" x14ac:dyDescent="0.4">
      <c r="D163" s="42" t="s">
        <v>4509</v>
      </c>
      <c r="E163" s="42"/>
      <c r="F163" s="42"/>
      <c r="G163" s="42"/>
      <c r="H163" s="42"/>
      <c r="I163" s="42"/>
      <c r="J163" s="42"/>
      <c r="K163" s="43" t="s">
        <v>4459</v>
      </c>
      <c r="L163" s="13" t="s">
        <v>4432</v>
      </c>
      <c r="M163" s="44" t="s">
        <v>4460</v>
      </c>
    </row>
    <row r="164" spans="1:13" ht="18.75" x14ac:dyDescent="0.3">
      <c r="D164" s="11" t="s">
        <v>4445</v>
      </c>
      <c r="E164" s="11" t="s">
        <v>4433</v>
      </c>
      <c r="F164" s="11" t="s">
        <v>4434</v>
      </c>
      <c r="G164" s="11" t="s">
        <v>4435</v>
      </c>
      <c r="H164" s="11" t="s">
        <v>4436</v>
      </c>
      <c r="I164" s="11" t="s">
        <v>4444</v>
      </c>
      <c r="J164" s="11" t="s">
        <v>4436</v>
      </c>
      <c r="K164" s="43"/>
      <c r="L164" s="11" t="s">
        <v>4447</v>
      </c>
      <c r="M164" s="44"/>
    </row>
    <row r="165" spans="1:13" x14ac:dyDescent="0.25">
      <c r="A165" t="s">
        <v>5057</v>
      </c>
      <c r="B165">
        <v>4</v>
      </c>
      <c r="C165">
        <v>26</v>
      </c>
      <c r="D165" s="22">
        <v>46114</v>
      </c>
      <c r="E165">
        <v>1837</v>
      </c>
      <c r="F165" s="3"/>
      <c r="H165">
        <v>22</v>
      </c>
    </row>
    <row r="166" spans="1:13" x14ac:dyDescent="0.25">
      <c r="A166" t="s">
        <v>5057</v>
      </c>
      <c r="B166">
        <v>4</v>
      </c>
      <c r="C166">
        <v>26</v>
      </c>
      <c r="D166" s="22">
        <v>46114</v>
      </c>
      <c r="E166">
        <v>1839</v>
      </c>
      <c r="F166" s="3"/>
      <c r="H166">
        <v>6</v>
      </c>
    </row>
    <row r="167" spans="1:13" x14ac:dyDescent="0.25">
      <c r="A167" t="s">
        <v>5057</v>
      </c>
      <c r="B167">
        <v>4</v>
      </c>
      <c r="C167">
        <v>26</v>
      </c>
      <c r="D167" s="22">
        <v>46114</v>
      </c>
      <c r="E167">
        <v>1838</v>
      </c>
      <c r="F167" s="3"/>
      <c r="H167">
        <v>9</v>
      </c>
    </row>
    <row r="168" spans="1:13" x14ac:dyDescent="0.25">
      <c r="A168" t="s">
        <v>5057</v>
      </c>
      <c r="B168">
        <v>4</v>
      </c>
      <c r="C168">
        <v>26</v>
      </c>
      <c r="D168" s="22">
        <v>46114</v>
      </c>
      <c r="E168">
        <v>1840</v>
      </c>
      <c r="F168" s="3"/>
      <c r="H168">
        <v>6</v>
      </c>
    </row>
    <row r="170" spans="1:13" ht="24" x14ac:dyDescent="0.4">
      <c r="D170" s="42" t="s">
        <v>4526</v>
      </c>
      <c r="E170" s="42"/>
      <c r="F170" s="42"/>
      <c r="G170" s="42"/>
      <c r="H170" s="42"/>
      <c r="I170" s="42"/>
      <c r="J170" s="42"/>
      <c r="K170" s="43" t="s">
        <v>4459</v>
      </c>
      <c r="L170" s="13" t="s">
        <v>4432</v>
      </c>
      <c r="M170" s="44" t="s">
        <v>4460</v>
      </c>
    </row>
    <row r="171" spans="1:13" ht="18.75" x14ac:dyDescent="0.3">
      <c r="D171" s="11" t="s">
        <v>4445</v>
      </c>
      <c r="E171" s="11" t="s">
        <v>4433</v>
      </c>
      <c r="F171" s="11" t="s">
        <v>4434</v>
      </c>
      <c r="G171" s="11" t="s">
        <v>4435</v>
      </c>
      <c r="H171" s="11" t="s">
        <v>4436</v>
      </c>
      <c r="I171" s="11" t="s">
        <v>4444</v>
      </c>
      <c r="J171" s="11" t="s">
        <v>4436</v>
      </c>
      <c r="K171" s="43"/>
      <c r="L171" s="11" t="s">
        <v>4447</v>
      </c>
      <c r="M171" s="44"/>
    </row>
    <row r="172" spans="1:13" x14ac:dyDescent="0.25">
      <c r="A172" t="s">
        <v>5057</v>
      </c>
      <c r="B172">
        <v>4</v>
      </c>
      <c r="C172">
        <v>27</v>
      </c>
      <c r="D172" s="22">
        <v>46114</v>
      </c>
      <c r="E172">
        <v>1835</v>
      </c>
      <c r="F172" s="3"/>
      <c r="H172">
        <v>35</v>
      </c>
    </row>
    <row r="173" spans="1:13" x14ac:dyDescent="0.25">
      <c r="A173" t="s">
        <v>5057</v>
      </c>
      <c r="B173">
        <v>4</v>
      </c>
      <c r="C173">
        <v>27</v>
      </c>
      <c r="D173" s="22">
        <v>46114</v>
      </c>
      <c r="E173">
        <v>1828</v>
      </c>
      <c r="F173" s="3"/>
      <c r="H173">
        <v>25</v>
      </c>
    </row>
    <row r="174" spans="1:13" x14ac:dyDescent="0.25">
      <c r="A174" t="s">
        <v>5057</v>
      </c>
      <c r="B174">
        <v>4</v>
      </c>
      <c r="C174">
        <v>27</v>
      </c>
      <c r="D174" s="22">
        <v>46114</v>
      </c>
      <c r="E174">
        <v>1826</v>
      </c>
      <c r="F174" s="3"/>
      <c r="H174">
        <v>13</v>
      </c>
    </row>
    <row r="175" spans="1:13" x14ac:dyDescent="0.25">
      <c r="A175" t="s">
        <v>5057</v>
      </c>
      <c r="B175">
        <v>4</v>
      </c>
      <c r="C175">
        <v>27</v>
      </c>
      <c r="D175" s="22">
        <v>46114</v>
      </c>
      <c r="E175">
        <v>1827</v>
      </c>
      <c r="F175" s="3"/>
      <c r="H175" t="s">
        <v>4793</v>
      </c>
    </row>
    <row r="176" spans="1:13" x14ac:dyDescent="0.25">
      <c r="A176" t="s">
        <v>5057</v>
      </c>
      <c r="B176">
        <v>4</v>
      </c>
      <c r="C176">
        <v>27</v>
      </c>
      <c r="D176" s="22">
        <v>46114</v>
      </c>
      <c r="E176">
        <v>1822</v>
      </c>
      <c r="F176" s="3"/>
      <c r="H176">
        <v>6</v>
      </c>
    </row>
    <row r="178" spans="1:13" ht="24" x14ac:dyDescent="0.4">
      <c r="D178" s="42" t="s">
        <v>4792</v>
      </c>
      <c r="E178" s="42"/>
      <c r="F178" s="42"/>
      <c r="G178" s="42"/>
      <c r="H178" s="42"/>
      <c r="I178" s="42"/>
      <c r="J178" s="42"/>
      <c r="K178" s="43" t="s">
        <v>4459</v>
      </c>
      <c r="L178" s="13" t="s">
        <v>4432</v>
      </c>
      <c r="M178" s="44" t="s">
        <v>4460</v>
      </c>
    </row>
    <row r="179" spans="1:13" ht="18.75" x14ac:dyDescent="0.3">
      <c r="D179" s="11" t="s">
        <v>4445</v>
      </c>
      <c r="E179" s="11" t="s">
        <v>4433</v>
      </c>
      <c r="F179" s="11" t="s">
        <v>4434</v>
      </c>
      <c r="G179" s="11" t="s">
        <v>4435</v>
      </c>
      <c r="H179" s="11" t="s">
        <v>4436</v>
      </c>
      <c r="I179" s="11" t="s">
        <v>4444</v>
      </c>
      <c r="J179" s="11" t="s">
        <v>4436</v>
      </c>
      <c r="K179" s="43"/>
      <c r="L179" s="11" t="s">
        <v>4447</v>
      </c>
      <c r="M179" s="44"/>
    </row>
    <row r="180" spans="1:13" x14ac:dyDescent="0.25">
      <c r="A180" t="s">
        <v>5057</v>
      </c>
      <c r="B180">
        <v>4</v>
      </c>
      <c r="C180">
        <v>28</v>
      </c>
      <c r="D180" s="22">
        <v>46114</v>
      </c>
      <c r="E180">
        <v>1839</v>
      </c>
      <c r="F180" s="3"/>
      <c r="H180">
        <v>7</v>
      </c>
      <c r="M180" t="s">
        <v>4794</v>
      </c>
    </row>
    <row r="181" spans="1:13" x14ac:dyDescent="0.25">
      <c r="A181" t="s">
        <v>5057</v>
      </c>
      <c r="B181">
        <v>4</v>
      </c>
      <c r="C181">
        <v>28</v>
      </c>
      <c r="D181" s="22">
        <v>46114</v>
      </c>
      <c r="E181" s="8">
        <v>1645</v>
      </c>
      <c r="F181" s="3"/>
      <c r="M181" t="s">
        <v>4795</v>
      </c>
    </row>
    <row r="182" spans="1:13" x14ac:dyDescent="0.25">
      <c r="A182" t="s">
        <v>5057</v>
      </c>
      <c r="B182">
        <v>4</v>
      </c>
      <c r="C182">
        <v>28</v>
      </c>
      <c r="D182" s="22">
        <v>46114</v>
      </c>
      <c r="E182">
        <v>1640</v>
      </c>
      <c r="F182" s="3"/>
      <c r="H182">
        <v>10</v>
      </c>
    </row>
    <row r="183" spans="1:13" x14ac:dyDescent="0.25">
      <c r="A183" t="s">
        <v>5057</v>
      </c>
      <c r="B183">
        <v>4</v>
      </c>
      <c r="C183">
        <v>28</v>
      </c>
      <c r="D183" s="22">
        <v>46114</v>
      </c>
      <c r="E183">
        <v>1642</v>
      </c>
      <c r="F183" s="3"/>
      <c r="H183">
        <v>10</v>
      </c>
    </row>
    <row r="184" spans="1:13" x14ac:dyDescent="0.25">
      <c r="A184" t="s">
        <v>5057</v>
      </c>
      <c r="B184">
        <v>4</v>
      </c>
      <c r="C184">
        <v>28</v>
      </c>
      <c r="D184" s="22">
        <v>46144</v>
      </c>
      <c r="E184">
        <v>1629</v>
      </c>
      <c r="F184" s="3"/>
      <c r="H184">
        <v>1</v>
      </c>
    </row>
    <row r="185" spans="1:13" x14ac:dyDescent="0.25">
      <c r="A185" t="s">
        <v>5057</v>
      </c>
      <c r="B185">
        <v>4</v>
      </c>
      <c r="C185">
        <v>28</v>
      </c>
      <c r="D185" s="22">
        <v>46144</v>
      </c>
      <c r="E185" s="8"/>
      <c r="F185" s="3"/>
      <c r="H185">
        <v>27</v>
      </c>
      <c r="M185" t="s">
        <v>4796</v>
      </c>
    </row>
    <row r="186" spans="1:13" x14ac:dyDescent="0.25">
      <c r="A186" t="s">
        <v>5057</v>
      </c>
      <c r="B186">
        <v>4</v>
      </c>
      <c r="C186">
        <v>28</v>
      </c>
      <c r="D186" s="22">
        <v>46144</v>
      </c>
      <c r="E186">
        <v>1627</v>
      </c>
      <c r="F186" s="3"/>
      <c r="H186">
        <v>5</v>
      </c>
    </row>
    <row r="187" spans="1:13" x14ac:dyDescent="0.25">
      <c r="A187" t="s">
        <v>5057</v>
      </c>
      <c r="B187">
        <v>4</v>
      </c>
      <c r="C187">
        <v>28</v>
      </c>
      <c r="D187" s="22">
        <v>46144</v>
      </c>
      <c r="E187">
        <v>1639</v>
      </c>
      <c r="F187" s="3"/>
      <c r="H187">
        <v>2</v>
      </c>
    </row>
    <row r="189" spans="1:13" ht="24" x14ac:dyDescent="0.4">
      <c r="D189" s="42" t="s">
        <v>4774</v>
      </c>
      <c r="E189" s="42"/>
      <c r="F189" s="42"/>
      <c r="G189" s="42"/>
      <c r="H189" s="42"/>
      <c r="I189" s="42"/>
      <c r="J189" s="42"/>
      <c r="K189" s="43" t="s">
        <v>4459</v>
      </c>
      <c r="L189" s="13" t="s">
        <v>4432</v>
      </c>
      <c r="M189" s="44" t="s">
        <v>4460</v>
      </c>
    </row>
    <row r="190" spans="1:13" ht="18.75" x14ac:dyDescent="0.3">
      <c r="D190" s="11" t="s">
        <v>4445</v>
      </c>
      <c r="E190" s="11" t="s">
        <v>4433</v>
      </c>
      <c r="F190" s="11" t="s">
        <v>4434</v>
      </c>
      <c r="G190" s="11" t="s">
        <v>4435</v>
      </c>
      <c r="H190" s="11" t="s">
        <v>4436</v>
      </c>
      <c r="I190" s="11" t="s">
        <v>4444</v>
      </c>
      <c r="J190" s="11" t="s">
        <v>4436</v>
      </c>
      <c r="K190" s="43"/>
      <c r="L190" s="11" t="s">
        <v>4447</v>
      </c>
      <c r="M190" s="44"/>
    </row>
    <row r="191" spans="1:13" x14ac:dyDescent="0.25">
      <c r="A191" t="s">
        <v>5057</v>
      </c>
      <c r="B191">
        <v>4</v>
      </c>
      <c r="C191">
        <v>36</v>
      </c>
      <c r="D191" s="22">
        <v>46144</v>
      </c>
      <c r="E191">
        <v>1833</v>
      </c>
      <c r="F191" s="3"/>
      <c r="H191">
        <v>4</v>
      </c>
    </row>
    <row r="192" spans="1:13" x14ac:dyDescent="0.25">
      <c r="A192" t="s">
        <v>5057</v>
      </c>
      <c r="B192">
        <v>4</v>
      </c>
      <c r="C192">
        <v>36</v>
      </c>
      <c r="D192" s="22">
        <v>46144</v>
      </c>
      <c r="E192">
        <v>1824</v>
      </c>
      <c r="F192" s="3"/>
      <c r="H192">
        <v>5</v>
      </c>
    </row>
    <row r="193" spans="1:13" x14ac:dyDescent="0.25">
      <c r="A193" t="s">
        <v>5057</v>
      </c>
      <c r="B193">
        <v>4</v>
      </c>
      <c r="C193">
        <v>36</v>
      </c>
      <c r="D193" s="22">
        <v>46144</v>
      </c>
      <c r="E193">
        <v>15805</v>
      </c>
      <c r="F193" s="3"/>
      <c r="H193">
        <v>3</v>
      </c>
      <c r="M193" t="s">
        <v>4802</v>
      </c>
    </row>
    <row r="195" spans="1:13" ht="24" x14ac:dyDescent="0.4">
      <c r="D195" s="42" t="s">
        <v>4800</v>
      </c>
      <c r="E195" s="42"/>
      <c r="F195" s="42"/>
      <c r="G195" s="42"/>
      <c r="H195" s="42"/>
      <c r="I195" s="42"/>
      <c r="J195" s="42"/>
      <c r="K195" s="43" t="s">
        <v>4459</v>
      </c>
      <c r="L195" s="13" t="s">
        <v>4432</v>
      </c>
      <c r="M195" s="44" t="s">
        <v>4460</v>
      </c>
    </row>
    <row r="196" spans="1:13" ht="18.75" x14ac:dyDescent="0.3">
      <c r="D196" s="11" t="s">
        <v>4445</v>
      </c>
      <c r="E196" s="11" t="s">
        <v>4433</v>
      </c>
      <c r="F196" s="11" t="s">
        <v>4434</v>
      </c>
      <c r="G196" s="11" t="s">
        <v>4435</v>
      </c>
      <c r="H196" s="11" t="s">
        <v>4436</v>
      </c>
      <c r="I196" s="11" t="s">
        <v>4444</v>
      </c>
      <c r="J196" s="11" t="s">
        <v>4436</v>
      </c>
      <c r="K196" s="43"/>
      <c r="L196" s="11" t="s">
        <v>4447</v>
      </c>
      <c r="M196" s="44"/>
    </row>
    <row r="197" spans="1:13" x14ac:dyDescent="0.25">
      <c r="A197" t="s">
        <v>5057</v>
      </c>
      <c r="B197">
        <v>4</v>
      </c>
      <c r="C197">
        <v>34</v>
      </c>
      <c r="D197" s="22">
        <v>46144</v>
      </c>
      <c r="E197">
        <v>1805</v>
      </c>
      <c r="F197" s="3"/>
      <c r="G197">
        <v>4</v>
      </c>
      <c r="H197">
        <v>1</v>
      </c>
    </row>
    <row r="200" spans="1:13" ht="24" x14ac:dyDescent="0.4">
      <c r="D200" s="42" t="s">
        <v>4801</v>
      </c>
      <c r="E200" s="42"/>
      <c r="F200" s="42"/>
      <c r="G200" s="42"/>
      <c r="H200" s="42"/>
      <c r="I200" s="42"/>
      <c r="J200" s="42"/>
      <c r="K200" s="43" t="s">
        <v>4459</v>
      </c>
      <c r="L200" s="13" t="s">
        <v>4432</v>
      </c>
      <c r="M200" s="44" t="s">
        <v>4460</v>
      </c>
    </row>
    <row r="201" spans="1:13" ht="18.75" x14ac:dyDescent="0.3">
      <c r="D201" s="11" t="s">
        <v>4445</v>
      </c>
      <c r="E201" s="11" t="s">
        <v>4433</v>
      </c>
      <c r="F201" s="11" t="s">
        <v>4434</v>
      </c>
      <c r="G201" s="11" t="s">
        <v>4435</v>
      </c>
      <c r="H201" s="11" t="s">
        <v>4436</v>
      </c>
      <c r="I201" s="11" t="s">
        <v>4444</v>
      </c>
      <c r="J201" s="11" t="s">
        <v>4436</v>
      </c>
      <c r="K201" s="43"/>
      <c r="L201" s="11" t="s">
        <v>4447</v>
      </c>
      <c r="M201" s="44"/>
    </row>
    <row r="202" spans="1:13" x14ac:dyDescent="0.25">
      <c r="A202" t="s">
        <v>5057</v>
      </c>
      <c r="B202">
        <v>4</v>
      </c>
      <c r="C202">
        <v>22</v>
      </c>
      <c r="D202" s="22">
        <v>46144</v>
      </c>
      <c r="E202">
        <v>1829</v>
      </c>
      <c r="F202" s="3"/>
      <c r="H202">
        <v>13</v>
      </c>
    </row>
    <row r="203" spans="1:13" x14ac:dyDescent="0.25">
      <c r="A203" t="s">
        <v>5057</v>
      </c>
      <c r="B203">
        <v>4</v>
      </c>
      <c r="C203">
        <v>22</v>
      </c>
      <c r="D203" s="22">
        <v>46144</v>
      </c>
      <c r="E203">
        <v>1829</v>
      </c>
      <c r="F203" s="3"/>
      <c r="G203" t="s">
        <v>4724</v>
      </c>
    </row>
    <row r="204" spans="1:13" x14ac:dyDescent="0.25">
      <c r="A204" t="s">
        <v>5057</v>
      </c>
      <c r="B204">
        <v>4</v>
      </c>
      <c r="C204">
        <v>22</v>
      </c>
      <c r="D204" s="22">
        <v>46144</v>
      </c>
      <c r="E204" s="21" t="s">
        <v>4803</v>
      </c>
      <c r="F204" s="3"/>
      <c r="H204">
        <v>9</v>
      </c>
    </row>
    <row r="205" spans="1:13" x14ac:dyDescent="0.25">
      <c r="A205" t="s">
        <v>5057</v>
      </c>
      <c r="B205">
        <v>4</v>
      </c>
      <c r="C205">
        <v>22</v>
      </c>
      <c r="D205" s="22">
        <v>46144</v>
      </c>
      <c r="E205" s="21" t="s">
        <v>4803</v>
      </c>
      <c r="F205" s="3"/>
      <c r="G205">
        <v>10</v>
      </c>
    </row>
    <row r="206" spans="1:13" x14ac:dyDescent="0.25">
      <c r="A206" t="s">
        <v>5057</v>
      </c>
      <c r="B206">
        <v>4</v>
      </c>
      <c r="C206">
        <v>22</v>
      </c>
      <c r="D206" s="22">
        <v>46144</v>
      </c>
      <c r="E206" s="21" t="s">
        <v>4804</v>
      </c>
      <c r="F206" s="3"/>
      <c r="H206" t="s">
        <v>4724</v>
      </c>
    </row>
    <row r="207" spans="1:13" x14ac:dyDescent="0.25">
      <c r="A207" t="s">
        <v>5057</v>
      </c>
      <c r="B207">
        <v>4</v>
      </c>
      <c r="C207">
        <v>22</v>
      </c>
      <c r="D207" s="22">
        <v>46144</v>
      </c>
      <c r="E207" s="21" t="s">
        <v>4805</v>
      </c>
      <c r="F207" s="3"/>
      <c r="H207">
        <v>240</v>
      </c>
    </row>
    <row r="208" spans="1:13" x14ac:dyDescent="0.25">
      <c r="A208" t="s">
        <v>5057</v>
      </c>
      <c r="B208">
        <v>4</v>
      </c>
      <c r="C208">
        <v>22</v>
      </c>
      <c r="D208" s="22">
        <v>46144</v>
      </c>
      <c r="E208" s="21" t="s">
        <v>4806</v>
      </c>
      <c r="F208" s="3"/>
      <c r="H208" t="s">
        <v>4807</v>
      </c>
    </row>
    <row r="211" spans="1:13" ht="24" x14ac:dyDescent="0.4">
      <c r="D211" s="42" t="s">
        <v>4808</v>
      </c>
      <c r="E211" s="42"/>
      <c r="F211" s="42"/>
      <c r="G211" s="42"/>
      <c r="H211" s="42"/>
      <c r="I211" s="42"/>
      <c r="J211" s="42"/>
      <c r="K211" s="43" t="s">
        <v>4459</v>
      </c>
      <c r="L211" s="13" t="s">
        <v>4432</v>
      </c>
      <c r="M211" s="44" t="s">
        <v>4460</v>
      </c>
    </row>
    <row r="212" spans="1:13" ht="18.75" x14ac:dyDescent="0.3">
      <c r="D212" s="11" t="s">
        <v>4445</v>
      </c>
      <c r="E212" s="11" t="s">
        <v>4433</v>
      </c>
      <c r="F212" s="11" t="s">
        <v>4434</v>
      </c>
      <c r="G212" s="11" t="s">
        <v>4435</v>
      </c>
      <c r="H212" s="11" t="s">
        <v>4436</v>
      </c>
      <c r="I212" s="11" t="s">
        <v>4444</v>
      </c>
      <c r="J212" s="11" t="s">
        <v>4436</v>
      </c>
      <c r="K212" s="43"/>
      <c r="L212" s="11" t="s">
        <v>4447</v>
      </c>
      <c r="M212" s="44"/>
    </row>
    <row r="213" spans="1:13" x14ac:dyDescent="0.25">
      <c r="A213" t="s">
        <v>5057</v>
      </c>
      <c r="B213">
        <v>4</v>
      </c>
      <c r="C213">
        <v>23</v>
      </c>
      <c r="D213" s="22">
        <v>46144</v>
      </c>
      <c r="E213">
        <v>1842</v>
      </c>
      <c r="F213" s="3"/>
      <c r="H213">
        <v>60</v>
      </c>
    </row>
    <row r="214" spans="1:13" x14ac:dyDescent="0.25">
      <c r="A214" t="s">
        <v>5057</v>
      </c>
      <c r="B214">
        <v>4</v>
      </c>
      <c r="C214">
        <v>23</v>
      </c>
      <c r="D214" s="22">
        <v>46144</v>
      </c>
      <c r="E214">
        <v>1844</v>
      </c>
      <c r="F214" s="3"/>
      <c r="H214">
        <v>58</v>
      </c>
      <c r="J214">
        <v>13</v>
      </c>
      <c r="M214" t="s">
        <v>4809</v>
      </c>
    </row>
    <row r="215" spans="1:13" x14ac:dyDescent="0.25">
      <c r="A215" t="s">
        <v>5057</v>
      </c>
      <c r="B215">
        <v>4</v>
      </c>
      <c r="C215">
        <v>23</v>
      </c>
      <c r="D215" s="22">
        <v>46144</v>
      </c>
      <c r="E215">
        <v>1845</v>
      </c>
      <c r="F215" s="3"/>
      <c r="H215">
        <v>9</v>
      </c>
      <c r="M215" t="s">
        <v>4810</v>
      </c>
    </row>
    <row r="216" spans="1:13" x14ac:dyDescent="0.25">
      <c r="A216" t="s">
        <v>5057</v>
      </c>
      <c r="B216">
        <v>4</v>
      </c>
      <c r="C216">
        <v>23</v>
      </c>
      <c r="D216" s="22">
        <v>46144</v>
      </c>
      <c r="E216">
        <v>1845</v>
      </c>
      <c r="F216" s="3"/>
      <c r="H216">
        <v>28</v>
      </c>
      <c r="M216" t="s">
        <v>4809</v>
      </c>
    </row>
    <row r="217" spans="1:13" x14ac:dyDescent="0.25">
      <c r="A217" t="s">
        <v>5057</v>
      </c>
      <c r="B217">
        <v>4</v>
      </c>
      <c r="C217">
        <v>23</v>
      </c>
      <c r="D217" s="22">
        <v>46144</v>
      </c>
      <c r="E217">
        <v>1841</v>
      </c>
      <c r="F217" s="3"/>
      <c r="H217">
        <v>21</v>
      </c>
    </row>
    <row r="218" spans="1:13" x14ac:dyDescent="0.25">
      <c r="A218" t="s">
        <v>5057</v>
      </c>
      <c r="B218">
        <v>4</v>
      </c>
      <c r="C218">
        <v>23</v>
      </c>
      <c r="D218" s="22">
        <v>46144</v>
      </c>
      <c r="E218">
        <v>1844</v>
      </c>
      <c r="F218" s="3"/>
      <c r="H218" t="s">
        <v>4811</v>
      </c>
    </row>
    <row r="219" spans="1:13" x14ac:dyDescent="0.25">
      <c r="A219" t="s">
        <v>5057</v>
      </c>
      <c r="B219">
        <v>4</v>
      </c>
      <c r="C219">
        <v>23</v>
      </c>
      <c r="D219" s="22">
        <v>46144</v>
      </c>
      <c r="E219">
        <v>1841</v>
      </c>
      <c r="F219" s="3"/>
      <c r="H219">
        <v>78</v>
      </c>
    </row>
    <row r="220" spans="1:13" x14ac:dyDescent="0.25">
      <c r="A220" t="s">
        <v>5057</v>
      </c>
      <c r="B220">
        <v>4</v>
      </c>
      <c r="C220">
        <v>23</v>
      </c>
      <c r="D220" s="22">
        <v>46144</v>
      </c>
      <c r="E220">
        <v>1843</v>
      </c>
      <c r="F220" s="3"/>
      <c r="H220">
        <v>24</v>
      </c>
    </row>
    <row r="223" spans="1:13" ht="24" x14ac:dyDescent="0.4">
      <c r="D223" s="42" t="s">
        <v>4812</v>
      </c>
      <c r="E223" s="42"/>
      <c r="F223" s="42"/>
      <c r="G223" s="42"/>
      <c r="H223" s="42"/>
      <c r="I223" s="42"/>
      <c r="J223" s="42"/>
      <c r="K223" s="43" t="s">
        <v>4459</v>
      </c>
      <c r="L223" s="13" t="s">
        <v>4432</v>
      </c>
      <c r="M223" s="44" t="s">
        <v>4460</v>
      </c>
    </row>
    <row r="224" spans="1:13" ht="18.75" x14ac:dyDescent="0.3">
      <c r="D224" s="11" t="s">
        <v>4445</v>
      </c>
      <c r="E224" s="11" t="s">
        <v>4433</v>
      </c>
      <c r="F224" s="11" t="s">
        <v>4434</v>
      </c>
      <c r="G224" s="11" t="s">
        <v>4435</v>
      </c>
      <c r="H224" s="11" t="s">
        <v>4436</v>
      </c>
      <c r="I224" s="11" t="s">
        <v>4444</v>
      </c>
      <c r="J224" s="11" t="s">
        <v>4436</v>
      </c>
      <c r="K224" s="43"/>
      <c r="L224" s="11" t="s">
        <v>4447</v>
      </c>
      <c r="M224" s="44"/>
    </row>
    <row r="225" spans="1:13" x14ac:dyDescent="0.25">
      <c r="A225" t="s">
        <v>5057</v>
      </c>
      <c r="B225">
        <v>4</v>
      </c>
      <c r="C225">
        <v>24</v>
      </c>
      <c r="D225" s="22">
        <v>46144</v>
      </c>
      <c r="E225">
        <v>1816</v>
      </c>
      <c r="F225" s="3"/>
      <c r="H225">
        <v>17</v>
      </c>
    </row>
    <row r="226" spans="1:13" x14ac:dyDescent="0.25">
      <c r="A226" t="s">
        <v>5057</v>
      </c>
      <c r="B226">
        <v>4</v>
      </c>
      <c r="C226">
        <v>24</v>
      </c>
      <c r="D226" s="22">
        <v>46144</v>
      </c>
      <c r="E226">
        <v>1814</v>
      </c>
      <c r="F226" s="3"/>
      <c r="H226">
        <v>27</v>
      </c>
    </row>
    <row r="227" spans="1:13" x14ac:dyDescent="0.25">
      <c r="A227" t="s">
        <v>5057</v>
      </c>
      <c r="B227">
        <v>4</v>
      </c>
      <c r="C227">
        <v>24</v>
      </c>
      <c r="D227" s="22">
        <v>46144</v>
      </c>
      <c r="E227">
        <v>1815</v>
      </c>
      <c r="F227" s="3"/>
      <c r="H227">
        <v>16</v>
      </c>
    </row>
    <row r="228" spans="1:13" x14ac:dyDescent="0.25">
      <c r="A228" t="s">
        <v>5057</v>
      </c>
      <c r="B228">
        <v>4</v>
      </c>
      <c r="C228">
        <v>24</v>
      </c>
      <c r="D228" s="22">
        <v>46144</v>
      </c>
      <c r="E228">
        <v>18131</v>
      </c>
      <c r="F228" s="3"/>
      <c r="H228">
        <v>46</v>
      </c>
    </row>
    <row r="229" spans="1:13" x14ac:dyDescent="0.25">
      <c r="A229" t="s">
        <v>5057</v>
      </c>
      <c r="B229">
        <v>4</v>
      </c>
      <c r="C229">
        <v>24</v>
      </c>
      <c r="D229" s="22">
        <v>46144</v>
      </c>
      <c r="E229" s="21" t="s">
        <v>4711</v>
      </c>
      <c r="F229" s="3"/>
      <c r="H229" t="s">
        <v>4813</v>
      </c>
    </row>
    <row r="230" spans="1:13" x14ac:dyDescent="0.25">
      <c r="A230" t="s">
        <v>5057</v>
      </c>
      <c r="B230">
        <v>4</v>
      </c>
      <c r="C230">
        <v>24</v>
      </c>
      <c r="D230" s="22">
        <v>46144</v>
      </c>
      <c r="E230" s="21" t="s">
        <v>4756</v>
      </c>
      <c r="F230" s="3"/>
      <c r="H230" t="s">
        <v>4814</v>
      </c>
    </row>
    <row r="231" spans="1:13" x14ac:dyDescent="0.25">
      <c r="A231" t="s">
        <v>5057</v>
      </c>
      <c r="B231">
        <v>4</v>
      </c>
      <c r="C231">
        <v>24</v>
      </c>
      <c r="D231" s="22">
        <v>46144</v>
      </c>
      <c r="E231" s="21" t="s">
        <v>4757</v>
      </c>
      <c r="F231" s="3"/>
      <c r="H231" t="s">
        <v>4815</v>
      </c>
    </row>
    <row r="232" spans="1:13" x14ac:dyDescent="0.25">
      <c r="A232" t="s">
        <v>5057</v>
      </c>
      <c r="B232">
        <v>4</v>
      </c>
      <c r="C232">
        <v>24</v>
      </c>
      <c r="D232" s="22">
        <v>46144</v>
      </c>
      <c r="E232" s="21" t="s">
        <v>4758</v>
      </c>
      <c r="F232" s="3"/>
      <c r="H232" t="s">
        <v>4783</v>
      </c>
    </row>
    <row r="233" spans="1:13" x14ac:dyDescent="0.25">
      <c r="A233" t="s">
        <v>5057</v>
      </c>
      <c r="B233">
        <v>4</v>
      </c>
      <c r="C233">
        <v>24</v>
      </c>
      <c r="D233" s="22">
        <v>46144</v>
      </c>
      <c r="E233" s="21" t="s">
        <v>4731</v>
      </c>
      <c r="F233" s="3"/>
      <c r="H233" t="s">
        <v>4763</v>
      </c>
    </row>
    <row r="234" spans="1:13" x14ac:dyDescent="0.25">
      <c r="A234" t="s">
        <v>5057</v>
      </c>
      <c r="B234">
        <v>4</v>
      </c>
      <c r="C234">
        <v>24</v>
      </c>
      <c r="D234" s="22">
        <v>46144</v>
      </c>
      <c r="E234">
        <v>1811</v>
      </c>
      <c r="F234" s="3"/>
      <c r="I234">
        <v>31</v>
      </c>
    </row>
    <row r="235" spans="1:13" x14ac:dyDescent="0.25">
      <c r="A235" t="s">
        <v>5057</v>
      </c>
      <c r="B235">
        <v>4</v>
      </c>
      <c r="C235">
        <v>24</v>
      </c>
      <c r="D235" s="22">
        <v>46144</v>
      </c>
      <c r="E235">
        <v>1812</v>
      </c>
      <c r="F235" s="3"/>
      <c r="I235">
        <v>26</v>
      </c>
    </row>
    <row r="236" spans="1:13" x14ac:dyDescent="0.25">
      <c r="A236" t="s">
        <v>5057</v>
      </c>
      <c r="B236">
        <v>4</v>
      </c>
      <c r="C236">
        <v>24</v>
      </c>
      <c r="D236" s="22">
        <v>46144</v>
      </c>
      <c r="E236">
        <v>1813</v>
      </c>
      <c r="F236" s="3"/>
      <c r="I236">
        <v>39</v>
      </c>
    </row>
    <row r="237" spans="1:13" x14ac:dyDescent="0.25">
      <c r="D237" s="22"/>
    </row>
    <row r="238" spans="1:13" ht="24" x14ac:dyDescent="0.4">
      <c r="D238" s="42" t="s">
        <v>4816</v>
      </c>
      <c r="E238" s="42"/>
      <c r="F238" s="42"/>
      <c r="G238" s="42"/>
      <c r="H238" s="42"/>
      <c r="I238" s="42"/>
      <c r="J238" s="42"/>
      <c r="K238" s="43" t="s">
        <v>4459</v>
      </c>
      <c r="L238" s="13" t="s">
        <v>4432</v>
      </c>
      <c r="M238" s="44" t="s">
        <v>4460</v>
      </c>
    </row>
    <row r="239" spans="1:13" ht="18.75" x14ac:dyDescent="0.3">
      <c r="D239" s="11" t="s">
        <v>4445</v>
      </c>
      <c r="E239" s="11" t="s">
        <v>4433</v>
      </c>
      <c r="F239" s="11" t="s">
        <v>4434</v>
      </c>
      <c r="G239" s="11" t="s">
        <v>4435</v>
      </c>
      <c r="H239" s="11" t="s">
        <v>4436</v>
      </c>
      <c r="I239" s="11" t="s">
        <v>4444</v>
      </c>
      <c r="J239" s="11" t="s">
        <v>4436</v>
      </c>
      <c r="K239" s="43"/>
      <c r="L239" s="11" t="s">
        <v>4447</v>
      </c>
      <c r="M239" s="44"/>
    </row>
    <row r="240" spans="1:13" x14ac:dyDescent="0.25">
      <c r="A240" t="s">
        <v>5057</v>
      </c>
      <c r="B240">
        <v>4</v>
      </c>
      <c r="C240">
        <v>18</v>
      </c>
      <c r="D240" s="22">
        <v>46144</v>
      </c>
      <c r="E240" s="21" t="s">
        <v>4817</v>
      </c>
      <c r="F240" s="3"/>
      <c r="G240" t="s">
        <v>4825</v>
      </c>
    </row>
    <row r="241" spans="1:13" x14ac:dyDescent="0.25">
      <c r="A241" t="s">
        <v>5057</v>
      </c>
      <c r="B241">
        <v>4</v>
      </c>
      <c r="C241">
        <v>18</v>
      </c>
      <c r="D241" s="22">
        <v>46144</v>
      </c>
      <c r="E241" s="21" t="s">
        <v>4818</v>
      </c>
      <c r="F241" s="3"/>
      <c r="G241" t="s">
        <v>4826</v>
      </c>
    </row>
    <row r="242" spans="1:13" x14ac:dyDescent="0.25">
      <c r="A242" t="s">
        <v>5057</v>
      </c>
      <c r="B242">
        <v>4</v>
      </c>
      <c r="C242">
        <v>18</v>
      </c>
      <c r="D242" s="22">
        <v>46144</v>
      </c>
      <c r="E242" s="21" t="s">
        <v>4819</v>
      </c>
      <c r="F242" s="3"/>
      <c r="G242" t="s">
        <v>4827</v>
      </c>
      <c r="H242" t="s">
        <v>4828</v>
      </c>
    </row>
    <row r="243" spans="1:13" x14ac:dyDescent="0.25">
      <c r="A243" t="s">
        <v>5057</v>
      </c>
      <c r="B243">
        <v>4</v>
      </c>
      <c r="C243">
        <v>18</v>
      </c>
      <c r="D243" s="22">
        <v>46144</v>
      </c>
      <c r="E243" s="21" t="s">
        <v>4820</v>
      </c>
      <c r="F243" s="3"/>
      <c r="G243" t="s">
        <v>4830</v>
      </c>
      <c r="M243" t="s">
        <v>4829</v>
      </c>
    </row>
    <row r="244" spans="1:13" x14ac:dyDescent="0.25">
      <c r="A244" t="s">
        <v>5057</v>
      </c>
      <c r="B244">
        <v>4</v>
      </c>
      <c r="C244">
        <v>18</v>
      </c>
      <c r="D244" s="22">
        <v>46144</v>
      </c>
      <c r="E244" s="21" t="s">
        <v>4821</v>
      </c>
      <c r="F244" s="3"/>
      <c r="G244" t="s">
        <v>4831</v>
      </c>
    </row>
    <row r="245" spans="1:13" x14ac:dyDescent="0.25">
      <c r="A245" t="s">
        <v>5057</v>
      </c>
      <c r="B245">
        <v>4</v>
      </c>
      <c r="C245">
        <v>18</v>
      </c>
      <c r="D245" s="22">
        <v>46144</v>
      </c>
      <c r="E245" s="21" t="s">
        <v>4822</v>
      </c>
      <c r="F245" s="3"/>
      <c r="G245" t="s">
        <v>4832</v>
      </c>
    </row>
    <row r="246" spans="1:13" x14ac:dyDescent="0.25">
      <c r="A246" t="s">
        <v>5057</v>
      </c>
      <c r="B246">
        <v>4</v>
      </c>
      <c r="C246">
        <v>18</v>
      </c>
      <c r="D246" s="22">
        <v>46144</v>
      </c>
      <c r="E246" s="21" t="s">
        <v>4823</v>
      </c>
      <c r="F246" s="3"/>
      <c r="G246" t="s">
        <v>4833</v>
      </c>
    </row>
    <row r="247" spans="1:13" x14ac:dyDescent="0.25">
      <c r="A247" t="s">
        <v>5057</v>
      </c>
      <c r="B247">
        <v>4</v>
      </c>
      <c r="C247">
        <v>18</v>
      </c>
      <c r="D247" s="22">
        <v>46144</v>
      </c>
      <c r="E247" s="21" t="s">
        <v>4824</v>
      </c>
      <c r="F247" s="3"/>
      <c r="G247" t="s">
        <v>4834</v>
      </c>
    </row>
    <row r="248" spans="1:13" x14ac:dyDescent="0.25">
      <c r="D248" s="22"/>
    </row>
    <row r="249" spans="1:13" x14ac:dyDescent="0.25">
      <c r="D249" s="22"/>
    </row>
    <row r="250" spans="1:13" x14ac:dyDescent="0.25">
      <c r="D250" s="22"/>
    </row>
  </sheetData>
  <mergeCells count="82">
    <mergeCell ref="D238:J238"/>
    <mergeCell ref="K238:K239"/>
    <mergeCell ref="M238:M239"/>
    <mergeCell ref="D211:J211"/>
    <mergeCell ref="K211:K212"/>
    <mergeCell ref="M211:M212"/>
    <mergeCell ref="D223:J223"/>
    <mergeCell ref="K223:K224"/>
    <mergeCell ref="M223:M224"/>
    <mergeCell ref="D195:J195"/>
    <mergeCell ref="K195:K196"/>
    <mergeCell ref="M195:M196"/>
    <mergeCell ref="D200:J200"/>
    <mergeCell ref="K200:K201"/>
    <mergeCell ref="M200:M201"/>
    <mergeCell ref="D178:J178"/>
    <mergeCell ref="K178:K179"/>
    <mergeCell ref="M178:M179"/>
    <mergeCell ref="D189:J189"/>
    <mergeCell ref="K189:K190"/>
    <mergeCell ref="M189:M190"/>
    <mergeCell ref="D163:J163"/>
    <mergeCell ref="K163:K164"/>
    <mergeCell ref="M163:M164"/>
    <mergeCell ref="D170:J170"/>
    <mergeCell ref="K170:K171"/>
    <mergeCell ref="M170:M171"/>
    <mergeCell ref="D127:J127"/>
    <mergeCell ref="K127:K128"/>
    <mergeCell ref="M127:M128"/>
    <mergeCell ref="D156:J156"/>
    <mergeCell ref="K156:K157"/>
    <mergeCell ref="M156:M157"/>
    <mergeCell ref="D116:J116"/>
    <mergeCell ref="K116:K117"/>
    <mergeCell ref="M116:M117"/>
    <mergeCell ref="D121:J121"/>
    <mergeCell ref="K121:K122"/>
    <mergeCell ref="M121:M122"/>
    <mergeCell ref="D104:J104"/>
    <mergeCell ref="K104:K105"/>
    <mergeCell ref="M104:M105"/>
    <mergeCell ref="D111:J111"/>
    <mergeCell ref="K111:K112"/>
    <mergeCell ref="M111:M112"/>
    <mergeCell ref="D84:J84"/>
    <mergeCell ref="K84:K85"/>
    <mergeCell ref="M84:M85"/>
    <mergeCell ref="D94:J94"/>
    <mergeCell ref="K94:K95"/>
    <mergeCell ref="M94:M95"/>
    <mergeCell ref="D69:J69"/>
    <mergeCell ref="K69:K70"/>
    <mergeCell ref="M69:M70"/>
    <mergeCell ref="D77:J77"/>
    <mergeCell ref="K77:K78"/>
    <mergeCell ref="M77:M78"/>
    <mergeCell ref="D48:J48"/>
    <mergeCell ref="K48:K49"/>
    <mergeCell ref="M48:M49"/>
    <mergeCell ref="D61:J61"/>
    <mergeCell ref="K61:K62"/>
    <mergeCell ref="M61:M62"/>
    <mergeCell ref="D35:J35"/>
    <mergeCell ref="K35:K36"/>
    <mergeCell ref="M35:M36"/>
    <mergeCell ref="D40:J40"/>
    <mergeCell ref="K40:K41"/>
    <mergeCell ref="M40:M41"/>
    <mergeCell ref="D14:J14"/>
    <mergeCell ref="K14:K15"/>
    <mergeCell ref="M14:M15"/>
    <mergeCell ref="D26:J26"/>
    <mergeCell ref="K26:K27"/>
    <mergeCell ref="M26:M27"/>
    <mergeCell ref="D1:K1"/>
    <mergeCell ref="D2:J2"/>
    <mergeCell ref="K2:K3"/>
    <mergeCell ref="M2:M3"/>
    <mergeCell ref="D9:J9"/>
    <mergeCell ref="K9:K10"/>
    <mergeCell ref="M9:M1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08AD3-DE0F-4651-A52D-A1CB2BD4D299}">
  <dimension ref="A1:M77"/>
  <sheetViews>
    <sheetView topLeftCell="A42" workbookViewId="0">
      <selection activeCell="F60" sqref="F60"/>
    </sheetView>
  </sheetViews>
  <sheetFormatPr defaultColWidth="11.42578125" defaultRowHeight="15" x14ac:dyDescent="0.25"/>
  <cols>
    <col min="1" max="1" width="19" style="10" bestFit="1" customWidth="1"/>
    <col min="2" max="2" width="15" style="10" bestFit="1" customWidth="1"/>
    <col min="3" max="3" width="12.28515625" style="10" bestFit="1" customWidth="1"/>
    <col min="4" max="4" width="13.5703125" bestFit="1" customWidth="1"/>
    <col min="5" max="5" width="12.140625" bestFit="1" customWidth="1"/>
    <col min="6" max="6" width="13.42578125" bestFit="1" customWidth="1"/>
    <col min="7" max="7" width="9.42578125" bestFit="1" customWidth="1"/>
    <col min="8" max="8" width="13" bestFit="1" customWidth="1"/>
    <col min="9" max="9" width="14.42578125" bestFit="1" customWidth="1"/>
    <col min="10" max="10" width="11.7109375" bestFit="1" customWidth="1"/>
    <col min="11" max="11" width="9.42578125" bestFit="1" customWidth="1"/>
    <col min="12" max="12" width="7.5703125" bestFit="1" customWidth="1"/>
    <col min="13" max="13" width="15.42578125" bestFit="1" customWidth="1"/>
  </cols>
  <sheetData>
    <row r="1" spans="1:13" ht="15.75" x14ac:dyDescent="0.25">
      <c r="A1" s="30" t="s">
        <v>5044</v>
      </c>
      <c r="B1" s="30" t="s">
        <v>5054</v>
      </c>
      <c r="C1" s="30" t="s">
        <v>5055</v>
      </c>
      <c r="D1" s="28" t="s">
        <v>5045</v>
      </c>
      <c r="E1" s="28" t="s">
        <v>5046</v>
      </c>
      <c r="F1" s="28" t="s">
        <v>4434</v>
      </c>
      <c r="G1" s="28" t="s">
        <v>5047</v>
      </c>
      <c r="H1" s="28" t="s">
        <v>5048</v>
      </c>
      <c r="I1" s="28" t="s">
        <v>5049</v>
      </c>
      <c r="J1" s="28" t="s">
        <v>5050</v>
      </c>
      <c r="K1" s="28" t="s">
        <v>5051</v>
      </c>
      <c r="L1" s="28" t="s">
        <v>5052</v>
      </c>
      <c r="M1" s="28" t="s">
        <v>5058</v>
      </c>
    </row>
    <row r="2" spans="1:13" x14ac:dyDescent="0.25">
      <c r="A2" s="10" t="s">
        <v>5053</v>
      </c>
      <c r="B2" s="10">
        <v>1</v>
      </c>
      <c r="C2" s="10">
        <v>16</v>
      </c>
      <c r="D2" t="s">
        <v>4857</v>
      </c>
      <c r="E2">
        <v>4040</v>
      </c>
      <c r="F2" s="3"/>
      <c r="G2">
        <v>2</v>
      </c>
      <c r="H2">
        <v>100</v>
      </c>
      <c r="I2">
        <f>G2*H2</f>
        <v>200</v>
      </c>
      <c r="J2">
        <v>1</v>
      </c>
      <c r="K2">
        <v>0</v>
      </c>
      <c r="L2">
        <f>I2+J2+K2</f>
        <v>201</v>
      </c>
      <c r="M2" t="s">
        <v>5061</v>
      </c>
    </row>
    <row r="3" spans="1:13" x14ac:dyDescent="0.25">
      <c r="A3" s="10" t="s">
        <v>5053</v>
      </c>
      <c r="B3" s="10">
        <v>1</v>
      </c>
      <c r="C3" s="10">
        <v>16</v>
      </c>
      <c r="D3" t="s">
        <v>4857</v>
      </c>
      <c r="E3">
        <v>4042</v>
      </c>
      <c r="F3" s="3"/>
      <c r="G3">
        <v>24</v>
      </c>
      <c r="H3">
        <v>10</v>
      </c>
      <c r="I3">
        <f t="shared" ref="I3:I12" si="0">G3*H3</f>
        <v>240</v>
      </c>
      <c r="J3">
        <v>0</v>
      </c>
      <c r="K3">
        <v>0</v>
      </c>
      <c r="L3">
        <f t="shared" ref="L3:L12" si="1">I3+J3+K3</f>
        <v>240</v>
      </c>
      <c r="M3" t="s">
        <v>5061</v>
      </c>
    </row>
    <row r="4" spans="1:13" x14ac:dyDescent="0.25">
      <c r="A4" s="10" t="s">
        <v>5053</v>
      </c>
      <c r="B4" s="10">
        <v>1</v>
      </c>
      <c r="C4" s="10">
        <v>16</v>
      </c>
      <c r="D4" t="s">
        <v>4857</v>
      </c>
      <c r="E4">
        <v>4041</v>
      </c>
      <c r="F4" s="3"/>
      <c r="G4">
        <v>31</v>
      </c>
      <c r="H4">
        <v>10</v>
      </c>
      <c r="I4">
        <f t="shared" si="0"/>
        <v>310</v>
      </c>
      <c r="J4">
        <v>0</v>
      </c>
      <c r="K4">
        <v>0</v>
      </c>
      <c r="L4">
        <f t="shared" si="1"/>
        <v>310</v>
      </c>
      <c r="M4" t="s">
        <v>5061</v>
      </c>
    </row>
    <row r="5" spans="1:13" x14ac:dyDescent="0.25">
      <c r="A5" s="10" t="s">
        <v>5053</v>
      </c>
      <c r="B5" s="10">
        <v>1</v>
      </c>
      <c r="C5" s="10">
        <v>16</v>
      </c>
      <c r="D5" t="s">
        <v>4857</v>
      </c>
      <c r="E5">
        <v>4043</v>
      </c>
      <c r="F5" s="3"/>
      <c r="G5">
        <v>15</v>
      </c>
      <c r="H5">
        <v>10</v>
      </c>
      <c r="I5">
        <f t="shared" si="0"/>
        <v>150</v>
      </c>
      <c r="J5">
        <v>0</v>
      </c>
      <c r="K5">
        <v>0</v>
      </c>
      <c r="L5">
        <f t="shared" si="1"/>
        <v>150</v>
      </c>
      <c r="M5" t="s">
        <v>5061</v>
      </c>
    </row>
    <row r="6" spans="1:13" x14ac:dyDescent="0.25">
      <c r="A6" s="10" t="s">
        <v>5053</v>
      </c>
      <c r="B6" s="10">
        <v>1</v>
      </c>
      <c r="C6" s="10">
        <v>16</v>
      </c>
      <c r="D6" t="s">
        <v>4857</v>
      </c>
      <c r="E6">
        <v>4050</v>
      </c>
      <c r="F6" s="3"/>
      <c r="G6">
        <v>3</v>
      </c>
      <c r="H6">
        <v>10</v>
      </c>
      <c r="I6">
        <f t="shared" si="0"/>
        <v>30</v>
      </c>
      <c r="J6">
        <v>0</v>
      </c>
      <c r="K6">
        <v>0</v>
      </c>
      <c r="L6">
        <f t="shared" si="1"/>
        <v>30</v>
      </c>
      <c r="M6" t="s">
        <v>5061</v>
      </c>
    </row>
    <row r="7" spans="1:13" x14ac:dyDescent="0.25">
      <c r="A7" s="10" t="s">
        <v>5053</v>
      </c>
      <c r="B7" s="10">
        <v>1</v>
      </c>
      <c r="C7" s="10">
        <v>16</v>
      </c>
      <c r="D7" t="s">
        <v>4857</v>
      </c>
      <c r="E7">
        <v>4046</v>
      </c>
      <c r="F7" s="3"/>
      <c r="G7">
        <v>11</v>
      </c>
      <c r="H7">
        <v>10</v>
      </c>
      <c r="I7">
        <f t="shared" si="0"/>
        <v>110</v>
      </c>
      <c r="J7">
        <v>0</v>
      </c>
      <c r="K7">
        <v>0</v>
      </c>
      <c r="L7">
        <f t="shared" si="1"/>
        <v>110</v>
      </c>
      <c r="M7" t="s">
        <v>5061</v>
      </c>
    </row>
    <row r="8" spans="1:13" x14ac:dyDescent="0.25">
      <c r="A8" s="10" t="s">
        <v>5053</v>
      </c>
      <c r="B8" s="10">
        <v>1</v>
      </c>
      <c r="C8" s="10">
        <v>16</v>
      </c>
      <c r="D8" t="s">
        <v>4857</v>
      </c>
      <c r="E8">
        <v>4049</v>
      </c>
      <c r="F8" s="3"/>
      <c r="G8">
        <v>7</v>
      </c>
      <c r="H8">
        <v>10</v>
      </c>
      <c r="I8">
        <f t="shared" si="0"/>
        <v>70</v>
      </c>
      <c r="J8">
        <v>0</v>
      </c>
      <c r="K8">
        <v>0</v>
      </c>
      <c r="L8">
        <f t="shared" si="1"/>
        <v>70</v>
      </c>
      <c r="M8" t="s">
        <v>5061</v>
      </c>
    </row>
    <row r="9" spans="1:13" x14ac:dyDescent="0.25">
      <c r="A9" s="10" t="s">
        <v>5053</v>
      </c>
      <c r="B9" s="10">
        <v>1</v>
      </c>
      <c r="C9" s="10">
        <v>16</v>
      </c>
      <c r="D9" t="s">
        <v>4857</v>
      </c>
      <c r="E9">
        <v>4047</v>
      </c>
      <c r="F9" s="3"/>
      <c r="G9">
        <v>7</v>
      </c>
      <c r="H9">
        <v>10</v>
      </c>
      <c r="I9">
        <f t="shared" si="0"/>
        <v>70</v>
      </c>
      <c r="J9">
        <v>0</v>
      </c>
      <c r="K9">
        <v>0</v>
      </c>
      <c r="L9">
        <f t="shared" si="1"/>
        <v>70</v>
      </c>
      <c r="M9" t="s">
        <v>5061</v>
      </c>
    </row>
    <row r="10" spans="1:13" x14ac:dyDescent="0.25">
      <c r="A10" s="10" t="s">
        <v>5053</v>
      </c>
      <c r="B10" s="10">
        <v>1</v>
      </c>
      <c r="C10" s="10">
        <v>16</v>
      </c>
      <c r="D10" t="s">
        <v>4857</v>
      </c>
      <c r="E10">
        <v>4048</v>
      </c>
      <c r="F10" s="3"/>
      <c r="G10">
        <v>9</v>
      </c>
      <c r="H10">
        <v>10</v>
      </c>
      <c r="I10">
        <f t="shared" si="0"/>
        <v>90</v>
      </c>
      <c r="J10">
        <v>0</v>
      </c>
      <c r="K10">
        <v>0</v>
      </c>
      <c r="L10">
        <f t="shared" si="1"/>
        <v>90</v>
      </c>
      <c r="M10" t="s">
        <v>5061</v>
      </c>
    </row>
    <row r="11" spans="1:13" x14ac:dyDescent="0.25">
      <c r="A11" s="10" t="s">
        <v>5053</v>
      </c>
      <c r="B11" s="10">
        <v>1</v>
      </c>
      <c r="C11" s="10">
        <v>16</v>
      </c>
      <c r="D11" t="s">
        <v>4857</v>
      </c>
      <c r="E11">
        <v>4024</v>
      </c>
      <c r="F11" s="3"/>
      <c r="G11">
        <v>12</v>
      </c>
      <c r="H11">
        <v>20</v>
      </c>
      <c r="I11">
        <f t="shared" si="0"/>
        <v>240</v>
      </c>
      <c r="J11">
        <v>0</v>
      </c>
      <c r="K11">
        <v>0</v>
      </c>
      <c r="L11">
        <f t="shared" si="1"/>
        <v>240</v>
      </c>
      <c r="M11" t="s">
        <v>5061</v>
      </c>
    </row>
    <row r="12" spans="1:13" x14ac:dyDescent="0.25">
      <c r="A12" s="10" t="s">
        <v>5053</v>
      </c>
      <c r="B12" s="10">
        <v>1</v>
      </c>
      <c r="C12" s="10">
        <v>16</v>
      </c>
      <c r="D12" t="s">
        <v>4857</v>
      </c>
      <c r="E12">
        <v>4035</v>
      </c>
      <c r="F12" s="3"/>
      <c r="G12">
        <v>4</v>
      </c>
      <c r="H12">
        <v>10</v>
      </c>
      <c r="I12">
        <f t="shared" si="0"/>
        <v>40</v>
      </c>
      <c r="J12">
        <v>0</v>
      </c>
      <c r="K12">
        <v>0</v>
      </c>
      <c r="L12">
        <f t="shared" si="1"/>
        <v>40</v>
      </c>
      <c r="M12" t="s">
        <v>5061</v>
      </c>
    </row>
    <row r="13" spans="1:13" x14ac:dyDescent="0.25">
      <c r="A13" s="10" t="s">
        <v>5053</v>
      </c>
      <c r="B13" s="10">
        <v>1</v>
      </c>
      <c r="C13" s="10">
        <v>27</v>
      </c>
      <c r="D13" t="s">
        <v>4857</v>
      </c>
      <c r="E13" s="16">
        <v>4106</v>
      </c>
      <c r="F13" s="3"/>
      <c r="G13">
        <v>10</v>
      </c>
      <c r="H13">
        <v>20</v>
      </c>
      <c r="I13">
        <f t="shared" ref="I13:I23" si="2">G13*H13</f>
        <v>200</v>
      </c>
      <c r="J13">
        <v>0</v>
      </c>
      <c r="K13">
        <v>0</v>
      </c>
      <c r="L13">
        <f t="shared" ref="L13:L23" si="3">I13+J13+K13</f>
        <v>200</v>
      </c>
      <c r="M13" t="s">
        <v>5063</v>
      </c>
    </row>
    <row r="14" spans="1:13" x14ac:dyDescent="0.25">
      <c r="A14" s="10" t="s">
        <v>5053</v>
      </c>
      <c r="B14" s="10">
        <v>1</v>
      </c>
      <c r="C14" s="10">
        <v>27</v>
      </c>
      <c r="D14" t="s">
        <v>4857</v>
      </c>
      <c r="E14" s="16">
        <v>4105</v>
      </c>
      <c r="F14" s="3"/>
      <c r="G14">
        <v>4</v>
      </c>
      <c r="H14">
        <v>20</v>
      </c>
      <c r="I14">
        <f t="shared" si="2"/>
        <v>80</v>
      </c>
      <c r="J14">
        <v>0</v>
      </c>
      <c r="K14">
        <v>0</v>
      </c>
      <c r="L14">
        <f t="shared" si="3"/>
        <v>80</v>
      </c>
      <c r="M14" t="s">
        <v>5063</v>
      </c>
    </row>
    <row r="15" spans="1:13" x14ac:dyDescent="0.25">
      <c r="A15" s="10" t="s">
        <v>5053</v>
      </c>
      <c r="B15" s="10">
        <v>1</v>
      </c>
      <c r="C15" s="10">
        <v>27</v>
      </c>
      <c r="D15" t="s">
        <v>4857</v>
      </c>
      <c r="E15">
        <v>4103</v>
      </c>
      <c r="F15" s="3"/>
      <c r="G15">
        <v>18</v>
      </c>
      <c r="H15">
        <v>2</v>
      </c>
      <c r="I15">
        <f t="shared" si="2"/>
        <v>36</v>
      </c>
      <c r="J15">
        <v>0</v>
      </c>
      <c r="K15">
        <v>0</v>
      </c>
      <c r="L15">
        <f t="shared" si="3"/>
        <v>36</v>
      </c>
      <c r="M15" t="s">
        <v>5061</v>
      </c>
    </row>
    <row r="16" spans="1:13" x14ac:dyDescent="0.25">
      <c r="A16" s="10" t="s">
        <v>5053</v>
      </c>
      <c r="B16" s="10">
        <v>1</v>
      </c>
      <c r="C16" s="10">
        <v>27</v>
      </c>
      <c r="D16" t="s">
        <v>4857</v>
      </c>
      <c r="E16" s="16">
        <v>4112</v>
      </c>
      <c r="F16" s="3"/>
      <c r="G16">
        <v>41</v>
      </c>
      <c r="H16">
        <v>10</v>
      </c>
      <c r="I16">
        <f t="shared" si="2"/>
        <v>410</v>
      </c>
      <c r="J16">
        <v>0</v>
      </c>
      <c r="K16">
        <v>0</v>
      </c>
      <c r="L16">
        <f t="shared" si="3"/>
        <v>410</v>
      </c>
      <c r="M16" t="s">
        <v>5063</v>
      </c>
    </row>
    <row r="17" spans="1:13" x14ac:dyDescent="0.25">
      <c r="A17" s="10" t="s">
        <v>5053</v>
      </c>
      <c r="B17" s="10">
        <v>1</v>
      </c>
      <c r="C17" s="10">
        <v>27</v>
      </c>
      <c r="D17" t="s">
        <v>4857</v>
      </c>
      <c r="E17" s="16">
        <v>4109</v>
      </c>
      <c r="F17" s="3"/>
      <c r="G17">
        <v>2</v>
      </c>
      <c r="H17">
        <v>20</v>
      </c>
      <c r="I17">
        <f t="shared" si="2"/>
        <v>40</v>
      </c>
      <c r="J17">
        <v>0</v>
      </c>
      <c r="K17">
        <v>0</v>
      </c>
      <c r="L17">
        <f t="shared" si="3"/>
        <v>40</v>
      </c>
      <c r="M17" t="s">
        <v>5063</v>
      </c>
    </row>
    <row r="18" spans="1:13" x14ac:dyDescent="0.25">
      <c r="A18" s="10" t="s">
        <v>5053</v>
      </c>
      <c r="B18" s="10">
        <v>1</v>
      </c>
      <c r="C18" s="10">
        <v>27</v>
      </c>
      <c r="D18" t="s">
        <v>4857</v>
      </c>
      <c r="E18">
        <v>4116</v>
      </c>
      <c r="F18" s="3"/>
      <c r="G18">
        <v>5</v>
      </c>
      <c r="H18">
        <v>10</v>
      </c>
      <c r="I18">
        <f t="shared" si="2"/>
        <v>50</v>
      </c>
      <c r="J18">
        <v>0</v>
      </c>
      <c r="K18">
        <v>0</v>
      </c>
      <c r="L18">
        <f t="shared" si="3"/>
        <v>50</v>
      </c>
      <c r="M18" t="s">
        <v>5061</v>
      </c>
    </row>
    <row r="19" spans="1:13" x14ac:dyDescent="0.25">
      <c r="A19" s="10" t="s">
        <v>5053</v>
      </c>
      <c r="B19" s="10">
        <v>1</v>
      </c>
      <c r="C19" s="10">
        <v>27</v>
      </c>
      <c r="D19" t="s">
        <v>4857</v>
      </c>
      <c r="E19">
        <v>4119</v>
      </c>
      <c r="F19" s="3"/>
      <c r="G19">
        <v>4</v>
      </c>
      <c r="H19">
        <v>10</v>
      </c>
      <c r="I19">
        <f t="shared" si="2"/>
        <v>40</v>
      </c>
      <c r="J19">
        <v>0</v>
      </c>
      <c r="K19">
        <v>0</v>
      </c>
      <c r="L19">
        <f t="shared" si="3"/>
        <v>40</v>
      </c>
      <c r="M19" t="s">
        <v>5061</v>
      </c>
    </row>
    <row r="20" spans="1:13" x14ac:dyDescent="0.25">
      <c r="A20" s="10" t="s">
        <v>5053</v>
      </c>
      <c r="B20" s="10">
        <v>1</v>
      </c>
      <c r="C20" s="10">
        <v>27</v>
      </c>
      <c r="D20" t="s">
        <v>4857</v>
      </c>
      <c r="E20" s="16">
        <v>4118</v>
      </c>
      <c r="F20" s="3"/>
      <c r="G20">
        <v>24</v>
      </c>
      <c r="H20">
        <v>1</v>
      </c>
      <c r="I20">
        <f t="shared" si="2"/>
        <v>24</v>
      </c>
      <c r="J20">
        <v>0</v>
      </c>
      <c r="K20">
        <v>0</v>
      </c>
      <c r="L20">
        <f t="shared" si="3"/>
        <v>24</v>
      </c>
      <c r="M20" t="s">
        <v>5063</v>
      </c>
    </row>
    <row r="21" spans="1:13" x14ac:dyDescent="0.25">
      <c r="A21" s="10" t="s">
        <v>5053</v>
      </c>
      <c r="B21" s="10">
        <v>1</v>
      </c>
      <c r="C21" s="10">
        <v>27</v>
      </c>
      <c r="D21" t="s">
        <v>4857</v>
      </c>
      <c r="E21">
        <v>8021</v>
      </c>
      <c r="F21" s="3"/>
      <c r="G21">
        <v>3</v>
      </c>
      <c r="H21">
        <v>1</v>
      </c>
      <c r="I21">
        <f t="shared" si="2"/>
        <v>3</v>
      </c>
      <c r="J21">
        <v>0</v>
      </c>
      <c r="K21">
        <v>0</v>
      </c>
      <c r="L21">
        <f t="shared" si="3"/>
        <v>3</v>
      </c>
      <c r="M21" t="s">
        <v>5061</v>
      </c>
    </row>
    <row r="22" spans="1:13" x14ac:dyDescent="0.25">
      <c r="A22" s="10" t="s">
        <v>5053</v>
      </c>
      <c r="B22" s="10">
        <v>1</v>
      </c>
      <c r="C22" s="10">
        <v>27</v>
      </c>
      <c r="D22" t="s">
        <v>4857</v>
      </c>
      <c r="E22">
        <v>15142</v>
      </c>
      <c r="F22" s="3"/>
      <c r="G22">
        <v>6</v>
      </c>
      <c r="H22">
        <v>1</v>
      </c>
      <c r="I22">
        <f t="shared" si="2"/>
        <v>6</v>
      </c>
      <c r="J22">
        <v>0</v>
      </c>
      <c r="K22">
        <v>0</v>
      </c>
      <c r="L22">
        <f t="shared" si="3"/>
        <v>6</v>
      </c>
      <c r="M22" t="s">
        <v>5061</v>
      </c>
    </row>
    <row r="23" spans="1:13" x14ac:dyDescent="0.25">
      <c r="A23" s="10" t="s">
        <v>5053</v>
      </c>
      <c r="B23" s="10">
        <v>1</v>
      </c>
      <c r="C23" s="10">
        <v>27</v>
      </c>
      <c r="D23" t="s">
        <v>4857</v>
      </c>
      <c r="E23">
        <v>3997</v>
      </c>
      <c r="F23" s="3"/>
      <c r="G23">
        <v>13</v>
      </c>
      <c r="H23">
        <v>1</v>
      </c>
      <c r="I23">
        <f t="shared" si="2"/>
        <v>13</v>
      </c>
      <c r="J23">
        <v>0</v>
      </c>
      <c r="K23">
        <v>0</v>
      </c>
      <c r="L23">
        <f t="shared" si="3"/>
        <v>13</v>
      </c>
      <c r="M23" t="s">
        <v>5061</v>
      </c>
    </row>
    <row r="24" spans="1:13" x14ac:dyDescent="0.25">
      <c r="A24" s="10" t="s">
        <v>5053</v>
      </c>
      <c r="B24" s="10">
        <v>1</v>
      </c>
      <c r="C24" s="10">
        <v>28</v>
      </c>
      <c r="D24" t="s">
        <v>4857</v>
      </c>
      <c r="E24" s="7">
        <v>4209</v>
      </c>
      <c r="F24" s="3"/>
      <c r="G24">
        <v>6</v>
      </c>
      <c r="H24">
        <v>16</v>
      </c>
      <c r="I24">
        <f t="shared" ref="I24:I43" si="4">G24*H24</f>
        <v>96</v>
      </c>
      <c r="J24">
        <v>11</v>
      </c>
      <c r="K24">
        <v>0</v>
      </c>
      <c r="L24">
        <f t="shared" ref="L24:L43" si="5">I24+J24+K24</f>
        <v>107</v>
      </c>
      <c r="M24" t="s">
        <v>5061</v>
      </c>
    </row>
    <row r="25" spans="1:13" x14ac:dyDescent="0.25">
      <c r="A25" s="10" t="s">
        <v>5053</v>
      </c>
      <c r="B25" s="10">
        <v>1</v>
      </c>
      <c r="C25" s="10">
        <v>28</v>
      </c>
      <c r="D25" t="s">
        <v>4857</v>
      </c>
      <c r="E25" s="7">
        <v>4212</v>
      </c>
      <c r="F25" s="3"/>
      <c r="G25">
        <v>1</v>
      </c>
      <c r="H25">
        <v>8</v>
      </c>
      <c r="I25">
        <f t="shared" si="4"/>
        <v>8</v>
      </c>
      <c r="J25">
        <v>0</v>
      </c>
      <c r="K25">
        <v>0</v>
      </c>
      <c r="L25">
        <f t="shared" si="5"/>
        <v>8</v>
      </c>
      <c r="M25" t="s">
        <v>5061</v>
      </c>
    </row>
    <row r="26" spans="1:13" x14ac:dyDescent="0.25">
      <c r="A26" s="10" t="s">
        <v>5053</v>
      </c>
      <c r="B26" s="10">
        <v>1</v>
      </c>
      <c r="C26" s="10">
        <v>28</v>
      </c>
      <c r="D26" t="s">
        <v>4857</v>
      </c>
      <c r="E26" s="7">
        <v>4213</v>
      </c>
      <c r="F26" s="3"/>
      <c r="G26">
        <v>13</v>
      </c>
      <c r="H26">
        <v>25</v>
      </c>
      <c r="I26">
        <f t="shared" si="4"/>
        <v>325</v>
      </c>
      <c r="J26">
        <v>0</v>
      </c>
      <c r="K26">
        <v>0</v>
      </c>
      <c r="L26">
        <f t="shared" si="5"/>
        <v>325</v>
      </c>
      <c r="M26" t="s">
        <v>5061</v>
      </c>
    </row>
    <row r="27" spans="1:13" x14ac:dyDescent="0.25">
      <c r="A27" s="47" t="s">
        <v>5053</v>
      </c>
      <c r="B27" s="47">
        <v>1</v>
      </c>
      <c r="C27" s="47">
        <v>28</v>
      </c>
      <c r="D27" s="8" t="s">
        <v>4857</v>
      </c>
      <c r="E27" s="15">
        <v>4260</v>
      </c>
      <c r="F27" s="12"/>
      <c r="G27" s="8">
        <v>0</v>
      </c>
      <c r="H27" s="8">
        <v>1</v>
      </c>
      <c r="I27" s="8">
        <f t="shared" si="4"/>
        <v>0</v>
      </c>
      <c r="J27" s="8">
        <v>13</v>
      </c>
      <c r="K27" s="8">
        <v>0</v>
      </c>
      <c r="L27" s="8">
        <f t="shared" si="5"/>
        <v>13</v>
      </c>
      <c r="M27" t="s">
        <v>5069</v>
      </c>
    </row>
    <row r="28" spans="1:13" x14ac:dyDescent="0.25">
      <c r="A28" s="10" t="s">
        <v>5053</v>
      </c>
      <c r="B28" s="10">
        <v>1</v>
      </c>
      <c r="C28" s="10">
        <v>28</v>
      </c>
      <c r="D28" t="s">
        <v>4857</v>
      </c>
      <c r="E28" s="25">
        <v>4211</v>
      </c>
      <c r="F28" s="3"/>
      <c r="G28">
        <v>2</v>
      </c>
      <c r="H28">
        <v>8</v>
      </c>
      <c r="I28">
        <f t="shared" si="4"/>
        <v>16</v>
      </c>
      <c r="J28">
        <v>0</v>
      </c>
      <c r="K28">
        <v>0</v>
      </c>
      <c r="L28">
        <f t="shared" si="5"/>
        <v>16</v>
      </c>
      <c r="M28" t="s">
        <v>5063</v>
      </c>
    </row>
    <row r="29" spans="1:13" x14ac:dyDescent="0.25">
      <c r="A29" s="10" t="s">
        <v>5053</v>
      </c>
      <c r="B29" s="10">
        <v>1</v>
      </c>
      <c r="C29" s="10">
        <v>28</v>
      </c>
      <c r="D29" t="s">
        <v>4857</v>
      </c>
      <c r="E29" s="7">
        <v>4210</v>
      </c>
      <c r="F29" s="3"/>
      <c r="G29">
        <v>5</v>
      </c>
      <c r="H29">
        <v>10</v>
      </c>
      <c r="I29">
        <f t="shared" si="4"/>
        <v>50</v>
      </c>
      <c r="J29">
        <v>0</v>
      </c>
      <c r="K29">
        <v>0</v>
      </c>
      <c r="L29">
        <f t="shared" si="5"/>
        <v>50</v>
      </c>
      <c r="M29" t="s">
        <v>5061</v>
      </c>
    </row>
    <row r="30" spans="1:13" x14ac:dyDescent="0.25">
      <c r="A30" s="10" t="s">
        <v>5053</v>
      </c>
      <c r="B30" s="10">
        <v>1</v>
      </c>
      <c r="C30" s="10">
        <v>28</v>
      </c>
      <c r="D30" t="s">
        <v>4857</v>
      </c>
      <c r="E30" s="7">
        <v>4201</v>
      </c>
      <c r="F30" s="3"/>
      <c r="G30">
        <v>1</v>
      </c>
      <c r="H30">
        <v>60</v>
      </c>
      <c r="I30">
        <f t="shared" si="4"/>
        <v>60</v>
      </c>
      <c r="J30">
        <v>56</v>
      </c>
      <c r="K30">
        <v>0</v>
      </c>
      <c r="L30">
        <f t="shared" si="5"/>
        <v>116</v>
      </c>
      <c r="M30" t="s">
        <v>5061</v>
      </c>
    </row>
    <row r="31" spans="1:13" x14ac:dyDescent="0.25">
      <c r="A31" s="10" t="s">
        <v>5053</v>
      </c>
      <c r="B31" s="10">
        <v>1</v>
      </c>
      <c r="C31" s="10">
        <v>28</v>
      </c>
      <c r="D31" t="s">
        <v>4857</v>
      </c>
      <c r="E31" s="7">
        <v>4207</v>
      </c>
      <c r="F31" s="3"/>
      <c r="G31">
        <v>2</v>
      </c>
      <c r="H31">
        <v>16</v>
      </c>
      <c r="I31">
        <f t="shared" si="4"/>
        <v>32</v>
      </c>
      <c r="J31">
        <v>6</v>
      </c>
      <c r="K31">
        <v>0</v>
      </c>
      <c r="L31">
        <f t="shared" si="5"/>
        <v>38</v>
      </c>
      <c r="M31" t="s">
        <v>5061</v>
      </c>
    </row>
    <row r="32" spans="1:13" x14ac:dyDescent="0.25">
      <c r="A32" s="47" t="s">
        <v>5053</v>
      </c>
      <c r="B32" s="47">
        <v>1</v>
      </c>
      <c r="C32" s="47">
        <v>28</v>
      </c>
      <c r="D32" s="8" t="s">
        <v>4857</v>
      </c>
      <c r="E32" s="48" t="s">
        <v>4858</v>
      </c>
      <c r="F32" s="12"/>
      <c r="G32" s="8">
        <v>5</v>
      </c>
      <c r="H32" s="8">
        <v>1</v>
      </c>
      <c r="I32" s="8">
        <f t="shared" si="4"/>
        <v>5</v>
      </c>
      <c r="J32" s="8">
        <v>4</v>
      </c>
      <c r="K32" s="8">
        <v>0</v>
      </c>
      <c r="L32" s="8">
        <f t="shared" si="5"/>
        <v>9</v>
      </c>
      <c r="M32" t="s">
        <v>5063</v>
      </c>
    </row>
    <row r="33" spans="1:13" x14ac:dyDescent="0.25">
      <c r="A33" s="10" t="s">
        <v>5053</v>
      </c>
      <c r="B33" s="10">
        <v>1</v>
      </c>
      <c r="C33" s="10">
        <v>28</v>
      </c>
      <c r="D33" t="s">
        <v>4857</v>
      </c>
      <c r="E33" s="6" t="s">
        <v>4859</v>
      </c>
      <c r="F33" s="3"/>
      <c r="G33">
        <v>5</v>
      </c>
      <c r="H33">
        <v>18</v>
      </c>
      <c r="I33">
        <f t="shared" si="4"/>
        <v>90</v>
      </c>
      <c r="J33">
        <v>4</v>
      </c>
      <c r="K33">
        <v>0</v>
      </c>
      <c r="L33">
        <f t="shared" si="5"/>
        <v>94</v>
      </c>
      <c r="M33" t="s">
        <v>5061</v>
      </c>
    </row>
    <row r="34" spans="1:13" x14ac:dyDescent="0.25">
      <c r="A34" s="10" t="s">
        <v>5053</v>
      </c>
      <c r="B34" s="10">
        <v>1</v>
      </c>
      <c r="C34" s="10">
        <v>28</v>
      </c>
      <c r="D34" t="s">
        <v>4857</v>
      </c>
      <c r="E34" s="6" t="s">
        <v>4860</v>
      </c>
      <c r="F34" s="3"/>
      <c r="G34">
        <v>7</v>
      </c>
      <c r="H34">
        <v>12</v>
      </c>
      <c r="I34">
        <f t="shared" si="4"/>
        <v>84</v>
      </c>
      <c r="J34">
        <v>0</v>
      </c>
      <c r="K34">
        <v>0</v>
      </c>
      <c r="L34">
        <f t="shared" si="5"/>
        <v>84</v>
      </c>
      <c r="M34" t="s">
        <v>5061</v>
      </c>
    </row>
    <row r="35" spans="1:13" x14ac:dyDescent="0.25">
      <c r="A35" s="10" t="s">
        <v>5053</v>
      </c>
      <c r="B35" s="10">
        <v>1</v>
      </c>
      <c r="C35" s="10">
        <v>28</v>
      </c>
      <c r="D35" t="s">
        <v>4857</v>
      </c>
      <c r="E35" s="6" t="s">
        <v>4861</v>
      </c>
      <c r="F35" s="3"/>
      <c r="G35">
        <v>6</v>
      </c>
      <c r="H35">
        <v>12</v>
      </c>
      <c r="I35">
        <f t="shared" si="4"/>
        <v>72</v>
      </c>
      <c r="J35">
        <v>10</v>
      </c>
      <c r="K35">
        <v>0</v>
      </c>
      <c r="L35">
        <f t="shared" si="5"/>
        <v>82</v>
      </c>
      <c r="M35" t="s">
        <v>5061</v>
      </c>
    </row>
    <row r="36" spans="1:13" x14ac:dyDescent="0.25">
      <c r="A36" s="10" t="s">
        <v>5053</v>
      </c>
      <c r="B36" s="10">
        <v>1</v>
      </c>
      <c r="C36" s="10">
        <v>28</v>
      </c>
      <c r="D36" t="s">
        <v>4857</v>
      </c>
      <c r="E36" s="6" t="s">
        <v>4862</v>
      </c>
      <c r="F36" s="3"/>
      <c r="G36">
        <v>0</v>
      </c>
      <c r="H36">
        <v>1</v>
      </c>
      <c r="I36">
        <f t="shared" si="4"/>
        <v>0</v>
      </c>
      <c r="J36">
        <v>4</v>
      </c>
      <c r="K36">
        <v>0</v>
      </c>
      <c r="L36">
        <f t="shared" si="5"/>
        <v>4</v>
      </c>
      <c r="M36" t="s">
        <v>5061</v>
      </c>
    </row>
    <row r="37" spans="1:13" x14ac:dyDescent="0.25">
      <c r="A37" s="10" t="s">
        <v>5053</v>
      </c>
      <c r="B37" s="10">
        <v>1</v>
      </c>
      <c r="C37" s="10">
        <v>28</v>
      </c>
      <c r="D37" t="s">
        <v>4857</v>
      </c>
      <c r="E37" s="6" t="s">
        <v>4863</v>
      </c>
      <c r="F37" s="3"/>
      <c r="G37">
        <v>2</v>
      </c>
      <c r="H37">
        <v>6</v>
      </c>
      <c r="I37">
        <f t="shared" si="4"/>
        <v>12</v>
      </c>
      <c r="J37">
        <v>1</v>
      </c>
      <c r="K37">
        <v>0</v>
      </c>
      <c r="L37">
        <f t="shared" si="5"/>
        <v>13</v>
      </c>
      <c r="M37" t="s">
        <v>5061</v>
      </c>
    </row>
    <row r="38" spans="1:13" x14ac:dyDescent="0.25">
      <c r="A38" s="10" t="s">
        <v>5053</v>
      </c>
      <c r="B38" s="10">
        <v>1</v>
      </c>
      <c r="C38" s="10">
        <v>28</v>
      </c>
      <c r="D38" t="s">
        <v>4857</v>
      </c>
      <c r="E38" s="6" t="s">
        <v>4864</v>
      </c>
      <c r="F38" s="3"/>
      <c r="G38">
        <v>13</v>
      </c>
      <c r="H38">
        <v>6</v>
      </c>
      <c r="I38">
        <f t="shared" si="4"/>
        <v>78</v>
      </c>
      <c r="J38">
        <v>3</v>
      </c>
      <c r="K38">
        <v>0</v>
      </c>
      <c r="L38">
        <f t="shared" si="5"/>
        <v>81</v>
      </c>
      <c r="M38" t="s">
        <v>5061</v>
      </c>
    </row>
    <row r="39" spans="1:13" x14ac:dyDescent="0.25">
      <c r="A39" s="47" t="s">
        <v>5053</v>
      </c>
      <c r="B39" s="47">
        <v>1</v>
      </c>
      <c r="C39" s="47">
        <v>28</v>
      </c>
      <c r="D39" s="8" t="s">
        <v>4857</v>
      </c>
      <c r="E39" s="48">
        <v>4200</v>
      </c>
      <c r="F39" s="12"/>
      <c r="G39" s="8">
        <v>3</v>
      </c>
      <c r="H39" s="8">
        <v>1</v>
      </c>
      <c r="I39" s="8">
        <f t="shared" si="4"/>
        <v>3</v>
      </c>
      <c r="J39" s="8">
        <v>0</v>
      </c>
      <c r="K39" s="8">
        <v>0</v>
      </c>
      <c r="L39" s="8">
        <f t="shared" si="5"/>
        <v>3</v>
      </c>
      <c r="M39" t="s">
        <v>5063</v>
      </c>
    </row>
    <row r="40" spans="1:13" x14ac:dyDescent="0.25">
      <c r="A40" s="10" t="s">
        <v>5053</v>
      </c>
      <c r="B40" s="10">
        <v>1</v>
      </c>
      <c r="C40" s="10">
        <v>28</v>
      </c>
      <c r="D40" t="s">
        <v>4857</v>
      </c>
      <c r="E40" s="6" t="s">
        <v>4865</v>
      </c>
      <c r="F40" s="3"/>
      <c r="G40">
        <v>0</v>
      </c>
      <c r="H40">
        <v>1</v>
      </c>
      <c r="I40">
        <f t="shared" si="4"/>
        <v>0</v>
      </c>
      <c r="J40">
        <v>113</v>
      </c>
      <c r="K40">
        <v>0</v>
      </c>
      <c r="L40">
        <f t="shared" si="5"/>
        <v>113</v>
      </c>
      <c r="M40" t="s">
        <v>5061</v>
      </c>
    </row>
    <row r="41" spans="1:13" x14ac:dyDescent="0.25">
      <c r="A41" s="10" t="s">
        <v>5053</v>
      </c>
      <c r="B41" s="10">
        <v>1</v>
      </c>
      <c r="C41" s="10">
        <v>28</v>
      </c>
      <c r="D41" t="s">
        <v>4857</v>
      </c>
      <c r="E41" s="6" t="s">
        <v>4866</v>
      </c>
      <c r="F41" s="3"/>
      <c r="G41">
        <v>0</v>
      </c>
      <c r="H41">
        <v>1</v>
      </c>
      <c r="I41">
        <f t="shared" si="4"/>
        <v>0</v>
      </c>
      <c r="J41">
        <v>1</v>
      </c>
      <c r="K41">
        <v>0</v>
      </c>
      <c r="L41">
        <f t="shared" si="5"/>
        <v>1</v>
      </c>
      <c r="M41" t="s">
        <v>5061</v>
      </c>
    </row>
    <row r="42" spans="1:13" x14ac:dyDescent="0.25">
      <c r="A42" s="47" t="s">
        <v>5053</v>
      </c>
      <c r="B42" s="47">
        <v>1</v>
      </c>
      <c r="C42" s="47">
        <v>28</v>
      </c>
      <c r="D42" s="8" t="s">
        <v>4857</v>
      </c>
      <c r="E42" s="15">
        <v>4201</v>
      </c>
      <c r="F42" s="12"/>
      <c r="G42" s="8">
        <v>2</v>
      </c>
      <c r="H42" s="8">
        <v>1</v>
      </c>
      <c r="I42" s="8">
        <f t="shared" si="4"/>
        <v>2</v>
      </c>
      <c r="J42" s="8">
        <v>38</v>
      </c>
      <c r="K42" s="8">
        <v>0</v>
      </c>
      <c r="L42" s="8">
        <f t="shared" si="5"/>
        <v>40</v>
      </c>
      <c r="M42" t="s">
        <v>5063</v>
      </c>
    </row>
    <row r="43" spans="1:13" x14ac:dyDescent="0.25">
      <c r="A43" s="47" t="s">
        <v>5053</v>
      </c>
      <c r="B43" s="47">
        <v>1</v>
      </c>
      <c r="C43" s="47">
        <v>28</v>
      </c>
      <c r="D43" s="8" t="s">
        <v>4857</v>
      </c>
      <c r="E43" s="48" t="s">
        <v>4867</v>
      </c>
      <c r="F43" s="12"/>
      <c r="G43" s="8">
        <v>11</v>
      </c>
      <c r="H43" s="8">
        <v>1</v>
      </c>
      <c r="I43" s="8">
        <f t="shared" si="4"/>
        <v>11</v>
      </c>
      <c r="J43" s="8">
        <v>0</v>
      </c>
      <c r="K43" s="8">
        <v>0</v>
      </c>
      <c r="L43" s="8">
        <f t="shared" si="5"/>
        <v>11</v>
      </c>
      <c r="M43" t="s">
        <v>5063</v>
      </c>
    </row>
    <row r="44" spans="1:13" x14ac:dyDescent="0.25">
      <c r="A44" s="10" t="s">
        <v>5053</v>
      </c>
      <c r="B44" s="10">
        <v>1</v>
      </c>
      <c r="C44" s="10">
        <v>1</v>
      </c>
      <c r="D44" t="s">
        <v>4857</v>
      </c>
      <c r="E44">
        <v>3319</v>
      </c>
      <c r="F44" s="3"/>
      <c r="G44">
        <v>16</v>
      </c>
      <c r="H44">
        <v>1</v>
      </c>
      <c r="I44">
        <f t="shared" ref="I44:I45" si="6">G44*H44</f>
        <v>16</v>
      </c>
      <c r="J44">
        <v>3</v>
      </c>
      <c r="K44">
        <v>0</v>
      </c>
      <c r="L44">
        <f t="shared" ref="L44:L45" si="7">I44+J44+K44</f>
        <v>19</v>
      </c>
      <c r="M44" t="s">
        <v>5061</v>
      </c>
    </row>
    <row r="45" spans="1:13" x14ac:dyDescent="0.25">
      <c r="A45" s="10" t="s">
        <v>5053</v>
      </c>
      <c r="B45" s="10">
        <v>1</v>
      </c>
      <c r="C45" s="10">
        <v>1</v>
      </c>
      <c r="D45" t="s">
        <v>4857</v>
      </c>
      <c r="E45" s="6" t="s">
        <v>4867</v>
      </c>
      <c r="F45" s="3"/>
      <c r="G45" s="8">
        <v>0</v>
      </c>
      <c r="H45" s="8">
        <v>0</v>
      </c>
      <c r="I45">
        <f t="shared" si="6"/>
        <v>0</v>
      </c>
      <c r="J45">
        <v>0</v>
      </c>
      <c r="K45">
        <v>0</v>
      </c>
      <c r="L45">
        <f t="shared" si="7"/>
        <v>0</v>
      </c>
      <c r="M45" t="s">
        <v>5063</v>
      </c>
    </row>
    <row r="46" spans="1:13" x14ac:dyDescent="0.25">
      <c r="A46" s="10" t="s">
        <v>5053</v>
      </c>
      <c r="B46" s="10">
        <v>1</v>
      </c>
      <c r="C46" s="10">
        <v>17</v>
      </c>
      <c r="D46" t="s">
        <v>4871</v>
      </c>
      <c r="E46">
        <v>4001</v>
      </c>
      <c r="F46" s="3"/>
      <c r="G46">
        <v>32</v>
      </c>
      <c r="H46">
        <v>10</v>
      </c>
      <c r="I46">
        <f t="shared" ref="I46:I59" si="8">G46*H46</f>
        <v>320</v>
      </c>
      <c r="J46">
        <v>0</v>
      </c>
      <c r="K46">
        <v>0</v>
      </c>
      <c r="L46">
        <f t="shared" ref="L46:L59" si="9">I46+J46+K46</f>
        <v>320</v>
      </c>
      <c r="M46" t="s">
        <v>5061</v>
      </c>
    </row>
    <row r="47" spans="1:13" x14ac:dyDescent="0.25">
      <c r="A47" s="10" t="s">
        <v>5053</v>
      </c>
      <c r="B47" s="10">
        <v>1</v>
      </c>
      <c r="C47" s="10">
        <v>17</v>
      </c>
      <c r="D47" t="s">
        <v>4871</v>
      </c>
      <c r="E47">
        <v>4000</v>
      </c>
      <c r="F47" s="3"/>
      <c r="G47">
        <v>18</v>
      </c>
      <c r="H47">
        <v>10</v>
      </c>
      <c r="I47">
        <f t="shared" si="8"/>
        <v>180</v>
      </c>
      <c r="J47">
        <v>0</v>
      </c>
      <c r="K47">
        <v>0</v>
      </c>
      <c r="L47">
        <f t="shared" si="9"/>
        <v>180</v>
      </c>
      <c r="M47" t="s">
        <v>5061</v>
      </c>
    </row>
    <row r="48" spans="1:13" x14ac:dyDescent="0.25">
      <c r="A48" s="10" t="s">
        <v>5053</v>
      </c>
      <c r="B48" s="10">
        <v>1</v>
      </c>
      <c r="C48" s="10">
        <v>17</v>
      </c>
      <c r="D48" t="s">
        <v>4871</v>
      </c>
      <c r="E48">
        <v>4002</v>
      </c>
      <c r="F48" s="3"/>
      <c r="G48">
        <v>17</v>
      </c>
      <c r="H48">
        <v>10</v>
      </c>
      <c r="I48">
        <f t="shared" si="8"/>
        <v>170</v>
      </c>
      <c r="J48">
        <v>0</v>
      </c>
      <c r="K48">
        <v>0</v>
      </c>
      <c r="L48">
        <f t="shared" si="9"/>
        <v>170</v>
      </c>
      <c r="M48" t="s">
        <v>5061</v>
      </c>
    </row>
    <row r="49" spans="1:13" x14ac:dyDescent="0.25">
      <c r="A49" s="10" t="s">
        <v>5053</v>
      </c>
      <c r="B49" s="10">
        <v>1</v>
      </c>
      <c r="C49" s="10">
        <v>17</v>
      </c>
      <c r="D49" t="s">
        <v>4871</v>
      </c>
      <c r="E49">
        <v>4250</v>
      </c>
      <c r="F49" s="3"/>
      <c r="G49">
        <v>2</v>
      </c>
      <c r="H49">
        <v>4</v>
      </c>
      <c r="I49">
        <f t="shared" si="8"/>
        <v>8</v>
      </c>
      <c r="J49">
        <v>0</v>
      </c>
      <c r="K49">
        <v>0</v>
      </c>
      <c r="L49">
        <f t="shared" si="9"/>
        <v>8</v>
      </c>
      <c r="M49" t="s">
        <v>5061</v>
      </c>
    </row>
    <row r="50" spans="1:13" x14ac:dyDescent="0.25">
      <c r="A50" s="10" t="s">
        <v>5053</v>
      </c>
      <c r="B50" s="10">
        <v>1</v>
      </c>
      <c r="C50" s="10">
        <v>17</v>
      </c>
      <c r="D50" t="s">
        <v>4871</v>
      </c>
      <c r="E50">
        <v>4017</v>
      </c>
      <c r="F50" s="3"/>
      <c r="G50">
        <v>8</v>
      </c>
      <c r="H50">
        <v>100</v>
      </c>
      <c r="I50">
        <f t="shared" si="8"/>
        <v>800</v>
      </c>
      <c r="J50">
        <v>0</v>
      </c>
      <c r="K50">
        <v>0</v>
      </c>
      <c r="L50">
        <f t="shared" si="9"/>
        <v>800</v>
      </c>
      <c r="M50" t="s">
        <v>5061</v>
      </c>
    </row>
    <row r="51" spans="1:13" x14ac:dyDescent="0.25">
      <c r="A51" s="10" t="s">
        <v>5053</v>
      </c>
      <c r="B51" s="10">
        <v>1</v>
      </c>
      <c r="C51" s="10">
        <v>17</v>
      </c>
      <c r="D51" t="s">
        <v>4871</v>
      </c>
      <c r="E51">
        <v>4018</v>
      </c>
      <c r="F51" s="3"/>
      <c r="G51">
        <v>2</v>
      </c>
      <c r="H51">
        <v>100</v>
      </c>
      <c r="I51">
        <f t="shared" si="8"/>
        <v>200</v>
      </c>
      <c r="J51">
        <v>0</v>
      </c>
      <c r="K51">
        <v>0</v>
      </c>
      <c r="L51">
        <f t="shared" si="9"/>
        <v>200</v>
      </c>
      <c r="M51" t="s">
        <v>5061</v>
      </c>
    </row>
    <row r="52" spans="1:13" x14ac:dyDescent="0.25">
      <c r="A52" s="10" t="s">
        <v>5053</v>
      </c>
      <c r="B52" s="10">
        <v>1</v>
      </c>
      <c r="C52" s="10">
        <v>17</v>
      </c>
      <c r="D52" t="s">
        <v>4871</v>
      </c>
      <c r="E52">
        <v>4003</v>
      </c>
      <c r="F52" s="3"/>
      <c r="G52">
        <v>5</v>
      </c>
      <c r="H52">
        <v>1</v>
      </c>
      <c r="I52">
        <f t="shared" si="8"/>
        <v>5</v>
      </c>
      <c r="J52">
        <v>0</v>
      </c>
      <c r="K52">
        <v>0</v>
      </c>
      <c r="L52">
        <f t="shared" si="9"/>
        <v>5</v>
      </c>
      <c r="M52" t="s">
        <v>5061</v>
      </c>
    </row>
    <row r="53" spans="1:13" x14ac:dyDescent="0.25">
      <c r="A53" s="10" t="s">
        <v>5053</v>
      </c>
      <c r="B53" s="10">
        <v>1</v>
      </c>
      <c r="C53" s="10">
        <v>17</v>
      </c>
      <c r="D53" t="s">
        <v>4871</v>
      </c>
      <c r="E53">
        <v>4019</v>
      </c>
      <c r="F53" s="3"/>
      <c r="G53">
        <v>16</v>
      </c>
      <c r="H53">
        <v>1</v>
      </c>
      <c r="I53">
        <f t="shared" si="8"/>
        <v>16</v>
      </c>
      <c r="J53">
        <v>0</v>
      </c>
      <c r="K53">
        <v>0</v>
      </c>
      <c r="L53">
        <f t="shared" si="9"/>
        <v>16</v>
      </c>
      <c r="M53" t="s">
        <v>5061</v>
      </c>
    </row>
    <row r="54" spans="1:13" x14ac:dyDescent="0.25">
      <c r="A54" s="10" t="s">
        <v>5053</v>
      </c>
      <c r="B54" s="10">
        <v>1</v>
      </c>
      <c r="C54" s="10">
        <v>17</v>
      </c>
      <c r="D54" t="s">
        <v>4871</v>
      </c>
      <c r="E54">
        <v>4005</v>
      </c>
      <c r="F54" s="3"/>
      <c r="G54">
        <v>11</v>
      </c>
      <c r="H54">
        <v>1</v>
      </c>
      <c r="I54">
        <f t="shared" si="8"/>
        <v>11</v>
      </c>
      <c r="J54">
        <v>0</v>
      </c>
      <c r="K54">
        <v>0</v>
      </c>
      <c r="L54">
        <f t="shared" si="9"/>
        <v>11</v>
      </c>
      <c r="M54" t="s">
        <v>5061</v>
      </c>
    </row>
    <row r="55" spans="1:13" x14ac:dyDescent="0.25">
      <c r="A55" s="10" t="s">
        <v>5053</v>
      </c>
      <c r="B55" s="10">
        <v>1</v>
      </c>
      <c r="C55" s="10">
        <v>17</v>
      </c>
      <c r="D55" t="s">
        <v>4871</v>
      </c>
      <c r="E55">
        <v>4058</v>
      </c>
      <c r="F55" s="3"/>
      <c r="G55">
        <v>20</v>
      </c>
      <c r="H55">
        <v>1</v>
      </c>
      <c r="I55">
        <f t="shared" si="8"/>
        <v>20</v>
      </c>
      <c r="J55">
        <v>0</v>
      </c>
      <c r="K55">
        <v>0</v>
      </c>
      <c r="L55">
        <f t="shared" si="9"/>
        <v>20</v>
      </c>
      <c r="M55" t="s">
        <v>5061</v>
      </c>
    </row>
    <row r="56" spans="1:13" x14ac:dyDescent="0.25">
      <c r="A56" s="10" t="s">
        <v>5053</v>
      </c>
      <c r="B56" s="10">
        <v>1</v>
      </c>
      <c r="C56" s="10">
        <v>17</v>
      </c>
      <c r="D56" t="s">
        <v>4871</v>
      </c>
      <c r="E56">
        <v>3998</v>
      </c>
      <c r="F56" s="3"/>
      <c r="G56">
        <v>5</v>
      </c>
      <c r="H56">
        <v>1</v>
      </c>
      <c r="I56">
        <f t="shared" si="8"/>
        <v>5</v>
      </c>
      <c r="J56">
        <v>0</v>
      </c>
      <c r="K56">
        <v>0</v>
      </c>
      <c r="L56">
        <f t="shared" si="9"/>
        <v>5</v>
      </c>
      <c r="M56" t="s">
        <v>5061</v>
      </c>
    </row>
    <row r="57" spans="1:13" x14ac:dyDescent="0.25">
      <c r="A57" s="10" t="s">
        <v>5053</v>
      </c>
      <c r="B57" s="10">
        <v>1</v>
      </c>
      <c r="C57" s="10">
        <v>17</v>
      </c>
      <c r="D57" t="s">
        <v>4871</v>
      </c>
      <c r="E57">
        <v>4013</v>
      </c>
      <c r="F57" s="3"/>
      <c r="G57">
        <v>1</v>
      </c>
      <c r="H57">
        <v>1</v>
      </c>
      <c r="I57">
        <f t="shared" si="8"/>
        <v>1</v>
      </c>
      <c r="J57">
        <v>2</v>
      </c>
      <c r="K57">
        <v>0</v>
      </c>
      <c r="L57">
        <f t="shared" si="9"/>
        <v>3</v>
      </c>
      <c r="M57" t="s">
        <v>5061</v>
      </c>
    </row>
    <row r="58" spans="1:13" x14ac:dyDescent="0.25">
      <c r="A58" s="10" t="s">
        <v>5053</v>
      </c>
      <c r="B58" s="10">
        <v>1</v>
      </c>
      <c r="C58" s="10">
        <v>17</v>
      </c>
      <c r="D58" t="s">
        <v>4871</v>
      </c>
      <c r="E58">
        <v>4037</v>
      </c>
      <c r="F58" s="3"/>
      <c r="G58">
        <v>22</v>
      </c>
      <c r="H58">
        <v>1</v>
      </c>
      <c r="I58">
        <f t="shared" si="8"/>
        <v>22</v>
      </c>
      <c r="J58">
        <v>0</v>
      </c>
      <c r="K58">
        <v>0</v>
      </c>
      <c r="L58">
        <f t="shared" si="9"/>
        <v>22</v>
      </c>
      <c r="M58" t="s">
        <v>5061</v>
      </c>
    </row>
    <row r="59" spans="1:13" x14ac:dyDescent="0.25">
      <c r="A59" s="10" t="s">
        <v>5053</v>
      </c>
      <c r="B59" s="10">
        <v>1</v>
      </c>
      <c r="C59" s="10">
        <v>17</v>
      </c>
      <c r="D59" t="s">
        <v>4871</v>
      </c>
      <c r="E59">
        <v>4030</v>
      </c>
      <c r="F59" s="3"/>
      <c r="G59">
        <v>8</v>
      </c>
      <c r="H59">
        <v>1</v>
      </c>
      <c r="I59">
        <f t="shared" si="8"/>
        <v>8</v>
      </c>
      <c r="J59">
        <v>0</v>
      </c>
      <c r="K59">
        <v>0</v>
      </c>
      <c r="L59">
        <f t="shared" si="9"/>
        <v>8</v>
      </c>
      <c r="M59" t="s">
        <v>5061</v>
      </c>
    </row>
    <row r="60" spans="1:13" x14ac:dyDescent="0.25">
      <c r="A60" s="10" t="s">
        <v>5053</v>
      </c>
      <c r="B60" s="10">
        <v>1</v>
      </c>
      <c r="C60" s="10">
        <v>20</v>
      </c>
      <c r="D60" t="s">
        <v>4871</v>
      </c>
      <c r="E60">
        <v>4023</v>
      </c>
      <c r="F60" s="3"/>
      <c r="G60">
        <v>25</v>
      </c>
      <c r="H60">
        <v>20</v>
      </c>
      <c r="I60">
        <f t="shared" ref="I60:I62" si="10">G60*H60</f>
        <v>500</v>
      </c>
      <c r="J60">
        <v>0</v>
      </c>
      <c r="K60">
        <v>0</v>
      </c>
      <c r="L60">
        <f t="shared" ref="L60:L62" si="11">I60+J60+K60</f>
        <v>500</v>
      </c>
      <c r="M60" t="s">
        <v>5061</v>
      </c>
    </row>
    <row r="61" spans="1:13" x14ac:dyDescent="0.25">
      <c r="A61" s="10" t="s">
        <v>5053</v>
      </c>
      <c r="B61" s="10">
        <v>1</v>
      </c>
      <c r="C61" s="10">
        <v>20</v>
      </c>
      <c r="D61" t="s">
        <v>4871</v>
      </c>
      <c r="E61">
        <v>4028</v>
      </c>
      <c r="F61" s="3"/>
      <c r="G61">
        <v>40</v>
      </c>
      <c r="H61">
        <v>10</v>
      </c>
      <c r="I61">
        <f t="shared" si="10"/>
        <v>400</v>
      </c>
      <c r="J61">
        <v>0</v>
      </c>
      <c r="K61">
        <v>0</v>
      </c>
      <c r="L61">
        <f t="shared" si="11"/>
        <v>400</v>
      </c>
      <c r="M61" t="s">
        <v>5061</v>
      </c>
    </row>
    <row r="62" spans="1:13" x14ac:dyDescent="0.25">
      <c r="A62" s="10" t="s">
        <v>5053</v>
      </c>
      <c r="B62" s="10">
        <v>1</v>
      </c>
      <c r="C62" s="10">
        <v>20</v>
      </c>
      <c r="D62" t="s">
        <v>4871</v>
      </c>
      <c r="E62">
        <v>4009</v>
      </c>
      <c r="F62" s="3"/>
      <c r="G62">
        <v>12</v>
      </c>
      <c r="H62">
        <v>10</v>
      </c>
      <c r="I62">
        <f t="shared" si="10"/>
        <v>120</v>
      </c>
      <c r="J62">
        <v>0</v>
      </c>
      <c r="K62">
        <v>0</v>
      </c>
      <c r="L62">
        <f t="shared" si="11"/>
        <v>120</v>
      </c>
      <c r="M62" t="s">
        <v>5061</v>
      </c>
    </row>
    <row r="63" spans="1:13" x14ac:dyDescent="0.25">
      <c r="A63" s="10" t="s">
        <v>5053</v>
      </c>
      <c r="B63" s="10">
        <v>1</v>
      </c>
      <c r="C63" s="10">
        <v>20</v>
      </c>
      <c r="D63" t="s">
        <v>4871</v>
      </c>
      <c r="E63">
        <v>4021</v>
      </c>
      <c r="F63" s="3"/>
      <c r="G63">
        <v>19</v>
      </c>
      <c r="H63">
        <v>1</v>
      </c>
      <c r="I63">
        <f t="shared" ref="I63:I75" si="12">G63*H63</f>
        <v>19</v>
      </c>
      <c r="J63">
        <v>0</v>
      </c>
      <c r="K63">
        <v>0</v>
      </c>
      <c r="L63">
        <f t="shared" ref="L63:L75" si="13">I63+J63+K63</f>
        <v>19</v>
      </c>
      <c r="M63" t="s">
        <v>5061</v>
      </c>
    </row>
    <row r="64" spans="1:13" x14ac:dyDescent="0.25">
      <c r="A64" s="10" t="s">
        <v>5053</v>
      </c>
      <c r="B64" s="10">
        <v>1</v>
      </c>
      <c r="C64" s="10">
        <v>20</v>
      </c>
      <c r="D64" t="s">
        <v>4871</v>
      </c>
      <c r="E64">
        <v>4020</v>
      </c>
      <c r="F64" s="3"/>
      <c r="G64">
        <v>11</v>
      </c>
      <c r="H64">
        <v>5</v>
      </c>
      <c r="I64">
        <f t="shared" si="12"/>
        <v>55</v>
      </c>
      <c r="J64">
        <v>0</v>
      </c>
      <c r="K64">
        <v>0</v>
      </c>
      <c r="L64">
        <f t="shared" si="13"/>
        <v>55</v>
      </c>
      <c r="M64" t="s">
        <v>5061</v>
      </c>
    </row>
    <row r="65" spans="1:13" x14ac:dyDescent="0.25">
      <c r="A65" s="10" t="s">
        <v>5053</v>
      </c>
      <c r="B65" s="10">
        <v>1</v>
      </c>
      <c r="C65" s="10">
        <v>20</v>
      </c>
      <c r="D65" t="s">
        <v>4871</v>
      </c>
      <c r="E65">
        <v>4012</v>
      </c>
      <c r="F65" s="3"/>
      <c r="G65">
        <v>10</v>
      </c>
      <c r="H65">
        <v>10</v>
      </c>
      <c r="I65">
        <f t="shared" si="12"/>
        <v>100</v>
      </c>
      <c r="J65">
        <v>0</v>
      </c>
      <c r="K65">
        <v>0</v>
      </c>
      <c r="L65">
        <f t="shared" si="13"/>
        <v>100</v>
      </c>
      <c r="M65" t="s">
        <v>5061</v>
      </c>
    </row>
    <row r="66" spans="1:13" x14ac:dyDescent="0.25">
      <c r="A66" s="10" t="s">
        <v>5053</v>
      </c>
      <c r="B66" s="10">
        <v>1</v>
      </c>
      <c r="C66" s="10">
        <v>20</v>
      </c>
      <c r="D66" t="s">
        <v>4871</v>
      </c>
      <c r="E66">
        <v>4011</v>
      </c>
      <c r="F66" s="3"/>
      <c r="G66">
        <v>5</v>
      </c>
      <c r="H66">
        <v>10</v>
      </c>
      <c r="I66">
        <f t="shared" si="12"/>
        <v>50</v>
      </c>
      <c r="J66">
        <v>0</v>
      </c>
      <c r="K66">
        <v>0</v>
      </c>
      <c r="L66">
        <f t="shared" si="13"/>
        <v>50</v>
      </c>
      <c r="M66" t="s">
        <v>5061</v>
      </c>
    </row>
    <row r="67" spans="1:13" x14ac:dyDescent="0.25">
      <c r="A67" s="10" t="s">
        <v>5053</v>
      </c>
      <c r="B67" s="10">
        <v>1</v>
      </c>
      <c r="C67" s="10">
        <v>20</v>
      </c>
      <c r="D67" t="s">
        <v>4871</v>
      </c>
      <c r="E67">
        <v>4025</v>
      </c>
      <c r="F67" s="3"/>
      <c r="G67">
        <v>6</v>
      </c>
      <c r="H67">
        <v>20</v>
      </c>
      <c r="I67">
        <f t="shared" si="12"/>
        <v>120</v>
      </c>
      <c r="J67">
        <v>0</v>
      </c>
      <c r="K67">
        <v>0</v>
      </c>
      <c r="L67">
        <f t="shared" si="13"/>
        <v>120</v>
      </c>
      <c r="M67" t="s">
        <v>5061</v>
      </c>
    </row>
    <row r="68" spans="1:13" x14ac:dyDescent="0.25">
      <c r="A68" s="10" t="s">
        <v>5053</v>
      </c>
      <c r="B68" s="10">
        <v>1</v>
      </c>
      <c r="C68" s="10">
        <v>20</v>
      </c>
      <c r="D68" t="s">
        <v>4871</v>
      </c>
      <c r="E68">
        <v>4015</v>
      </c>
      <c r="F68" s="3"/>
      <c r="G68">
        <v>10</v>
      </c>
      <c r="H68">
        <v>10</v>
      </c>
      <c r="I68">
        <f t="shared" si="12"/>
        <v>100</v>
      </c>
      <c r="J68">
        <v>0</v>
      </c>
      <c r="K68">
        <v>0</v>
      </c>
      <c r="L68">
        <f t="shared" si="13"/>
        <v>100</v>
      </c>
      <c r="M68" t="s">
        <v>5061</v>
      </c>
    </row>
    <row r="69" spans="1:13" x14ac:dyDescent="0.25">
      <c r="A69" s="10" t="s">
        <v>5053</v>
      </c>
      <c r="B69" s="10">
        <v>1</v>
      </c>
      <c r="C69" s="10">
        <v>20</v>
      </c>
      <c r="D69" t="s">
        <v>4871</v>
      </c>
      <c r="E69">
        <v>4027</v>
      </c>
      <c r="F69" s="3"/>
      <c r="G69">
        <v>4</v>
      </c>
      <c r="H69">
        <v>20</v>
      </c>
      <c r="I69">
        <f t="shared" si="12"/>
        <v>80</v>
      </c>
      <c r="J69">
        <v>0</v>
      </c>
      <c r="K69">
        <v>0</v>
      </c>
      <c r="L69">
        <f t="shared" si="13"/>
        <v>80</v>
      </c>
      <c r="M69" t="s">
        <v>5061</v>
      </c>
    </row>
    <row r="70" spans="1:13" x14ac:dyDescent="0.25">
      <c r="A70" s="10" t="s">
        <v>5053</v>
      </c>
      <c r="B70" s="10">
        <v>1</v>
      </c>
      <c r="C70" s="10">
        <v>20</v>
      </c>
      <c r="D70" t="s">
        <v>4871</v>
      </c>
      <c r="E70">
        <v>4026</v>
      </c>
      <c r="F70" s="3"/>
      <c r="G70">
        <v>65</v>
      </c>
      <c r="H70">
        <v>5</v>
      </c>
      <c r="I70">
        <f t="shared" si="12"/>
        <v>325</v>
      </c>
      <c r="J70">
        <v>0</v>
      </c>
      <c r="K70">
        <v>0</v>
      </c>
      <c r="L70">
        <f t="shared" si="13"/>
        <v>325</v>
      </c>
      <c r="M70" t="s">
        <v>5061</v>
      </c>
    </row>
    <row r="71" spans="1:13" x14ac:dyDescent="0.25">
      <c r="A71" s="10" t="s">
        <v>5053</v>
      </c>
      <c r="B71" s="10">
        <v>1</v>
      </c>
      <c r="C71" s="10">
        <v>20</v>
      </c>
      <c r="D71" t="s">
        <v>4871</v>
      </c>
      <c r="E71">
        <v>4031</v>
      </c>
      <c r="F71" s="3"/>
      <c r="G71">
        <v>2</v>
      </c>
      <c r="H71">
        <v>100</v>
      </c>
      <c r="I71">
        <f t="shared" si="12"/>
        <v>200</v>
      </c>
      <c r="J71">
        <v>0</v>
      </c>
      <c r="K71">
        <v>0</v>
      </c>
      <c r="L71">
        <f t="shared" si="13"/>
        <v>200</v>
      </c>
      <c r="M71" t="s">
        <v>5061</v>
      </c>
    </row>
    <row r="72" spans="1:13" x14ac:dyDescent="0.25">
      <c r="A72" s="10" t="s">
        <v>5053</v>
      </c>
      <c r="B72" s="10">
        <v>1</v>
      </c>
      <c r="C72" s="10">
        <v>20</v>
      </c>
      <c r="D72" t="s">
        <v>4871</v>
      </c>
      <c r="E72">
        <v>4032</v>
      </c>
      <c r="F72" s="3"/>
      <c r="G72">
        <v>13</v>
      </c>
      <c r="H72">
        <v>10</v>
      </c>
      <c r="I72">
        <f t="shared" si="12"/>
        <v>130</v>
      </c>
      <c r="J72">
        <v>0</v>
      </c>
      <c r="K72">
        <v>0</v>
      </c>
      <c r="L72">
        <f t="shared" si="13"/>
        <v>130</v>
      </c>
      <c r="M72" t="s">
        <v>5061</v>
      </c>
    </row>
    <row r="73" spans="1:13" x14ac:dyDescent="0.25">
      <c r="A73" s="10" t="s">
        <v>5053</v>
      </c>
      <c r="B73" s="10">
        <v>1</v>
      </c>
      <c r="C73" s="10">
        <v>20</v>
      </c>
      <c r="D73" t="s">
        <v>4871</v>
      </c>
      <c r="E73">
        <v>4033</v>
      </c>
      <c r="F73" s="3"/>
      <c r="G73">
        <v>36</v>
      </c>
      <c r="H73">
        <v>10</v>
      </c>
      <c r="I73">
        <f t="shared" si="12"/>
        <v>360</v>
      </c>
      <c r="J73">
        <v>0</v>
      </c>
      <c r="K73">
        <v>0</v>
      </c>
      <c r="L73">
        <f t="shared" si="13"/>
        <v>360</v>
      </c>
      <c r="M73" t="s">
        <v>5061</v>
      </c>
    </row>
    <row r="74" spans="1:13" x14ac:dyDescent="0.25">
      <c r="A74" s="10" t="s">
        <v>5053</v>
      </c>
      <c r="B74" s="10">
        <v>1</v>
      </c>
      <c r="C74" s="10">
        <v>20</v>
      </c>
      <c r="D74" t="s">
        <v>4871</v>
      </c>
      <c r="E74">
        <v>4034</v>
      </c>
      <c r="F74" s="3"/>
      <c r="G74">
        <f>38+38+3</f>
        <v>79</v>
      </c>
      <c r="H74">
        <v>2</v>
      </c>
      <c r="I74">
        <f t="shared" si="12"/>
        <v>158</v>
      </c>
      <c r="J74">
        <v>0</v>
      </c>
      <c r="K74">
        <v>0</v>
      </c>
      <c r="L74">
        <f t="shared" si="13"/>
        <v>158</v>
      </c>
      <c r="M74" t="s">
        <v>5061</v>
      </c>
    </row>
    <row r="75" spans="1:13" x14ac:dyDescent="0.25">
      <c r="A75" s="10" t="s">
        <v>5053</v>
      </c>
      <c r="B75" s="10">
        <v>1</v>
      </c>
      <c r="C75" s="10">
        <v>20</v>
      </c>
      <c r="D75" t="s">
        <v>4871</v>
      </c>
      <c r="E75">
        <v>4011</v>
      </c>
      <c r="F75" s="3"/>
      <c r="G75">
        <v>2</v>
      </c>
      <c r="H75">
        <v>100</v>
      </c>
      <c r="I75">
        <f t="shared" si="12"/>
        <v>200</v>
      </c>
      <c r="J75">
        <v>0</v>
      </c>
      <c r="K75">
        <v>0</v>
      </c>
      <c r="L75">
        <f t="shared" si="13"/>
        <v>200</v>
      </c>
      <c r="M75" t="s">
        <v>5061</v>
      </c>
    </row>
    <row r="76" spans="1:13" x14ac:dyDescent="0.25">
      <c r="A76" s="10" t="s">
        <v>5053</v>
      </c>
      <c r="B76" s="10">
        <v>1</v>
      </c>
      <c r="C76" s="10">
        <v>20</v>
      </c>
      <c r="D76" t="s">
        <v>4871</v>
      </c>
      <c r="E76">
        <v>4007</v>
      </c>
      <c r="F76" s="3"/>
      <c r="G76">
        <v>4</v>
      </c>
      <c r="H76">
        <v>1</v>
      </c>
      <c r="I76">
        <f t="shared" ref="I76" si="14">G76*H76</f>
        <v>4</v>
      </c>
      <c r="J76">
        <v>0</v>
      </c>
      <c r="K76">
        <v>0</v>
      </c>
      <c r="L76">
        <f t="shared" ref="L76" si="15">I76+J76+K76</f>
        <v>4</v>
      </c>
      <c r="M76" t="s">
        <v>5063</v>
      </c>
    </row>
    <row r="77" spans="1:13" x14ac:dyDescent="0.25">
      <c r="A77" s="10" t="s">
        <v>5053</v>
      </c>
      <c r="B77" s="10">
        <v>1</v>
      </c>
      <c r="C77" s="10">
        <v>20</v>
      </c>
      <c r="D77" t="s">
        <v>4871</v>
      </c>
      <c r="E77">
        <v>4007</v>
      </c>
      <c r="F77" s="3"/>
      <c r="G77">
        <v>13</v>
      </c>
      <c r="H77">
        <v>1</v>
      </c>
      <c r="I77">
        <f t="shared" ref="I77" si="16">G77*H77</f>
        <v>13</v>
      </c>
      <c r="J77">
        <v>0</v>
      </c>
      <c r="K77">
        <v>0</v>
      </c>
      <c r="L77">
        <f t="shared" ref="L77" si="17">I77+J77+K77</f>
        <v>13</v>
      </c>
      <c r="M77" t="s">
        <v>5063</v>
      </c>
    </row>
  </sheetData>
  <autoFilter ref="A1:M77" xr:uid="{D2008AD3-DE0F-4651-A52D-A1CB2BD4D299}"/>
  <phoneticPr fontId="9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6A746-6C64-4C66-AF82-6D75C3C06582}">
  <dimension ref="A1:O132"/>
  <sheetViews>
    <sheetView topLeftCell="A99" workbookViewId="0">
      <selection activeCell="C8" sqref="C8"/>
    </sheetView>
  </sheetViews>
  <sheetFormatPr defaultColWidth="11.42578125" defaultRowHeight="15" x14ac:dyDescent="0.25"/>
  <cols>
    <col min="1" max="1" width="14.42578125" bestFit="1" customWidth="1"/>
    <col min="2" max="2" width="10.42578125" bestFit="1" customWidth="1"/>
    <col min="3" max="3" width="7.7109375" bestFit="1" customWidth="1"/>
    <col min="4" max="4" width="11.28515625" bestFit="1" customWidth="1"/>
    <col min="5" max="5" width="9.85546875" bestFit="1" customWidth="1"/>
    <col min="6" max="6" width="11.140625" bestFit="1" customWidth="1"/>
    <col min="7" max="7" width="7.140625" bestFit="1" customWidth="1"/>
    <col min="8" max="8" width="10.7109375" bestFit="1" customWidth="1"/>
    <col min="9" max="9" width="12.140625" bestFit="1" customWidth="1"/>
    <col min="10" max="10" width="9.42578125" bestFit="1" customWidth="1"/>
    <col min="11" max="11" width="7.140625" bestFit="1" customWidth="1"/>
    <col min="12" max="12" width="5.28515625" bestFit="1" customWidth="1"/>
    <col min="13" max="13" width="15.42578125" bestFit="1" customWidth="1"/>
    <col min="14" max="14" width="9.42578125" bestFit="1" customWidth="1"/>
    <col min="15" max="15" width="4.140625" bestFit="1" customWidth="1"/>
  </cols>
  <sheetData>
    <row r="1" spans="1:13" ht="15.75" x14ac:dyDescent="0.25">
      <c r="A1" s="28" t="s">
        <v>5044</v>
      </c>
      <c r="B1" s="28" t="s">
        <v>5054</v>
      </c>
      <c r="C1" s="28" t="s">
        <v>5055</v>
      </c>
      <c r="D1" s="28" t="s">
        <v>5045</v>
      </c>
      <c r="E1" s="28" t="s">
        <v>5046</v>
      </c>
      <c r="F1" s="28" t="s">
        <v>4434</v>
      </c>
      <c r="G1" s="28" t="s">
        <v>5047</v>
      </c>
      <c r="H1" s="28" t="s">
        <v>5048</v>
      </c>
      <c r="I1" s="28" t="s">
        <v>5049</v>
      </c>
      <c r="J1" s="28" t="s">
        <v>5050</v>
      </c>
      <c r="K1" s="28" t="s">
        <v>5051</v>
      </c>
      <c r="L1" s="28" t="s">
        <v>5052</v>
      </c>
      <c r="M1" s="28" t="s">
        <v>5058</v>
      </c>
    </row>
    <row r="2" spans="1:13" x14ac:dyDescent="0.25">
      <c r="A2" t="s">
        <v>5053</v>
      </c>
      <c r="B2">
        <v>2</v>
      </c>
      <c r="C2">
        <v>1</v>
      </c>
      <c r="D2" t="s">
        <v>4457</v>
      </c>
      <c r="E2">
        <v>1611</v>
      </c>
      <c r="F2" s="3"/>
      <c r="G2">
        <v>0</v>
      </c>
      <c r="H2">
        <v>1</v>
      </c>
      <c r="I2">
        <f>G2*H2</f>
        <v>0</v>
      </c>
      <c r="J2">
        <v>22</v>
      </c>
      <c r="K2">
        <v>0</v>
      </c>
      <c r="L2">
        <f>I2+J2+K2</f>
        <v>22</v>
      </c>
      <c r="M2" t="s">
        <v>5062</v>
      </c>
    </row>
    <row r="3" spans="1:13" x14ac:dyDescent="0.25">
      <c r="A3" t="s">
        <v>5053</v>
      </c>
      <c r="B3">
        <v>2</v>
      </c>
      <c r="C3">
        <v>1</v>
      </c>
      <c r="D3" t="s">
        <v>4457</v>
      </c>
      <c r="E3">
        <v>1612</v>
      </c>
      <c r="F3" s="3"/>
      <c r="G3">
        <v>0</v>
      </c>
      <c r="H3">
        <v>1</v>
      </c>
      <c r="I3">
        <f>G3*H3</f>
        <v>0</v>
      </c>
      <c r="J3">
        <v>2</v>
      </c>
      <c r="K3">
        <v>0</v>
      </c>
      <c r="L3">
        <f>I3+J3+K3</f>
        <v>2</v>
      </c>
      <c r="M3" t="s">
        <v>5062</v>
      </c>
    </row>
    <row r="4" spans="1:13" x14ac:dyDescent="0.25">
      <c r="A4" t="s">
        <v>5053</v>
      </c>
      <c r="B4">
        <v>2</v>
      </c>
      <c r="C4">
        <v>1</v>
      </c>
      <c r="D4" t="s">
        <v>4457</v>
      </c>
      <c r="E4">
        <v>1506</v>
      </c>
      <c r="F4" s="3"/>
      <c r="G4">
        <v>0</v>
      </c>
      <c r="H4">
        <v>1</v>
      </c>
      <c r="I4">
        <f t="shared" ref="I4:I50" si="0">G4*H4</f>
        <v>0</v>
      </c>
      <c r="J4">
        <v>1</v>
      </c>
      <c r="K4">
        <v>0</v>
      </c>
      <c r="L4">
        <f t="shared" ref="L4:L49" si="1">I4+J4+K4</f>
        <v>1</v>
      </c>
      <c r="M4" t="s">
        <v>5062</v>
      </c>
    </row>
    <row r="5" spans="1:13" x14ac:dyDescent="0.25">
      <c r="A5" t="s">
        <v>5053</v>
      </c>
      <c r="B5">
        <v>2</v>
      </c>
      <c r="C5">
        <v>1</v>
      </c>
      <c r="D5" t="s">
        <v>4457</v>
      </c>
      <c r="E5">
        <v>1511</v>
      </c>
      <c r="F5" s="3"/>
      <c r="G5">
        <v>0</v>
      </c>
      <c r="H5">
        <v>1</v>
      </c>
      <c r="I5">
        <f t="shared" si="0"/>
        <v>0</v>
      </c>
      <c r="J5">
        <v>8</v>
      </c>
      <c r="K5">
        <v>0</v>
      </c>
      <c r="L5">
        <f t="shared" si="1"/>
        <v>8</v>
      </c>
      <c r="M5" t="s">
        <v>5062</v>
      </c>
    </row>
    <row r="6" spans="1:13" x14ac:dyDescent="0.25">
      <c r="A6" t="s">
        <v>5053</v>
      </c>
      <c r="B6">
        <v>2</v>
      </c>
      <c r="C6">
        <v>1</v>
      </c>
      <c r="D6" t="s">
        <v>4457</v>
      </c>
      <c r="E6">
        <v>7196</v>
      </c>
      <c r="F6" s="3"/>
      <c r="G6">
        <v>0</v>
      </c>
      <c r="H6">
        <v>1</v>
      </c>
      <c r="I6">
        <f t="shared" si="0"/>
        <v>0</v>
      </c>
      <c r="J6">
        <v>4</v>
      </c>
      <c r="K6">
        <v>0</v>
      </c>
      <c r="L6">
        <f t="shared" si="1"/>
        <v>4</v>
      </c>
      <c r="M6" t="s">
        <v>5062</v>
      </c>
    </row>
    <row r="7" spans="1:13" x14ac:dyDescent="0.25">
      <c r="A7" t="s">
        <v>5053</v>
      </c>
      <c r="B7">
        <v>2</v>
      </c>
      <c r="C7">
        <v>1</v>
      </c>
      <c r="D7" t="s">
        <v>4457</v>
      </c>
      <c r="E7">
        <v>7195</v>
      </c>
      <c r="F7" s="3"/>
      <c r="G7">
        <v>0</v>
      </c>
      <c r="H7">
        <v>1</v>
      </c>
      <c r="I7">
        <f t="shared" si="0"/>
        <v>0</v>
      </c>
      <c r="J7">
        <v>7</v>
      </c>
      <c r="K7">
        <v>0</v>
      </c>
      <c r="L7">
        <f t="shared" si="1"/>
        <v>7</v>
      </c>
      <c r="M7" t="s">
        <v>5062</v>
      </c>
    </row>
    <row r="8" spans="1:13" x14ac:dyDescent="0.25">
      <c r="A8" t="s">
        <v>5053</v>
      </c>
      <c r="B8">
        <v>2</v>
      </c>
      <c r="C8">
        <v>1</v>
      </c>
      <c r="D8" t="s">
        <v>4457</v>
      </c>
      <c r="E8">
        <v>7193</v>
      </c>
      <c r="F8" s="3"/>
      <c r="G8">
        <v>0</v>
      </c>
      <c r="H8">
        <v>1</v>
      </c>
      <c r="I8">
        <f t="shared" si="0"/>
        <v>0</v>
      </c>
      <c r="J8">
        <v>8</v>
      </c>
      <c r="K8">
        <v>0</v>
      </c>
      <c r="L8">
        <f t="shared" si="1"/>
        <v>8</v>
      </c>
      <c r="M8" t="s">
        <v>5062</v>
      </c>
    </row>
    <row r="9" spans="1:13" x14ac:dyDescent="0.25">
      <c r="A9" t="s">
        <v>5053</v>
      </c>
      <c r="B9">
        <v>2</v>
      </c>
      <c r="C9">
        <v>2</v>
      </c>
      <c r="D9" t="s">
        <v>4457</v>
      </c>
      <c r="E9">
        <v>7144</v>
      </c>
      <c r="F9" s="3"/>
      <c r="G9">
        <v>0</v>
      </c>
      <c r="H9">
        <v>1</v>
      </c>
      <c r="I9">
        <f t="shared" si="0"/>
        <v>0</v>
      </c>
      <c r="J9">
        <v>8</v>
      </c>
      <c r="K9">
        <v>0</v>
      </c>
      <c r="L9">
        <f t="shared" si="1"/>
        <v>8</v>
      </c>
      <c r="M9" t="s">
        <v>5062</v>
      </c>
    </row>
    <row r="10" spans="1:13" x14ac:dyDescent="0.25">
      <c r="A10" t="s">
        <v>5053</v>
      </c>
      <c r="B10">
        <v>2</v>
      </c>
      <c r="C10">
        <v>2</v>
      </c>
      <c r="D10" t="s">
        <v>4457</v>
      </c>
      <c r="E10">
        <v>7148</v>
      </c>
      <c r="F10" s="3"/>
      <c r="G10">
        <v>0</v>
      </c>
      <c r="H10">
        <v>1</v>
      </c>
      <c r="I10">
        <f t="shared" si="0"/>
        <v>0</v>
      </c>
      <c r="J10">
        <v>6</v>
      </c>
      <c r="K10">
        <v>0</v>
      </c>
      <c r="L10">
        <f t="shared" si="1"/>
        <v>6</v>
      </c>
      <c r="M10" t="s">
        <v>5062</v>
      </c>
    </row>
    <row r="11" spans="1:13" x14ac:dyDescent="0.25">
      <c r="A11" t="s">
        <v>5053</v>
      </c>
      <c r="B11">
        <v>2</v>
      </c>
      <c r="C11">
        <v>2</v>
      </c>
      <c r="D11" t="s">
        <v>4457</v>
      </c>
      <c r="E11">
        <v>7168</v>
      </c>
      <c r="F11" s="3"/>
      <c r="G11">
        <v>0</v>
      </c>
      <c r="H11">
        <v>1</v>
      </c>
      <c r="I11">
        <f t="shared" si="0"/>
        <v>0</v>
      </c>
      <c r="J11">
        <v>2</v>
      </c>
      <c r="K11">
        <v>0</v>
      </c>
      <c r="L11">
        <f t="shared" si="1"/>
        <v>2</v>
      </c>
      <c r="M11" t="s">
        <v>5062</v>
      </c>
    </row>
    <row r="12" spans="1:13" x14ac:dyDescent="0.25">
      <c r="A12" t="s">
        <v>5053</v>
      </c>
      <c r="B12">
        <v>2</v>
      </c>
      <c r="C12">
        <v>2</v>
      </c>
      <c r="D12" t="s">
        <v>4457</v>
      </c>
      <c r="E12">
        <v>7194</v>
      </c>
      <c r="F12" s="3"/>
      <c r="G12">
        <v>0</v>
      </c>
      <c r="H12">
        <v>1</v>
      </c>
      <c r="I12">
        <f t="shared" si="0"/>
        <v>0</v>
      </c>
      <c r="J12">
        <v>12</v>
      </c>
      <c r="K12">
        <v>0</v>
      </c>
      <c r="L12">
        <f t="shared" si="1"/>
        <v>12</v>
      </c>
      <c r="M12" t="s">
        <v>5062</v>
      </c>
    </row>
    <row r="13" spans="1:13" x14ac:dyDescent="0.25">
      <c r="A13" t="s">
        <v>5053</v>
      </c>
      <c r="B13">
        <v>2</v>
      </c>
      <c r="C13">
        <v>3</v>
      </c>
      <c r="D13" t="s">
        <v>4457</v>
      </c>
      <c r="E13">
        <v>1507</v>
      </c>
      <c r="F13" s="3"/>
      <c r="G13">
        <v>0</v>
      </c>
      <c r="H13">
        <v>1</v>
      </c>
      <c r="I13">
        <f t="shared" si="0"/>
        <v>0</v>
      </c>
      <c r="J13">
        <v>2</v>
      </c>
      <c r="K13">
        <v>0</v>
      </c>
      <c r="L13">
        <f t="shared" si="1"/>
        <v>2</v>
      </c>
      <c r="M13" t="s">
        <v>5062</v>
      </c>
    </row>
    <row r="14" spans="1:13" x14ac:dyDescent="0.25">
      <c r="A14" t="s">
        <v>5053</v>
      </c>
      <c r="B14">
        <v>2</v>
      </c>
      <c r="C14">
        <v>3</v>
      </c>
      <c r="D14" t="s">
        <v>4457</v>
      </c>
      <c r="E14">
        <v>1665</v>
      </c>
      <c r="F14" s="3"/>
      <c r="G14">
        <v>0</v>
      </c>
      <c r="H14">
        <v>1</v>
      </c>
      <c r="I14">
        <f t="shared" si="0"/>
        <v>0</v>
      </c>
      <c r="J14">
        <v>2</v>
      </c>
      <c r="K14">
        <v>0</v>
      </c>
      <c r="L14">
        <f t="shared" si="1"/>
        <v>2</v>
      </c>
      <c r="M14" t="s">
        <v>5062</v>
      </c>
    </row>
    <row r="15" spans="1:13" x14ac:dyDescent="0.25">
      <c r="A15" t="s">
        <v>5053</v>
      </c>
      <c r="B15">
        <v>2</v>
      </c>
      <c r="C15">
        <v>3</v>
      </c>
      <c r="D15" t="s">
        <v>4457</v>
      </c>
      <c r="E15">
        <v>7151</v>
      </c>
      <c r="F15" s="3"/>
      <c r="G15">
        <v>0</v>
      </c>
      <c r="H15">
        <v>1</v>
      </c>
      <c r="I15">
        <f t="shared" si="0"/>
        <v>0</v>
      </c>
      <c r="J15">
        <v>31</v>
      </c>
      <c r="K15">
        <v>0</v>
      </c>
      <c r="L15">
        <f t="shared" si="1"/>
        <v>31</v>
      </c>
      <c r="M15" t="s">
        <v>5062</v>
      </c>
    </row>
    <row r="16" spans="1:13" x14ac:dyDescent="0.25">
      <c r="A16" t="s">
        <v>5053</v>
      </c>
      <c r="B16">
        <v>2</v>
      </c>
      <c r="C16">
        <v>3</v>
      </c>
      <c r="D16" t="s">
        <v>4457</v>
      </c>
      <c r="E16">
        <v>1657</v>
      </c>
      <c r="F16" s="3"/>
      <c r="G16">
        <v>0</v>
      </c>
      <c r="H16">
        <v>1</v>
      </c>
      <c r="I16">
        <f t="shared" si="0"/>
        <v>0</v>
      </c>
      <c r="J16">
        <v>1</v>
      </c>
      <c r="K16">
        <v>0</v>
      </c>
      <c r="L16">
        <f t="shared" si="1"/>
        <v>1</v>
      </c>
      <c r="M16" t="s">
        <v>5062</v>
      </c>
    </row>
    <row r="17" spans="1:13" x14ac:dyDescent="0.25">
      <c r="A17" t="s">
        <v>5053</v>
      </c>
      <c r="B17">
        <v>2</v>
      </c>
      <c r="C17">
        <v>4</v>
      </c>
      <c r="D17" t="s">
        <v>4457</v>
      </c>
      <c r="E17">
        <v>1664</v>
      </c>
      <c r="F17" s="3"/>
      <c r="G17">
        <v>0</v>
      </c>
      <c r="H17">
        <v>1</v>
      </c>
      <c r="I17">
        <f t="shared" si="0"/>
        <v>0</v>
      </c>
      <c r="J17">
        <v>7</v>
      </c>
      <c r="K17">
        <v>0</v>
      </c>
      <c r="L17">
        <f t="shared" si="1"/>
        <v>7</v>
      </c>
      <c r="M17" t="s">
        <v>5062</v>
      </c>
    </row>
    <row r="18" spans="1:13" x14ac:dyDescent="0.25">
      <c r="A18" t="s">
        <v>5053</v>
      </c>
      <c r="B18">
        <v>2</v>
      </c>
      <c r="C18">
        <v>4</v>
      </c>
      <c r="D18" t="s">
        <v>4457</v>
      </c>
      <c r="E18">
        <v>7147</v>
      </c>
      <c r="F18" s="3"/>
      <c r="G18">
        <v>0</v>
      </c>
      <c r="H18">
        <v>1</v>
      </c>
      <c r="I18">
        <f t="shared" si="0"/>
        <v>0</v>
      </c>
      <c r="J18">
        <v>6</v>
      </c>
      <c r="K18">
        <v>0</v>
      </c>
      <c r="L18">
        <f t="shared" si="1"/>
        <v>6</v>
      </c>
      <c r="M18" t="s">
        <v>5062</v>
      </c>
    </row>
    <row r="19" spans="1:13" x14ac:dyDescent="0.25">
      <c r="A19" t="s">
        <v>5053</v>
      </c>
      <c r="B19">
        <v>2</v>
      </c>
      <c r="C19">
        <v>4</v>
      </c>
      <c r="D19" t="s">
        <v>4457</v>
      </c>
      <c r="E19">
        <v>7184</v>
      </c>
      <c r="F19" s="3"/>
      <c r="G19">
        <v>0</v>
      </c>
      <c r="H19">
        <v>1</v>
      </c>
      <c r="I19">
        <f t="shared" si="0"/>
        <v>0</v>
      </c>
      <c r="J19">
        <v>2</v>
      </c>
      <c r="K19">
        <v>0</v>
      </c>
      <c r="L19">
        <f t="shared" si="1"/>
        <v>2</v>
      </c>
      <c r="M19" t="s">
        <v>5062</v>
      </c>
    </row>
    <row r="20" spans="1:13" x14ac:dyDescent="0.25">
      <c r="A20" t="s">
        <v>5053</v>
      </c>
      <c r="B20">
        <v>2</v>
      </c>
      <c r="C20">
        <v>4</v>
      </c>
      <c r="D20" t="s">
        <v>4457</v>
      </c>
      <c r="E20">
        <v>7193</v>
      </c>
      <c r="F20" s="3"/>
      <c r="G20">
        <v>0</v>
      </c>
      <c r="H20">
        <v>1</v>
      </c>
      <c r="I20">
        <f t="shared" si="0"/>
        <v>0</v>
      </c>
      <c r="J20">
        <v>22</v>
      </c>
      <c r="K20">
        <v>0</v>
      </c>
      <c r="L20">
        <f t="shared" si="1"/>
        <v>22</v>
      </c>
      <c r="M20" t="s">
        <v>5062</v>
      </c>
    </row>
    <row r="21" spans="1:13" x14ac:dyDescent="0.25">
      <c r="A21" t="s">
        <v>5053</v>
      </c>
      <c r="B21">
        <v>2</v>
      </c>
      <c r="C21">
        <v>5</v>
      </c>
      <c r="D21" t="s">
        <v>4457</v>
      </c>
      <c r="E21">
        <v>1985</v>
      </c>
      <c r="F21" s="3"/>
      <c r="G21">
        <v>0</v>
      </c>
      <c r="H21">
        <v>1</v>
      </c>
      <c r="I21">
        <f t="shared" si="0"/>
        <v>0</v>
      </c>
      <c r="J21">
        <v>36</v>
      </c>
      <c r="K21">
        <v>0</v>
      </c>
      <c r="L21">
        <f t="shared" si="1"/>
        <v>36</v>
      </c>
      <c r="M21" t="s">
        <v>5062</v>
      </c>
    </row>
    <row r="22" spans="1:13" x14ac:dyDescent="0.25">
      <c r="A22" t="s">
        <v>5053</v>
      </c>
      <c r="B22">
        <v>2</v>
      </c>
      <c r="C22">
        <v>5</v>
      </c>
      <c r="D22" t="s">
        <v>4457</v>
      </c>
      <c r="E22">
        <v>1988</v>
      </c>
      <c r="F22" s="3"/>
      <c r="G22">
        <v>0</v>
      </c>
      <c r="H22">
        <v>1</v>
      </c>
      <c r="I22">
        <f t="shared" si="0"/>
        <v>0</v>
      </c>
      <c r="J22">
        <v>22</v>
      </c>
      <c r="K22">
        <v>0</v>
      </c>
      <c r="L22">
        <f t="shared" si="1"/>
        <v>22</v>
      </c>
      <c r="M22" t="s">
        <v>5062</v>
      </c>
    </row>
    <row r="23" spans="1:13" x14ac:dyDescent="0.25">
      <c r="A23" t="s">
        <v>5053</v>
      </c>
      <c r="B23">
        <v>2</v>
      </c>
      <c r="C23">
        <v>5</v>
      </c>
      <c r="D23" t="s">
        <v>4457</v>
      </c>
      <c r="E23">
        <v>1987</v>
      </c>
      <c r="F23" s="3"/>
      <c r="G23">
        <v>0</v>
      </c>
      <c r="H23">
        <v>1</v>
      </c>
      <c r="I23">
        <f t="shared" si="0"/>
        <v>0</v>
      </c>
      <c r="J23">
        <v>1</v>
      </c>
      <c r="K23">
        <v>0</v>
      </c>
      <c r="L23">
        <f t="shared" si="1"/>
        <v>1</v>
      </c>
      <c r="M23" t="s">
        <v>5062</v>
      </c>
    </row>
    <row r="24" spans="1:13" x14ac:dyDescent="0.25">
      <c r="A24" t="s">
        <v>5053</v>
      </c>
      <c r="B24">
        <v>2</v>
      </c>
      <c r="C24">
        <v>5</v>
      </c>
      <c r="D24" t="s">
        <v>4457</v>
      </c>
      <c r="E24">
        <v>1659</v>
      </c>
      <c r="F24" s="3"/>
      <c r="G24">
        <v>0</v>
      </c>
      <c r="H24">
        <v>1</v>
      </c>
      <c r="I24">
        <f t="shared" si="0"/>
        <v>0</v>
      </c>
      <c r="J24">
        <v>7</v>
      </c>
      <c r="K24">
        <v>0</v>
      </c>
      <c r="L24">
        <f t="shared" si="1"/>
        <v>7</v>
      </c>
      <c r="M24" t="s">
        <v>5062</v>
      </c>
    </row>
    <row r="25" spans="1:13" x14ac:dyDescent="0.25">
      <c r="A25" t="s">
        <v>5053</v>
      </c>
      <c r="B25">
        <v>2</v>
      </c>
      <c r="C25">
        <v>6</v>
      </c>
      <c r="D25" t="s">
        <v>4457</v>
      </c>
      <c r="E25">
        <v>7191</v>
      </c>
      <c r="F25" s="3"/>
      <c r="G25">
        <v>0</v>
      </c>
      <c r="H25">
        <v>1</v>
      </c>
      <c r="I25">
        <f t="shared" si="0"/>
        <v>0</v>
      </c>
      <c r="J25">
        <v>53</v>
      </c>
      <c r="K25">
        <v>0</v>
      </c>
      <c r="L25">
        <f t="shared" si="1"/>
        <v>53</v>
      </c>
      <c r="M25" t="s">
        <v>5062</v>
      </c>
    </row>
    <row r="26" spans="1:13" x14ac:dyDescent="0.25">
      <c r="A26" t="s">
        <v>5053</v>
      </c>
      <c r="B26">
        <v>2</v>
      </c>
      <c r="C26">
        <v>6</v>
      </c>
      <c r="D26" t="s">
        <v>4457</v>
      </c>
      <c r="E26">
        <v>1658</v>
      </c>
      <c r="F26" s="3"/>
      <c r="G26">
        <v>0</v>
      </c>
      <c r="H26">
        <v>1</v>
      </c>
      <c r="I26">
        <f t="shared" si="0"/>
        <v>0</v>
      </c>
      <c r="J26">
        <v>3</v>
      </c>
      <c r="K26">
        <v>0</v>
      </c>
      <c r="L26">
        <f t="shared" si="1"/>
        <v>3</v>
      </c>
      <c r="M26" t="s">
        <v>5062</v>
      </c>
    </row>
    <row r="27" spans="1:13" x14ac:dyDescent="0.25">
      <c r="A27" t="s">
        <v>5053</v>
      </c>
      <c r="B27">
        <v>2</v>
      </c>
      <c r="C27">
        <v>6</v>
      </c>
      <c r="D27" t="s">
        <v>4457</v>
      </c>
      <c r="E27">
        <v>1666</v>
      </c>
      <c r="F27" s="3"/>
      <c r="G27">
        <v>0</v>
      </c>
      <c r="H27">
        <v>1</v>
      </c>
      <c r="I27">
        <f t="shared" si="0"/>
        <v>0</v>
      </c>
      <c r="J27">
        <v>5</v>
      </c>
      <c r="K27">
        <v>0</v>
      </c>
      <c r="L27">
        <f t="shared" si="1"/>
        <v>5</v>
      </c>
      <c r="M27" t="s">
        <v>5062</v>
      </c>
    </row>
    <row r="28" spans="1:13" x14ac:dyDescent="0.25">
      <c r="A28" t="s">
        <v>5053</v>
      </c>
      <c r="B28">
        <v>2</v>
      </c>
      <c r="C28">
        <v>6</v>
      </c>
      <c r="D28" t="s">
        <v>4457</v>
      </c>
      <c r="E28" s="16">
        <v>7186</v>
      </c>
      <c r="F28" s="3"/>
      <c r="G28">
        <v>0</v>
      </c>
      <c r="H28">
        <v>1</v>
      </c>
      <c r="I28">
        <f t="shared" si="0"/>
        <v>0</v>
      </c>
      <c r="K28">
        <v>0</v>
      </c>
      <c r="L28">
        <f t="shared" si="1"/>
        <v>0</v>
      </c>
      <c r="M28" t="s">
        <v>5064</v>
      </c>
    </row>
    <row r="29" spans="1:13" x14ac:dyDescent="0.25">
      <c r="A29" t="s">
        <v>5053</v>
      </c>
      <c r="B29">
        <v>2</v>
      </c>
      <c r="C29">
        <v>6</v>
      </c>
      <c r="D29" t="s">
        <v>4457</v>
      </c>
      <c r="E29" s="18">
        <v>7195</v>
      </c>
      <c r="F29" s="3"/>
      <c r="G29">
        <v>0</v>
      </c>
      <c r="H29">
        <v>1</v>
      </c>
      <c r="I29">
        <f t="shared" si="0"/>
        <v>0</v>
      </c>
      <c r="J29">
        <v>11</v>
      </c>
      <c r="K29">
        <v>0</v>
      </c>
      <c r="L29">
        <f t="shared" si="1"/>
        <v>11</v>
      </c>
      <c r="M29" t="s">
        <v>5062</v>
      </c>
    </row>
    <row r="30" spans="1:13" x14ac:dyDescent="0.25">
      <c r="A30" t="s">
        <v>5053</v>
      </c>
      <c r="B30">
        <v>2</v>
      </c>
      <c r="C30">
        <v>6</v>
      </c>
      <c r="D30" t="s">
        <v>4457</v>
      </c>
      <c r="E30">
        <v>1657</v>
      </c>
      <c r="F30" s="3"/>
      <c r="G30">
        <v>0</v>
      </c>
      <c r="H30">
        <v>1</v>
      </c>
      <c r="I30">
        <f t="shared" si="0"/>
        <v>0</v>
      </c>
      <c r="J30">
        <v>1</v>
      </c>
      <c r="K30">
        <v>0</v>
      </c>
      <c r="L30">
        <f t="shared" si="1"/>
        <v>1</v>
      </c>
      <c r="M30" t="s">
        <v>5062</v>
      </c>
    </row>
    <row r="31" spans="1:13" x14ac:dyDescent="0.25">
      <c r="A31" t="s">
        <v>5053</v>
      </c>
      <c r="B31">
        <v>2</v>
      </c>
      <c r="C31">
        <v>37</v>
      </c>
      <c r="D31" t="s">
        <v>4457</v>
      </c>
      <c r="E31">
        <v>7167</v>
      </c>
      <c r="F31" s="3"/>
      <c r="G31">
        <v>0</v>
      </c>
      <c r="H31">
        <v>1</v>
      </c>
      <c r="I31">
        <f t="shared" si="0"/>
        <v>0</v>
      </c>
      <c r="J31">
        <v>44</v>
      </c>
      <c r="K31">
        <v>0</v>
      </c>
      <c r="L31">
        <f t="shared" si="1"/>
        <v>44</v>
      </c>
      <c r="M31" t="s">
        <v>5062</v>
      </c>
    </row>
    <row r="32" spans="1:13" x14ac:dyDescent="0.25">
      <c r="A32" t="s">
        <v>5053</v>
      </c>
      <c r="B32">
        <v>2</v>
      </c>
      <c r="C32">
        <v>37</v>
      </c>
      <c r="D32" t="s">
        <v>4457</v>
      </c>
      <c r="E32">
        <v>7153</v>
      </c>
      <c r="F32" s="3"/>
      <c r="G32">
        <v>0</v>
      </c>
      <c r="H32">
        <v>1</v>
      </c>
      <c r="I32">
        <f t="shared" si="0"/>
        <v>0</v>
      </c>
      <c r="J32">
        <v>13</v>
      </c>
      <c r="K32">
        <v>0</v>
      </c>
      <c r="L32">
        <f t="shared" si="1"/>
        <v>13</v>
      </c>
      <c r="M32" t="s">
        <v>5062</v>
      </c>
    </row>
    <row r="33" spans="1:13" x14ac:dyDescent="0.25">
      <c r="A33" t="s">
        <v>5053</v>
      </c>
      <c r="B33">
        <v>2</v>
      </c>
      <c r="C33">
        <v>37</v>
      </c>
      <c r="D33" t="s">
        <v>4457</v>
      </c>
      <c r="E33">
        <v>7169</v>
      </c>
      <c r="F33" s="3"/>
      <c r="G33">
        <v>0</v>
      </c>
      <c r="H33">
        <v>1</v>
      </c>
      <c r="I33">
        <f t="shared" si="0"/>
        <v>0</v>
      </c>
      <c r="J33">
        <v>1</v>
      </c>
      <c r="K33">
        <v>0</v>
      </c>
      <c r="L33">
        <f t="shared" si="1"/>
        <v>1</v>
      </c>
      <c r="M33" t="s">
        <v>5062</v>
      </c>
    </row>
    <row r="34" spans="1:13" x14ac:dyDescent="0.25">
      <c r="A34" t="s">
        <v>5053</v>
      </c>
      <c r="B34">
        <v>2</v>
      </c>
      <c r="C34">
        <v>38</v>
      </c>
      <c r="D34" t="s">
        <v>4457</v>
      </c>
      <c r="E34">
        <v>1664</v>
      </c>
      <c r="F34" s="3"/>
      <c r="G34">
        <v>0</v>
      </c>
      <c r="H34">
        <v>1</v>
      </c>
      <c r="I34">
        <f t="shared" si="0"/>
        <v>0</v>
      </c>
      <c r="J34">
        <v>2</v>
      </c>
      <c r="K34">
        <v>0</v>
      </c>
      <c r="L34">
        <f t="shared" si="1"/>
        <v>2</v>
      </c>
      <c r="M34" t="s">
        <v>5062</v>
      </c>
    </row>
    <row r="35" spans="1:13" x14ac:dyDescent="0.25">
      <c r="A35" t="s">
        <v>5053</v>
      </c>
      <c r="B35">
        <v>2</v>
      </c>
      <c r="C35">
        <v>38</v>
      </c>
      <c r="D35" t="s">
        <v>4457</v>
      </c>
      <c r="E35">
        <v>7146</v>
      </c>
      <c r="F35" s="3"/>
      <c r="G35">
        <v>0</v>
      </c>
      <c r="H35">
        <v>1</v>
      </c>
      <c r="I35">
        <f t="shared" si="0"/>
        <v>0</v>
      </c>
      <c r="J35">
        <v>10</v>
      </c>
      <c r="K35">
        <v>0</v>
      </c>
      <c r="L35">
        <f t="shared" si="1"/>
        <v>10</v>
      </c>
      <c r="M35" t="s">
        <v>5062</v>
      </c>
    </row>
    <row r="36" spans="1:13" x14ac:dyDescent="0.25">
      <c r="A36" t="s">
        <v>5053</v>
      </c>
      <c r="B36">
        <v>2</v>
      </c>
      <c r="C36">
        <v>38</v>
      </c>
      <c r="D36" t="s">
        <v>4457</v>
      </c>
      <c r="E36">
        <v>7152</v>
      </c>
      <c r="F36" s="3"/>
      <c r="G36">
        <v>0</v>
      </c>
      <c r="H36">
        <v>1</v>
      </c>
      <c r="I36">
        <f t="shared" si="0"/>
        <v>0</v>
      </c>
      <c r="J36">
        <v>15</v>
      </c>
      <c r="K36">
        <v>0</v>
      </c>
      <c r="L36">
        <f t="shared" si="1"/>
        <v>15</v>
      </c>
      <c r="M36" t="s">
        <v>5062</v>
      </c>
    </row>
    <row r="37" spans="1:13" x14ac:dyDescent="0.25">
      <c r="A37" t="s">
        <v>5053</v>
      </c>
      <c r="B37">
        <v>2</v>
      </c>
      <c r="C37">
        <v>39</v>
      </c>
      <c r="D37" t="s">
        <v>4457</v>
      </c>
      <c r="E37">
        <v>1661</v>
      </c>
      <c r="F37" s="3"/>
      <c r="G37">
        <v>0</v>
      </c>
      <c r="H37">
        <v>1</v>
      </c>
      <c r="I37">
        <f t="shared" si="0"/>
        <v>0</v>
      </c>
      <c r="J37">
        <v>2</v>
      </c>
      <c r="K37">
        <v>0</v>
      </c>
      <c r="L37">
        <f t="shared" si="1"/>
        <v>2</v>
      </c>
      <c r="M37" t="s">
        <v>5062</v>
      </c>
    </row>
    <row r="38" spans="1:13" x14ac:dyDescent="0.25">
      <c r="A38" t="s">
        <v>5053</v>
      </c>
      <c r="B38">
        <v>2</v>
      </c>
      <c r="C38">
        <v>39</v>
      </c>
      <c r="D38" t="s">
        <v>4457</v>
      </c>
      <c r="E38">
        <v>1657</v>
      </c>
      <c r="F38" s="3"/>
      <c r="G38">
        <v>0</v>
      </c>
      <c r="H38">
        <v>1</v>
      </c>
      <c r="I38">
        <f t="shared" si="0"/>
        <v>0</v>
      </c>
      <c r="J38">
        <v>1</v>
      </c>
      <c r="K38">
        <v>0</v>
      </c>
      <c r="L38">
        <f t="shared" si="1"/>
        <v>1</v>
      </c>
      <c r="M38" t="s">
        <v>5062</v>
      </c>
    </row>
    <row r="39" spans="1:13" x14ac:dyDescent="0.25">
      <c r="A39" t="s">
        <v>5053</v>
      </c>
      <c r="B39">
        <v>2</v>
      </c>
      <c r="C39">
        <v>39</v>
      </c>
      <c r="D39" t="s">
        <v>4457</v>
      </c>
      <c r="E39">
        <v>7145</v>
      </c>
      <c r="F39" s="3"/>
      <c r="G39">
        <v>0</v>
      </c>
      <c r="H39">
        <v>1</v>
      </c>
      <c r="I39">
        <f t="shared" si="0"/>
        <v>0</v>
      </c>
      <c r="J39">
        <v>9</v>
      </c>
      <c r="K39">
        <v>0</v>
      </c>
      <c r="L39">
        <f t="shared" si="1"/>
        <v>9</v>
      </c>
      <c r="M39" t="s">
        <v>5062</v>
      </c>
    </row>
    <row r="40" spans="1:13" x14ac:dyDescent="0.25">
      <c r="A40" t="s">
        <v>5053</v>
      </c>
      <c r="B40">
        <v>2</v>
      </c>
      <c r="C40">
        <v>39</v>
      </c>
      <c r="D40" t="s">
        <v>4457</v>
      </c>
      <c r="E40">
        <v>7141</v>
      </c>
      <c r="F40" s="3"/>
      <c r="G40">
        <v>0</v>
      </c>
      <c r="H40">
        <v>1</v>
      </c>
      <c r="I40">
        <f t="shared" si="0"/>
        <v>0</v>
      </c>
      <c r="J40">
        <v>6</v>
      </c>
      <c r="K40">
        <v>0</v>
      </c>
      <c r="L40">
        <f t="shared" si="1"/>
        <v>6</v>
      </c>
      <c r="M40" t="s">
        <v>5062</v>
      </c>
    </row>
    <row r="41" spans="1:13" x14ac:dyDescent="0.25">
      <c r="A41" t="s">
        <v>5053</v>
      </c>
      <c r="B41">
        <v>2</v>
      </c>
      <c r="C41">
        <v>40</v>
      </c>
      <c r="D41" t="s">
        <v>4457</v>
      </c>
      <c r="E41">
        <v>7150</v>
      </c>
      <c r="F41" s="3"/>
      <c r="G41">
        <v>0</v>
      </c>
      <c r="H41">
        <v>1</v>
      </c>
      <c r="I41">
        <f t="shared" si="0"/>
        <v>0</v>
      </c>
      <c r="J41">
        <v>45</v>
      </c>
      <c r="K41">
        <v>0</v>
      </c>
      <c r="L41">
        <f t="shared" si="1"/>
        <v>45</v>
      </c>
      <c r="M41" t="s">
        <v>5062</v>
      </c>
    </row>
    <row r="42" spans="1:13" x14ac:dyDescent="0.25">
      <c r="A42" t="s">
        <v>5053</v>
      </c>
      <c r="B42">
        <v>2</v>
      </c>
      <c r="C42">
        <v>40</v>
      </c>
      <c r="D42" t="s">
        <v>4457</v>
      </c>
      <c r="E42">
        <v>7149</v>
      </c>
      <c r="F42" s="3"/>
      <c r="G42">
        <v>0</v>
      </c>
      <c r="H42">
        <v>1</v>
      </c>
      <c r="I42">
        <f t="shared" si="0"/>
        <v>0</v>
      </c>
      <c r="J42">
        <v>17</v>
      </c>
      <c r="K42">
        <v>0</v>
      </c>
      <c r="L42">
        <f t="shared" si="1"/>
        <v>17</v>
      </c>
      <c r="M42" t="s">
        <v>5062</v>
      </c>
    </row>
    <row r="43" spans="1:13" x14ac:dyDescent="0.25">
      <c r="A43" t="s">
        <v>5053</v>
      </c>
      <c r="B43">
        <v>2</v>
      </c>
      <c r="C43">
        <v>40</v>
      </c>
      <c r="D43" t="s">
        <v>4457</v>
      </c>
      <c r="E43">
        <v>1656</v>
      </c>
      <c r="F43" s="3"/>
      <c r="G43">
        <v>0</v>
      </c>
      <c r="H43">
        <v>1</v>
      </c>
      <c r="I43">
        <f t="shared" si="0"/>
        <v>0</v>
      </c>
      <c r="J43">
        <v>8</v>
      </c>
      <c r="K43">
        <v>0</v>
      </c>
      <c r="L43">
        <f t="shared" si="1"/>
        <v>8</v>
      </c>
      <c r="M43" t="s">
        <v>5062</v>
      </c>
    </row>
    <row r="44" spans="1:13" x14ac:dyDescent="0.25">
      <c r="A44" t="s">
        <v>5053</v>
      </c>
      <c r="B44">
        <v>2</v>
      </c>
      <c r="C44">
        <v>41</v>
      </c>
      <c r="D44" t="s">
        <v>4457</v>
      </c>
      <c r="E44">
        <v>3314</v>
      </c>
      <c r="F44" s="3"/>
      <c r="G44">
        <v>0</v>
      </c>
      <c r="H44">
        <v>1</v>
      </c>
      <c r="I44">
        <f t="shared" si="0"/>
        <v>0</v>
      </c>
      <c r="J44">
        <v>3</v>
      </c>
      <c r="K44">
        <v>0</v>
      </c>
      <c r="L44">
        <f t="shared" si="1"/>
        <v>3</v>
      </c>
      <c r="M44" t="s">
        <v>5062</v>
      </c>
    </row>
    <row r="45" spans="1:13" x14ac:dyDescent="0.25">
      <c r="A45" t="s">
        <v>5053</v>
      </c>
      <c r="B45">
        <v>2</v>
      </c>
      <c r="C45">
        <v>41</v>
      </c>
      <c r="D45" t="s">
        <v>4457</v>
      </c>
      <c r="E45">
        <v>1993</v>
      </c>
      <c r="F45" s="3"/>
      <c r="G45">
        <v>0</v>
      </c>
      <c r="H45">
        <v>1</v>
      </c>
      <c r="I45">
        <f t="shared" si="0"/>
        <v>0</v>
      </c>
      <c r="J45">
        <v>6</v>
      </c>
      <c r="K45">
        <v>0</v>
      </c>
      <c r="L45">
        <f t="shared" si="1"/>
        <v>6</v>
      </c>
      <c r="M45" t="s">
        <v>5062</v>
      </c>
    </row>
    <row r="46" spans="1:13" x14ac:dyDescent="0.25">
      <c r="A46" t="s">
        <v>5053</v>
      </c>
      <c r="B46">
        <v>2</v>
      </c>
      <c r="C46">
        <v>41</v>
      </c>
      <c r="D46" t="s">
        <v>4457</v>
      </c>
      <c r="E46">
        <v>1992</v>
      </c>
      <c r="F46" s="3"/>
      <c r="G46">
        <v>0</v>
      </c>
      <c r="H46">
        <v>1</v>
      </c>
      <c r="I46">
        <f t="shared" si="0"/>
        <v>0</v>
      </c>
      <c r="J46">
        <v>5</v>
      </c>
      <c r="K46">
        <v>0</v>
      </c>
      <c r="L46">
        <f t="shared" si="1"/>
        <v>5</v>
      </c>
      <c r="M46" t="s">
        <v>5062</v>
      </c>
    </row>
    <row r="47" spans="1:13" x14ac:dyDescent="0.25">
      <c r="A47" t="s">
        <v>5053</v>
      </c>
      <c r="B47">
        <v>2</v>
      </c>
      <c r="C47">
        <v>42</v>
      </c>
      <c r="D47" t="s">
        <v>4457</v>
      </c>
      <c r="E47">
        <v>7157</v>
      </c>
      <c r="F47" s="3"/>
      <c r="G47">
        <v>0</v>
      </c>
      <c r="H47">
        <v>1</v>
      </c>
      <c r="I47">
        <f t="shared" si="0"/>
        <v>0</v>
      </c>
      <c r="J47">
        <v>12</v>
      </c>
      <c r="K47">
        <v>0</v>
      </c>
      <c r="L47">
        <f t="shared" si="1"/>
        <v>12</v>
      </c>
      <c r="M47" t="s">
        <v>5062</v>
      </c>
    </row>
    <row r="48" spans="1:13" x14ac:dyDescent="0.25">
      <c r="A48" t="s">
        <v>5053</v>
      </c>
      <c r="B48">
        <v>2</v>
      </c>
      <c r="C48">
        <v>42</v>
      </c>
      <c r="D48" t="s">
        <v>4457</v>
      </c>
      <c r="E48">
        <v>1991</v>
      </c>
      <c r="F48" s="3"/>
      <c r="G48">
        <v>0</v>
      </c>
      <c r="H48">
        <v>1</v>
      </c>
      <c r="I48">
        <f t="shared" si="0"/>
        <v>0</v>
      </c>
      <c r="J48">
        <v>4</v>
      </c>
      <c r="K48">
        <v>0</v>
      </c>
      <c r="L48">
        <f t="shared" si="1"/>
        <v>4</v>
      </c>
      <c r="M48" t="s">
        <v>5062</v>
      </c>
    </row>
    <row r="49" spans="1:15" x14ac:dyDescent="0.25">
      <c r="A49" t="s">
        <v>5053</v>
      </c>
      <c r="B49">
        <v>2</v>
      </c>
      <c r="C49">
        <v>42</v>
      </c>
      <c r="D49" t="s">
        <v>4451</v>
      </c>
      <c r="E49">
        <v>3494</v>
      </c>
      <c r="F49" s="3"/>
      <c r="G49">
        <v>0</v>
      </c>
      <c r="H49">
        <v>1</v>
      </c>
      <c r="I49">
        <f t="shared" si="0"/>
        <v>0</v>
      </c>
      <c r="J49">
        <v>32</v>
      </c>
      <c r="K49">
        <v>0</v>
      </c>
      <c r="L49">
        <f t="shared" si="1"/>
        <v>32</v>
      </c>
      <c r="M49" t="s">
        <v>5062</v>
      </c>
    </row>
    <row r="50" spans="1:15" x14ac:dyDescent="0.25">
      <c r="A50" t="s">
        <v>5053</v>
      </c>
      <c r="B50">
        <v>2</v>
      </c>
      <c r="C50">
        <v>42</v>
      </c>
      <c r="D50" t="s">
        <v>4451</v>
      </c>
      <c r="E50">
        <v>3492</v>
      </c>
      <c r="F50" s="3"/>
      <c r="G50">
        <v>8</v>
      </c>
      <c r="H50">
        <v>50</v>
      </c>
      <c r="I50">
        <f t="shared" si="0"/>
        <v>400</v>
      </c>
      <c r="J50">
        <v>0</v>
      </c>
      <c r="K50">
        <v>0</v>
      </c>
      <c r="L50">
        <f t="shared" ref="L50:L51" si="2">I50+J50+K50</f>
        <v>400</v>
      </c>
      <c r="M50" t="s">
        <v>5062</v>
      </c>
    </row>
    <row r="51" spans="1:15" x14ac:dyDescent="0.25">
      <c r="A51" t="s">
        <v>5053</v>
      </c>
      <c r="B51">
        <v>2</v>
      </c>
      <c r="C51">
        <v>42</v>
      </c>
      <c r="D51" t="s">
        <v>4451</v>
      </c>
      <c r="E51">
        <v>3500</v>
      </c>
      <c r="F51" s="3"/>
      <c r="G51">
        <v>0</v>
      </c>
      <c r="H51">
        <v>1</v>
      </c>
      <c r="I51">
        <f t="shared" ref="I51:I67" si="3">G51*H51</f>
        <v>0</v>
      </c>
      <c r="J51">
        <v>0</v>
      </c>
      <c r="K51">
        <v>0</v>
      </c>
      <c r="L51">
        <f t="shared" si="2"/>
        <v>0</v>
      </c>
      <c r="M51" t="s">
        <v>5064</v>
      </c>
    </row>
    <row r="52" spans="1:15" x14ac:dyDescent="0.25">
      <c r="A52" t="s">
        <v>5053</v>
      </c>
      <c r="B52">
        <v>2</v>
      </c>
      <c r="C52">
        <v>42</v>
      </c>
      <c r="D52" t="s">
        <v>4451</v>
      </c>
      <c r="E52">
        <v>3498</v>
      </c>
      <c r="F52" s="3"/>
      <c r="G52">
        <v>1</v>
      </c>
      <c r="H52">
        <v>100</v>
      </c>
      <c r="I52">
        <f t="shared" si="3"/>
        <v>100</v>
      </c>
      <c r="J52">
        <v>80</v>
      </c>
      <c r="K52">
        <v>0</v>
      </c>
      <c r="L52">
        <f t="shared" ref="L52:L54" si="4">I52+J52+K52</f>
        <v>180</v>
      </c>
      <c r="M52" t="s">
        <v>5062</v>
      </c>
    </row>
    <row r="53" spans="1:15" x14ac:dyDescent="0.25">
      <c r="A53" t="s">
        <v>5053</v>
      </c>
      <c r="B53">
        <v>2</v>
      </c>
      <c r="C53">
        <v>42</v>
      </c>
      <c r="D53" t="s">
        <v>4451</v>
      </c>
      <c r="E53">
        <v>3504</v>
      </c>
      <c r="F53" s="3"/>
      <c r="G53">
        <v>60</v>
      </c>
      <c r="H53">
        <v>1</v>
      </c>
      <c r="I53">
        <f t="shared" si="3"/>
        <v>60</v>
      </c>
      <c r="J53">
        <v>7</v>
      </c>
      <c r="K53">
        <v>0</v>
      </c>
      <c r="L53">
        <f t="shared" si="4"/>
        <v>67</v>
      </c>
      <c r="M53" t="s">
        <v>5064</v>
      </c>
      <c r="N53">
        <v>60</v>
      </c>
      <c r="O53">
        <v>7</v>
      </c>
    </row>
    <row r="54" spans="1:15" x14ac:dyDescent="0.25">
      <c r="A54" t="s">
        <v>5053</v>
      </c>
      <c r="B54">
        <v>2</v>
      </c>
      <c r="C54">
        <v>42</v>
      </c>
      <c r="D54" t="s">
        <v>4451</v>
      </c>
      <c r="E54">
        <v>3487</v>
      </c>
      <c r="F54" s="3"/>
      <c r="G54">
        <v>2</v>
      </c>
      <c r="H54">
        <v>50</v>
      </c>
      <c r="I54">
        <f t="shared" si="3"/>
        <v>100</v>
      </c>
      <c r="J54">
        <v>47</v>
      </c>
      <c r="K54">
        <v>0</v>
      </c>
      <c r="L54">
        <f t="shared" si="4"/>
        <v>147</v>
      </c>
      <c r="M54" t="s">
        <v>5062</v>
      </c>
    </row>
    <row r="55" spans="1:15" x14ac:dyDescent="0.25">
      <c r="A55" t="s">
        <v>5053</v>
      </c>
      <c r="B55">
        <v>2</v>
      </c>
      <c r="C55">
        <v>42</v>
      </c>
      <c r="D55" t="s">
        <v>4451</v>
      </c>
      <c r="E55">
        <v>3505</v>
      </c>
      <c r="F55" s="3"/>
      <c r="G55">
        <v>3</v>
      </c>
      <c r="H55">
        <v>20</v>
      </c>
      <c r="I55">
        <f t="shared" si="3"/>
        <v>60</v>
      </c>
      <c r="J55">
        <v>0</v>
      </c>
      <c r="K55">
        <v>0</v>
      </c>
      <c r="L55">
        <f t="shared" ref="L55:L56" si="5">I55+J55+K55</f>
        <v>60</v>
      </c>
      <c r="M55" t="s">
        <v>5062</v>
      </c>
    </row>
    <row r="56" spans="1:15" x14ac:dyDescent="0.25">
      <c r="A56" t="s">
        <v>5053</v>
      </c>
      <c r="B56">
        <v>2</v>
      </c>
      <c r="C56">
        <v>42</v>
      </c>
      <c r="D56" t="s">
        <v>4451</v>
      </c>
      <c r="E56">
        <v>3508</v>
      </c>
      <c r="F56" s="3"/>
      <c r="G56">
        <v>3</v>
      </c>
      <c r="H56">
        <v>20</v>
      </c>
      <c r="I56">
        <f t="shared" si="3"/>
        <v>60</v>
      </c>
      <c r="J56">
        <v>0</v>
      </c>
      <c r="K56">
        <v>0</v>
      </c>
      <c r="L56">
        <f t="shared" si="5"/>
        <v>60</v>
      </c>
      <c r="M56" t="s">
        <v>5062</v>
      </c>
    </row>
    <row r="57" spans="1:15" x14ac:dyDescent="0.25">
      <c r="A57" t="s">
        <v>5053</v>
      </c>
      <c r="B57">
        <v>2</v>
      </c>
      <c r="C57">
        <v>42</v>
      </c>
      <c r="D57" t="s">
        <v>4451</v>
      </c>
      <c r="E57">
        <v>3493</v>
      </c>
      <c r="F57" s="3"/>
      <c r="G57">
        <v>1</v>
      </c>
      <c r="H57">
        <v>20</v>
      </c>
      <c r="I57">
        <f t="shared" si="3"/>
        <v>20</v>
      </c>
      <c r="J57">
        <v>17</v>
      </c>
      <c r="K57">
        <v>0</v>
      </c>
      <c r="L57">
        <f t="shared" ref="L57:L72" si="6">I57+J57+K57</f>
        <v>37</v>
      </c>
      <c r="M57" t="s">
        <v>5062</v>
      </c>
    </row>
    <row r="58" spans="1:15" x14ac:dyDescent="0.25">
      <c r="A58" t="s">
        <v>5053</v>
      </c>
      <c r="B58">
        <v>2</v>
      </c>
      <c r="C58">
        <v>42</v>
      </c>
      <c r="D58" t="s">
        <v>4451</v>
      </c>
      <c r="E58">
        <v>3504</v>
      </c>
      <c r="F58" s="3"/>
      <c r="G58">
        <v>1</v>
      </c>
      <c r="H58">
        <v>20</v>
      </c>
      <c r="I58">
        <f t="shared" si="3"/>
        <v>20</v>
      </c>
      <c r="J58">
        <v>0</v>
      </c>
      <c r="K58">
        <v>0</v>
      </c>
      <c r="L58">
        <f t="shared" si="6"/>
        <v>20</v>
      </c>
      <c r="M58" t="s">
        <v>5062</v>
      </c>
    </row>
    <row r="59" spans="1:15" x14ac:dyDescent="0.25">
      <c r="A59" t="s">
        <v>5053</v>
      </c>
      <c r="B59">
        <v>2</v>
      </c>
      <c r="C59">
        <v>42</v>
      </c>
      <c r="D59" t="s">
        <v>4451</v>
      </c>
      <c r="E59">
        <v>3502</v>
      </c>
      <c r="F59" s="3"/>
      <c r="G59">
        <v>1</v>
      </c>
      <c r="H59">
        <v>50</v>
      </c>
      <c r="I59">
        <f t="shared" si="3"/>
        <v>50</v>
      </c>
      <c r="J59">
        <v>0</v>
      </c>
      <c r="K59">
        <v>0</v>
      </c>
      <c r="L59">
        <f t="shared" si="6"/>
        <v>50</v>
      </c>
      <c r="M59" t="s">
        <v>5062</v>
      </c>
    </row>
    <row r="60" spans="1:15" x14ac:dyDescent="0.25">
      <c r="A60" t="s">
        <v>5053</v>
      </c>
      <c r="B60">
        <v>2</v>
      </c>
      <c r="C60">
        <v>42</v>
      </c>
      <c r="D60" t="s">
        <v>4451</v>
      </c>
      <c r="E60">
        <v>3503</v>
      </c>
      <c r="F60" s="3"/>
      <c r="G60">
        <v>0</v>
      </c>
      <c r="H60">
        <v>1</v>
      </c>
      <c r="I60">
        <f t="shared" si="3"/>
        <v>0</v>
      </c>
      <c r="J60">
        <v>43</v>
      </c>
      <c r="K60">
        <v>0</v>
      </c>
      <c r="L60">
        <f t="shared" si="6"/>
        <v>43</v>
      </c>
      <c r="M60" t="s">
        <v>5062</v>
      </c>
    </row>
    <row r="61" spans="1:15" x14ac:dyDescent="0.25">
      <c r="A61" t="s">
        <v>5053</v>
      </c>
      <c r="B61">
        <v>2</v>
      </c>
      <c r="C61">
        <v>42</v>
      </c>
      <c r="D61" t="s">
        <v>4451</v>
      </c>
      <c r="E61">
        <v>3506</v>
      </c>
      <c r="F61" s="3"/>
      <c r="G61">
        <v>2</v>
      </c>
      <c r="H61">
        <v>50</v>
      </c>
      <c r="I61">
        <f t="shared" si="3"/>
        <v>100</v>
      </c>
      <c r="J61">
        <v>0</v>
      </c>
      <c r="K61">
        <v>0</v>
      </c>
      <c r="L61">
        <f t="shared" si="6"/>
        <v>100</v>
      </c>
      <c r="M61" t="s">
        <v>5062</v>
      </c>
    </row>
    <row r="62" spans="1:15" x14ac:dyDescent="0.25">
      <c r="A62" t="s">
        <v>5053</v>
      </c>
      <c r="B62">
        <v>2</v>
      </c>
      <c r="C62">
        <v>42</v>
      </c>
      <c r="D62" t="s">
        <v>4451</v>
      </c>
      <c r="E62">
        <v>3507</v>
      </c>
      <c r="F62" s="3"/>
      <c r="G62">
        <v>1</v>
      </c>
      <c r="H62">
        <v>50</v>
      </c>
      <c r="I62">
        <f t="shared" si="3"/>
        <v>50</v>
      </c>
      <c r="J62">
        <v>0</v>
      </c>
      <c r="K62">
        <v>0</v>
      </c>
      <c r="L62">
        <f t="shared" si="6"/>
        <v>50</v>
      </c>
      <c r="M62" t="s">
        <v>5062</v>
      </c>
    </row>
    <row r="63" spans="1:15" x14ac:dyDescent="0.25">
      <c r="A63" t="s">
        <v>5053</v>
      </c>
      <c r="B63">
        <v>2</v>
      </c>
      <c r="C63">
        <v>42</v>
      </c>
      <c r="D63" t="s">
        <v>4451</v>
      </c>
      <c r="E63">
        <v>3501</v>
      </c>
      <c r="F63" s="3"/>
      <c r="G63">
        <v>1</v>
      </c>
      <c r="H63">
        <v>50</v>
      </c>
      <c r="I63">
        <f t="shared" si="3"/>
        <v>50</v>
      </c>
      <c r="J63">
        <v>0</v>
      </c>
      <c r="K63">
        <v>0</v>
      </c>
      <c r="L63">
        <f t="shared" si="6"/>
        <v>50</v>
      </c>
      <c r="M63" t="s">
        <v>5062</v>
      </c>
    </row>
    <row r="64" spans="1:15" x14ac:dyDescent="0.25">
      <c r="A64" t="s">
        <v>5053</v>
      </c>
      <c r="B64">
        <v>2</v>
      </c>
      <c r="C64">
        <v>42</v>
      </c>
      <c r="D64" t="s">
        <v>4451</v>
      </c>
      <c r="E64">
        <v>3495</v>
      </c>
      <c r="F64" s="3"/>
      <c r="G64">
        <v>0</v>
      </c>
      <c r="H64">
        <v>1</v>
      </c>
      <c r="I64">
        <f t="shared" ref="I64" si="7">G64*H64</f>
        <v>0</v>
      </c>
      <c r="J64">
        <v>47</v>
      </c>
      <c r="K64">
        <v>0</v>
      </c>
      <c r="L64">
        <f t="shared" si="6"/>
        <v>47</v>
      </c>
      <c r="M64" t="s">
        <v>5062</v>
      </c>
    </row>
    <row r="65" spans="1:14" x14ac:dyDescent="0.25">
      <c r="A65" t="s">
        <v>5053</v>
      </c>
      <c r="B65">
        <v>2</v>
      </c>
      <c r="C65">
        <v>42</v>
      </c>
      <c r="D65" t="s">
        <v>4451</v>
      </c>
      <c r="E65">
        <v>3496</v>
      </c>
      <c r="F65" s="3"/>
      <c r="G65">
        <v>1</v>
      </c>
      <c r="H65">
        <v>75</v>
      </c>
      <c r="I65">
        <f t="shared" si="3"/>
        <v>75</v>
      </c>
      <c r="J65">
        <v>0</v>
      </c>
      <c r="K65">
        <v>0</v>
      </c>
      <c r="L65">
        <f t="shared" si="6"/>
        <v>75</v>
      </c>
      <c r="M65" t="s">
        <v>5062</v>
      </c>
    </row>
    <row r="66" spans="1:14" x14ac:dyDescent="0.25">
      <c r="A66" t="s">
        <v>5053</v>
      </c>
      <c r="B66">
        <v>2</v>
      </c>
      <c r="C66">
        <v>42</v>
      </c>
      <c r="D66" t="s">
        <v>4451</v>
      </c>
      <c r="E66">
        <v>1510</v>
      </c>
      <c r="F66" s="3"/>
      <c r="G66">
        <v>0</v>
      </c>
      <c r="H66">
        <v>1</v>
      </c>
      <c r="I66">
        <f t="shared" si="3"/>
        <v>0</v>
      </c>
      <c r="J66">
        <v>2</v>
      </c>
      <c r="K66">
        <v>0</v>
      </c>
      <c r="L66">
        <f t="shared" si="6"/>
        <v>2</v>
      </c>
      <c r="M66" t="s">
        <v>5062</v>
      </c>
    </row>
    <row r="67" spans="1:14" x14ac:dyDescent="0.25">
      <c r="A67" t="s">
        <v>5053</v>
      </c>
      <c r="B67">
        <v>2</v>
      </c>
      <c r="C67">
        <v>42</v>
      </c>
      <c r="D67" t="s">
        <v>4451</v>
      </c>
      <c r="E67">
        <v>3487</v>
      </c>
      <c r="F67" s="3"/>
      <c r="G67">
        <v>2</v>
      </c>
      <c r="H67">
        <v>50</v>
      </c>
      <c r="I67">
        <f t="shared" si="3"/>
        <v>100</v>
      </c>
      <c r="J67">
        <v>47</v>
      </c>
      <c r="K67">
        <v>0</v>
      </c>
      <c r="L67">
        <f t="shared" si="6"/>
        <v>147</v>
      </c>
      <c r="M67" t="s">
        <v>5064</v>
      </c>
    </row>
    <row r="68" spans="1:14" x14ac:dyDescent="0.25">
      <c r="A68" t="s">
        <v>5053</v>
      </c>
      <c r="B68">
        <v>2</v>
      </c>
      <c r="C68">
        <v>42</v>
      </c>
      <c r="D68" t="s">
        <v>4451</v>
      </c>
      <c r="E68">
        <v>3487</v>
      </c>
      <c r="F68" s="3"/>
      <c r="G68">
        <v>7</v>
      </c>
      <c r="H68">
        <v>50</v>
      </c>
      <c r="I68">
        <f t="shared" ref="I68" si="8">G68*H68</f>
        <v>350</v>
      </c>
      <c r="J68">
        <v>0</v>
      </c>
      <c r="K68">
        <v>0</v>
      </c>
      <c r="L68">
        <f t="shared" ref="L68" si="9">I68+J68+K68</f>
        <v>350</v>
      </c>
      <c r="M68" t="s">
        <v>5064</v>
      </c>
    </row>
    <row r="69" spans="1:14" x14ac:dyDescent="0.25">
      <c r="A69" t="s">
        <v>5053</v>
      </c>
      <c r="B69">
        <v>2</v>
      </c>
      <c r="C69">
        <v>42</v>
      </c>
      <c r="D69" t="s">
        <v>4451</v>
      </c>
      <c r="E69">
        <v>3492</v>
      </c>
      <c r="F69" s="3"/>
      <c r="G69">
        <v>0</v>
      </c>
      <c r="H69">
        <v>1</v>
      </c>
      <c r="I69">
        <f t="shared" ref="I69:I72" si="10">G69*H69</f>
        <v>0</v>
      </c>
      <c r="J69">
        <v>12</v>
      </c>
      <c r="K69">
        <v>0</v>
      </c>
      <c r="L69">
        <f t="shared" si="6"/>
        <v>12</v>
      </c>
      <c r="M69" t="s">
        <v>5062</v>
      </c>
    </row>
    <row r="70" spans="1:14" x14ac:dyDescent="0.25">
      <c r="A70" t="s">
        <v>5053</v>
      </c>
      <c r="B70">
        <v>2</v>
      </c>
      <c r="C70">
        <v>42</v>
      </c>
      <c r="D70" t="s">
        <v>4451</v>
      </c>
      <c r="E70" s="6" t="s">
        <v>4541</v>
      </c>
      <c r="F70" s="3"/>
      <c r="G70">
        <v>0</v>
      </c>
      <c r="H70">
        <v>1</v>
      </c>
      <c r="I70">
        <f t="shared" si="10"/>
        <v>0</v>
      </c>
      <c r="J70">
        <v>23</v>
      </c>
      <c r="K70">
        <v>0</v>
      </c>
      <c r="L70">
        <f t="shared" si="6"/>
        <v>23</v>
      </c>
      <c r="M70" t="s">
        <v>5062</v>
      </c>
    </row>
    <row r="71" spans="1:14" x14ac:dyDescent="0.25">
      <c r="A71" t="s">
        <v>5053</v>
      </c>
      <c r="B71">
        <v>2</v>
      </c>
      <c r="C71">
        <v>25</v>
      </c>
      <c r="D71" t="s">
        <v>4835</v>
      </c>
      <c r="E71">
        <v>7043</v>
      </c>
      <c r="F71" s="3"/>
      <c r="G71">
        <v>0</v>
      </c>
      <c r="H71">
        <v>1</v>
      </c>
      <c r="I71">
        <f t="shared" si="10"/>
        <v>0</v>
      </c>
      <c r="J71">
        <v>95</v>
      </c>
      <c r="K71">
        <v>0</v>
      </c>
      <c r="L71">
        <f t="shared" si="6"/>
        <v>95</v>
      </c>
      <c r="M71" t="s">
        <v>5062</v>
      </c>
    </row>
    <row r="72" spans="1:14" x14ac:dyDescent="0.25">
      <c r="A72" t="s">
        <v>5053</v>
      </c>
      <c r="B72">
        <v>2</v>
      </c>
      <c r="C72">
        <v>25</v>
      </c>
      <c r="D72" t="s">
        <v>4835</v>
      </c>
      <c r="E72">
        <v>7018</v>
      </c>
      <c r="F72" s="3"/>
      <c r="G72" s="8">
        <v>12</v>
      </c>
      <c r="H72">
        <v>6</v>
      </c>
      <c r="I72">
        <f t="shared" si="10"/>
        <v>72</v>
      </c>
      <c r="J72">
        <v>1</v>
      </c>
      <c r="K72">
        <v>0</v>
      </c>
      <c r="L72">
        <f t="shared" si="6"/>
        <v>73</v>
      </c>
      <c r="M72" t="s">
        <v>5064</v>
      </c>
      <c r="N72" s="8" t="s">
        <v>4836</v>
      </c>
    </row>
    <row r="73" spans="1:14" x14ac:dyDescent="0.25">
      <c r="A73" t="s">
        <v>5053</v>
      </c>
      <c r="B73">
        <v>2</v>
      </c>
      <c r="C73">
        <v>25</v>
      </c>
      <c r="D73" t="s">
        <v>4835</v>
      </c>
      <c r="E73">
        <v>1959</v>
      </c>
      <c r="F73" s="3"/>
      <c r="G73">
        <v>0</v>
      </c>
      <c r="H73">
        <v>1</v>
      </c>
      <c r="I73">
        <f t="shared" ref="I73:I80" si="11">G73*H73</f>
        <v>0</v>
      </c>
      <c r="J73">
        <v>8</v>
      </c>
      <c r="K73">
        <v>0</v>
      </c>
      <c r="L73">
        <f t="shared" ref="L73:L78" si="12">I73+J73+K73</f>
        <v>8</v>
      </c>
      <c r="M73" t="s">
        <v>5062</v>
      </c>
    </row>
    <row r="74" spans="1:14" x14ac:dyDescent="0.25">
      <c r="A74" t="s">
        <v>5053</v>
      </c>
      <c r="B74">
        <v>2</v>
      </c>
      <c r="C74">
        <v>25</v>
      </c>
      <c r="D74" t="s">
        <v>4835</v>
      </c>
      <c r="E74">
        <v>1968</v>
      </c>
      <c r="F74" s="3"/>
      <c r="G74">
        <v>0</v>
      </c>
      <c r="H74">
        <v>1</v>
      </c>
      <c r="I74">
        <f t="shared" si="11"/>
        <v>0</v>
      </c>
      <c r="J74">
        <v>7</v>
      </c>
      <c r="K74">
        <v>0</v>
      </c>
      <c r="L74">
        <f t="shared" si="12"/>
        <v>7</v>
      </c>
      <c r="M74" t="s">
        <v>5062</v>
      </c>
    </row>
    <row r="75" spans="1:14" x14ac:dyDescent="0.25">
      <c r="A75" t="s">
        <v>5053</v>
      </c>
      <c r="B75">
        <v>2</v>
      </c>
      <c r="C75">
        <v>25</v>
      </c>
      <c r="D75" t="s">
        <v>4835</v>
      </c>
      <c r="E75">
        <v>1969</v>
      </c>
      <c r="F75" s="3"/>
      <c r="G75">
        <v>0</v>
      </c>
      <c r="H75">
        <v>1</v>
      </c>
      <c r="I75">
        <f t="shared" si="11"/>
        <v>0</v>
      </c>
      <c r="J75">
        <v>2</v>
      </c>
      <c r="K75">
        <v>0</v>
      </c>
      <c r="L75">
        <f t="shared" si="12"/>
        <v>2</v>
      </c>
      <c r="M75" t="s">
        <v>5062</v>
      </c>
    </row>
    <row r="76" spans="1:14" x14ac:dyDescent="0.25">
      <c r="A76" t="s">
        <v>5053</v>
      </c>
      <c r="B76">
        <v>2</v>
      </c>
      <c r="C76">
        <v>25</v>
      </c>
      <c r="D76" t="s">
        <v>4835</v>
      </c>
      <c r="E76">
        <v>1970</v>
      </c>
      <c r="F76" s="3"/>
      <c r="G76">
        <v>0</v>
      </c>
      <c r="H76">
        <v>1</v>
      </c>
      <c r="I76">
        <f t="shared" si="11"/>
        <v>0</v>
      </c>
      <c r="J76">
        <v>5</v>
      </c>
      <c r="K76">
        <v>0</v>
      </c>
      <c r="L76">
        <f t="shared" si="12"/>
        <v>5</v>
      </c>
      <c r="M76" t="s">
        <v>5062</v>
      </c>
    </row>
    <row r="77" spans="1:14" x14ac:dyDescent="0.25">
      <c r="A77" t="s">
        <v>5053</v>
      </c>
      <c r="B77">
        <v>2</v>
      </c>
      <c r="C77">
        <v>25</v>
      </c>
      <c r="D77" t="s">
        <v>4835</v>
      </c>
      <c r="E77">
        <v>1971</v>
      </c>
      <c r="F77" s="3"/>
      <c r="G77">
        <v>0</v>
      </c>
      <c r="H77">
        <v>1</v>
      </c>
      <c r="I77">
        <f t="shared" si="11"/>
        <v>0</v>
      </c>
      <c r="J77">
        <v>3</v>
      </c>
      <c r="K77">
        <v>0</v>
      </c>
      <c r="L77">
        <f t="shared" si="12"/>
        <v>3</v>
      </c>
      <c r="M77" t="s">
        <v>5062</v>
      </c>
    </row>
    <row r="78" spans="1:14" x14ac:dyDescent="0.25">
      <c r="A78" t="s">
        <v>5053</v>
      </c>
      <c r="B78">
        <v>2</v>
      </c>
      <c r="C78">
        <v>25</v>
      </c>
      <c r="D78" t="s">
        <v>4835</v>
      </c>
      <c r="E78">
        <v>1972</v>
      </c>
      <c r="F78" s="3"/>
      <c r="G78">
        <v>0</v>
      </c>
      <c r="H78">
        <v>1</v>
      </c>
      <c r="I78">
        <f t="shared" si="11"/>
        <v>0</v>
      </c>
      <c r="J78">
        <v>3</v>
      </c>
      <c r="K78">
        <v>0</v>
      </c>
      <c r="L78">
        <f t="shared" si="12"/>
        <v>3</v>
      </c>
      <c r="M78" t="s">
        <v>5062</v>
      </c>
    </row>
    <row r="79" spans="1:14" x14ac:dyDescent="0.25">
      <c r="A79" t="s">
        <v>5053</v>
      </c>
      <c r="B79">
        <v>2</v>
      </c>
      <c r="C79">
        <v>26</v>
      </c>
      <c r="D79" t="s">
        <v>4835</v>
      </c>
      <c r="E79" s="6">
        <v>7000</v>
      </c>
      <c r="F79" s="3"/>
      <c r="G79" s="8">
        <v>46</v>
      </c>
      <c r="H79">
        <v>3</v>
      </c>
      <c r="I79">
        <f t="shared" si="11"/>
        <v>138</v>
      </c>
      <c r="J79">
        <v>0</v>
      </c>
      <c r="K79">
        <v>0</v>
      </c>
      <c r="L79">
        <f t="shared" ref="L79" si="13">I79+J79+K79</f>
        <v>138</v>
      </c>
      <c r="M79" t="s">
        <v>5064</v>
      </c>
      <c r="N79" s="8" t="s">
        <v>4837</v>
      </c>
    </row>
    <row r="80" spans="1:14" x14ac:dyDescent="0.25">
      <c r="A80" t="s">
        <v>5053</v>
      </c>
      <c r="B80">
        <v>2</v>
      </c>
      <c r="C80">
        <v>26</v>
      </c>
      <c r="D80" t="s">
        <v>4835</v>
      </c>
      <c r="E80" s="6">
        <v>7001</v>
      </c>
      <c r="F80" s="3"/>
      <c r="G80" s="8">
        <v>25</v>
      </c>
      <c r="H80">
        <v>3</v>
      </c>
      <c r="I80">
        <f t="shared" si="11"/>
        <v>75</v>
      </c>
      <c r="J80">
        <v>2</v>
      </c>
      <c r="K80">
        <v>0</v>
      </c>
      <c r="L80">
        <f t="shared" ref="L80" si="14">I80+J80+K80</f>
        <v>77</v>
      </c>
      <c r="M80" t="s">
        <v>5064</v>
      </c>
      <c r="N80" s="8" t="s">
        <v>4838</v>
      </c>
    </row>
    <row r="81" spans="1:15" x14ac:dyDescent="0.25">
      <c r="A81" t="s">
        <v>5053</v>
      </c>
      <c r="B81">
        <v>2</v>
      </c>
      <c r="C81">
        <v>26</v>
      </c>
      <c r="D81" t="s">
        <v>4835</v>
      </c>
      <c r="E81" s="6">
        <v>7004</v>
      </c>
      <c r="F81" s="3"/>
      <c r="G81">
        <v>7</v>
      </c>
      <c r="H81">
        <v>3</v>
      </c>
      <c r="I81">
        <f t="shared" ref="I81:I91" si="15">G81*H81</f>
        <v>21</v>
      </c>
      <c r="J81">
        <v>1</v>
      </c>
      <c r="K81">
        <v>0</v>
      </c>
      <c r="L81">
        <f t="shared" ref="L81:L91" si="16">I81+J81+K81</f>
        <v>22</v>
      </c>
      <c r="M81" t="s">
        <v>5062</v>
      </c>
    </row>
    <row r="82" spans="1:15" x14ac:dyDescent="0.25">
      <c r="A82" t="s">
        <v>5053</v>
      </c>
      <c r="B82">
        <v>2</v>
      </c>
      <c r="C82">
        <v>26</v>
      </c>
      <c r="D82" t="s">
        <v>4835</v>
      </c>
      <c r="E82" s="6">
        <v>7063</v>
      </c>
      <c r="F82" s="3"/>
      <c r="G82">
        <v>9</v>
      </c>
      <c r="H82">
        <v>12</v>
      </c>
      <c r="I82">
        <f t="shared" si="15"/>
        <v>108</v>
      </c>
      <c r="J82">
        <v>3</v>
      </c>
      <c r="K82">
        <v>0</v>
      </c>
      <c r="L82">
        <f t="shared" si="16"/>
        <v>111</v>
      </c>
      <c r="M82" t="s">
        <v>5062</v>
      </c>
    </row>
    <row r="83" spans="1:15" x14ac:dyDescent="0.25">
      <c r="A83" t="s">
        <v>5053</v>
      </c>
      <c r="B83">
        <v>2</v>
      </c>
      <c r="C83">
        <v>26</v>
      </c>
      <c r="D83" t="s">
        <v>4835</v>
      </c>
      <c r="E83" s="6">
        <v>7062</v>
      </c>
      <c r="F83" s="3"/>
      <c r="G83">
        <v>6</v>
      </c>
      <c r="H83">
        <v>12</v>
      </c>
      <c r="I83">
        <f t="shared" si="15"/>
        <v>72</v>
      </c>
      <c r="J83">
        <v>7</v>
      </c>
      <c r="K83">
        <v>0</v>
      </c>
      <c r="L83">
        <f t="shared" si="16"/>
        <v>79</v>
      </c>
      <c r="M83" t="s">
        <v>5062</v>
      </c>
    </row>
    <row r="84" spans="1:15" x14ac:dyDescent="0.25">
      <c r="A84" t="s">
        <v>5053</v>
      </c>
      <c r="B84">
        <v>2</v>
      </c>
      <c r="C84">
        <v>26</v>
      </c>
      <c r="D84" t="s">
        <v>4835</v>
      </c>
      <c r="E84" s="7">
        <v>7022</v>
      </c>
      <c r="F84" s="3"/>
      <c r="G84">
        <v>6</v>
      </c>
      <c r="H84">
        <v>3</v>
      </c>
      <c r="I84">
        <f t="shared" si="15"/>
        <v>18</v>
      </c>
      <c r="J84">
        <v>1</v>
      </c>
      <c r="K84">
        <v>0</v>
      </c>
      <c r="L84">
        <f t="shared" si="16"/>
        <v>19</v>
      </c>
      <c r="M84" t="s">
        <v>5062</v>
      </c>
    </row>
    <row r="85" spans="1:15" x14ac:dyDescent="0.25">
      <c r="A85" t="s">
        <v>5053</v>
      </c>
      <c r="B85">
        <v>2</v>
      </c>
      <c r="C85">
        <v>26</v>
      </c>
      <c r="D85" t="s">
        <v>4835</v>
      </c>
      <c r="E85" s="7">
        <v>7003</v>
      </c>
      <c r="F85" s="3"/>
      <c r="G85">
        <v>1</v>
      </c>
      <c r="H85">
        <v>3</v>
      </c>
      <c r="I85">
        <f t="shared" si="15"/>
        <v>3</v>
      </c>
      <c r="J85">
        <v>1</v>
      </c>
      <c r="K85">
        <v>0</v>
      </c>
      <c r="L85">
        <f t="shared" si="16"/>
        <v>4</v>
      </c>
      <c r="M85" t="s">
        <v>5062</v>
      </c>
    </row>
    <row r="86" spans="1:15" x14ac:dyDescent="0.25">
      <c r="A86" t="s">
        <v>5053</v>
      </c>
      <c r="B86">
        <v>2</v>
      </c>
      <c r="C86">
        <v>26</v>
      </c>
      <c r="D86" t="s">
        <v>4561</v>
      </c>
      <c r="E86" s="7">
        <v>7023</v>
      </c>
      <c r="F86" s="3"/>
      <c r="G86">
        <v>3</v>
      </c>
      <c r="H86">
        <v>4</v>
      </c>
      <c r="I86">
        <f t="shared" si="15"/>
        <v>12</v>
      </c>
      <c r="J86">
        <v>3</v>
      </c>
      <c r="K86">
        <v>0</v>
      </c>
      <c r="L86">
        <f t="shared" si="16"/>
        <v>15</v>
      </c>
      <c r="M86" t="s">
        <v>5062</v>
      </c>
    </row>
    <row r="87" spans="1:15" x14ac:dyDescent="0.25">
      <c r="A87" t="s">
        <v>5053</v>
      </c>
      <c r="B87">
        <v>2</v>
      </c>
      <c r="C87">
        <v>26</v>
      </c>
      <c r="D87" t="s">
        <v>4561</v>
      </c>
      <c r="E87" s="7">
        <v>7024</v>
      </c>
      <c r="F87" s="3"/>
      <c r="G87">
        <v>6</v>
      </c>
      <c r="H87">
        <v>4</v>
      </c>
      <c r="I87">
        <f t="shared" si="15"/>
        <v>24</v>
      </c>
      <c r="J87">
        <v>1</v>
      </c>
      <c r="K87">
        <v>0</v>
      </c>
      <c r="L87">
        <f t="shared" si="16"/>
        <v>25</v>
      </c>
      <c r="M87" t="s">
        <v>5062</v>
      </c>
    </row>
    <row r="88" spans="1:15" x14ac:dyDescent="0.25">
      <c r="A88" t="s">
        <v>5053</v>
      </c>
      <c r="B88">
        <v>2</v>
      </c>
      <c r="C88">
        <v>26</v>
      </c>
      <c r="D88" t="s">
        <v>4561</v>
      </c>
      <c r="E88" s="7">
        <v>7025</v>
      </c>
      <c r="F88" s="3"/>
      <c r="G88">
        <v>4</v>
      </c>
      <c r="H88">
        <v>4</v>
      </c>
      <c r="I88">
        <f t="shared" si="15"/>
        <v>16</v>
      </c>
      <c r="J88">
        <v>0</v>
      </c>
      <c r="K88">
        <v>0</v>
      </c>
      <c r="L88">
        <f t="shared" si="16"/>
        <v>16</v>
      </c>
      <c r="M88" t="s">
        <v>5062</v>
      </c>
    </row>
    <row r="89" spans="1:15" x14ac:dyDescent="0.25">
      <c r="A89" t="s">
        <v>5053</v>
      </c>
      <c r="B89">
        <v>2</v>
      </c>
      <c r="C89">
        <v>26</v>
      </c>
      <c r="D89" t="s">
        <v>4561</v>
      </c>
      <c r="E89" s="7">
        <v>7026</v>
      </c>
      <c r="F89" s="3"/>
      <c r="G89">
        <v>7</v>
      </c>
      <c r="H89">
        <v>4</v>
      </c>
      <c r="I89">
        <f t="shared" si="15"/>
        <v>28</v>
      </c>
      <c r="J89">
        <v>3</v>
      </c>
      <c r="K89">
        <v>0</v>
      </c>
      <c r="L89">
        <f t="shared" si="16"/>
        <v>31</v>
      </c>
      <c r="M89" t="s">
        <v>5062</v>
      </c>
    </row>
    <row r="90" spans="1:15" x14ac:dyDescent="0.25">
      <c r="A90" t="s">
        <v>5053</v>
      </c>
      <c r="B90">
        <v>2</v>
      </c>
      <c r="C90">
        <v>26</v>
      </c>
      <c r="D90" t="s">
        <v>4561</v>
      </c>
      <c r="E90" s="7">
        <v>7027</v>
      </c>
      <c r="F90" s="3"/>
      <c r="G90">
        <v>5</v>
      </c>
      <c r="H90">
        <v>4</v>
      </c>
      <c r="I90">
        <f t="shared" si="15"/>
        <v>20</v>
      </c>
      <c r="J90">
        <v>0</v>
      </c>
      <c r="K90">
        <v>0</v>
      </c>
      <c r="L90">
        <f t="shared" si="16"/>
        <v>20</v>
      </c>
      <c r="M90" t="s">
        <v>5064</v>
      </c>
    </row>
    <row r="91" spans="1:15" x14ac:dyDescent="0.25">
      <c r="A91" t="s">
        <v>5053</v>
      </c>
      <c r="B91">
        <v>2</v>
      </c>
      <c r="C91">
        <v>26</v>
      </c>
      <c r="D91" t="s">
        <v>4561</v>
      </c>
      <c r="E91" s="7">
        <v>7027</v>
      </c>
      <c r="F91" s="3"/>
      <c r="G91">
        <v>10</v>
      </c>
      <c r="H91">
        <v>4</v>
      </c>
      <c r="I91">
        <f t="shared" si="15"/>
        <v>40</v>
      </c>
      <c r="J91">
        <v>0</v>
      </c>
      <c r="K91">
        <v>0</v>
      </c>
      <c r="L91">
        <f t="shared" si="16"/>
        <v>40</v>
      </c>
      <c r="M91" t="s">
        <v>5064</v>
      </c>
    </row>
    <row r="92" spans="1:15" x14ac:dyDescent="0.25">
      <c r="A92" t="s">
        <v>5053</v>
      </c>
      <c r="B92">
        <v>2</v>
      </c>
      <c r="C92">
        <v>26</v>
      </c>
      <c r="D92" t="s">
        <v>4561</v>
      </c>
      <c r="E92" s="7">
        <v>7028</v>
      </c>
      <c r="F92" s="3"/>
      <c r="G92" s="8">
        <v>37</v>
      </c>
      <c r="H92" s="8">
        <v>4</v>
      </c>
      <c r="I92">
        <f t="shared" ref="I92" si="17">G92*H92</f>
        <v>148</v>
      </c>
      <c r="J92">
        <v>0</v>
      </c>
      <c r="K92">
        <v>0</v>
      </c>
      <c r="L92">
        <f t="shared" ref="L92" si="18">I92+J92+K92</f>
        <v>148</v>
      </c>
      <c r="M92" t="s">
        <v>5064</v>
      </c>
      <c r="N92" s="8" t="s">
        <v>4850</v>
      </c>
      <c r="O92" s="8" t="s">
        <v>4848</v>
      </c>
    </row>
    <row r="93" spans="1:15" x14ac:dyDescent="0.25">
      <c r="A93" t="s">
        <v>5053</v>
      </c>
      <c r="B93">
        <v>2</v>
      </c>
      <c r="C93">
        <v>26</v>
      </c>
      <c r="D93" t="s">
        <v>4561</v>
      </c>
      <c r="E93" s="7">
        <v>7009</v>
      </c>
      <c r="F93" s="3"/>
      <c r="G93">
        <v>2</v>
      </c>
      <c r="H93">
        <v>12</v>
      </c>
      <c r="J93">
        <v>7</v>
      </c>
      <c r="K93">
        <v>0</v>
      </c>
      <c r="L93">
        <f t="shared" ref="L93:L117" si="19">I93+J93+K93</f>
        <v>7</v>
      </c>
      <c r="M93" t="s">
        <v>5062</v>
      </c>
    </row>
    <row r="94" spans="1:15" x14ac:dyDescent="0.25">
      <c r="A94" t="s">
        <v>5053</v>
      </c>
      <c r="B94">
        <v>2</v>
      </c>
      <c r="C94">
        <v>26</v>
      </c>
      <c r="D94" t="s">
        <v>4561</v>
      </c>
      <c r="E94" s="7">
        <v>7007</v>
      </c>
      <c r="F94" s="3"/>
      <c r="G94">
        <v>0</v>
      </c>
      <c r="H94">
        <v>1</v>
      </c>
      <c r="I94">
        <f t="shared" ref="I94:I117" si="20">G94*H94</f>
        <v>0</v>
      </c>
      <c r="J94">
        <v>16</v>
      </c>
      <c r="K94">
        <v>0</v>
      </c>
      <c r="L94">
        <f t="shared" si="19"/>
        <v>16</v>
      </c>
      <c r="M94" t="s">
        <v>5062</v>
      </c>
    </row>
    <row r="95" spans="1:15" x14ac:dyDescent="0.25">
      <c r="A95" t="s">
        <v>5053</v>
      </c>
      <c r="B95">
        <v>2</v>
      </c>
      <c r="C95">
        <v>26</v>
      </c>
      <c r="D95" t="s">
        <v>4561</v>
      </c>
      <c r="E95" s="7">
        <v>7008</v>
      </c>
      <c r="F95" s="3"/>
      <c r="G95">
        <v>0</v>
      </c>
      <c r="H95">
        <v>1</v>
      </c>
      <c r="I95">
        <f t="shared" si="20"/>
        <v>0</v>
      </c>
      <c r="J95">
        <v>45</v>
      </c>
      <c r="K95">
        <v>0</v>
      </c>
      <c r="L95">
        <f t="shared" si="19"/>
        <v>45</v>
      </c>
      <c r="M95" t="s">
        <v>5062</v>
      </c>
    </row>
    <row r="96" spans="1:15" x14ac:dyDescent="0.25">
      <c r="A96" t="s">
        <v>5053</v>
      </c>
      <c r="B96">
        <v>2</v>
      </c>
      <c r="C96">
        <v>28</v>
      </c>
      <c r="D96" t="s">
        <v>4835</v>
      </c>
      <c r="E96">
        <v>7154</v>
      </c>
      <c r="F96" s="3"/>
      <c r="G96">
        <v>0</v>
      </c>
      <c r="H96">
        <v>1</v>
      </c>
      <c r="I96">
        <f t="shared" si="20"/>
        <v>0</v>
      </c>
      <c r="J96">
        <v>40</v>
      </c>
      <c r="K96">
        <v>0</v>
      </c>
      <c r="L96">
        <f t="shared" si="19"/>
        <v>40</v>
      </c>
      <c r="M96" t="s">
        <v>5062</v>
      </c>
    </row>
    <row r="97" spans="1:13" x14ac:dyDescent="0.25">
      <c r="A97" t="s">
        <v>5053</v>
      </c>
      <c r="B97">
        <v>2</v>
      </c>
      <c r="C97">
        <v>28</v>
      </c>
      <c r="D97" t="s">
        <v>4835</v>
      </c>
      <c r="E97">
        <v>7155</v>
      </c>
      <c r="F97" s="3"/>
      <c r="G97">
        <v>0</v>
      </c>
      <c r="H97">
        <v>1</v>
      </c>
      <c r="I97">
        <f t="shared" si="20"/>
        <v>0</v>
      </c>
      <c r="J97">
        <v>15</v>
      </c>
      <c r="K97">
        <v>0</v>
      </c>
      <c r="L97">
        <f t="shared" si="19"/>
        <v>15</v>
      </c>
      <c r="M97" t="s">
        <v>5062</v>
      </c>
    </row>
    <row r="98" spans="1:13" x14ac:dyDescent="0.25">
      <c r="A98" t="s">
        <v>5053</v>
      </c>
      <c r="B98">
        <v>2</v>
      </c>
      <c r="C98">
        <v>28</v>
      </c>
      <c r="D98" t="s">
        <v>4835</v>
      </c>
      <c r="E98">
        <v>7156</v>
      </c>
      <c r="F98" s="3"/>
      <c r="G98">
        <v>0</v>
      </c>
      <c r="H98">
        <v>1</v>
      </c>
      <c r="I98">
        <f t="shared" si="20"/>
        <v>0</v>
      </c>
      <c r="J98">
        <v>8</v>
      </c>
      <c r="K98">
        <v>0</v>
      </c>
      <c r="L98">
        <f t="shared" si="19"/>
        <v>8</v>
      </c>
      <c r="M98" t="s">
        <v>5062</v>
      </c>
    </row>
    <row r="99" spans="1:13" x14ac:dyDescent="0.25">
      <c r="A99" t="s">
        <v>5053</v>
      </c>
      <c r="B99">
        <v>2</v>
      </c>
      <c r="C99">
        <v>29</v>
      </c>
      <c r="D99" t="s">
        <v>4451</v>
      </c>
      <c r="E99">
        <v>7010</v>
      </c>
      <c r="F99" s="3"/>
      <c r="G99">
        <v>0</v>
      </c>
      <c r="H99">
        <v>1</v>
      </c>
      <c r="I99">
        <f t="shared" si="20"/>
        <v>0</v>
      </c>
      <c r="J99">
        <f>120+120+84</f>
        <v>324</v>
      </c>
      <c r="K99">
        <v>0</v>
      </c>
      <c r="L99">
        <f t="shared" si="19"/>
        <v>324</v>
      </c>
      <c r="M99" t="s">
        <v>5062</v>
      </c>
    </row>
    <row r="100" spans="1:13" x14ac:dyDescent="0.25">
      <c r="A100" t="s">
        <v>5053</v>
      </c>
      <c r="B100">
        <v>2</v>
      </c>
      <c r="C100">
        <v>29</v>
      </c>
      <c r="D100" t="s">
        <v>4451</v>
      </c>
      <c r="E100">
        <v>7013</v>
      </c>
      <c r="F100" s="3"/>
      <c r="G100">
        <v>0</v>
      </c>
      <c r="H100">
        <v>1</v>
      </c>
      <c r="I100">
        <f t="shared" si="20"/>
        <v>0</v>
      </c>
      <c r="J100">
        <f>120+60+5</f>
        <v>185</v>
      </c>
      <c r="K100">
        <v>0</v>
      </c>
      <c r="L100">
        <f t="shared" si="19"/>
        <v>185</v>
      </c>
      <c r="M100" t="s">
        <v>5062</v>
      </c>
    </row>
    <row r="101" spans="1:13" x14ac:dyDescent="0.25">
      <c r="A101" t="s">
        <v>5053</v>
      </c>
      <c r="B101">
        <v>2</v>
      </c>
      <c r="C101">
        <v>29</v>
      </c>
      <c r="D101" t="s">
        <v>4451</v>
      </c>
      <c r="E101">
        <v>7011</v>
      </c>
      <c r="F101" s="3"/>
      <c r="G101">
        <v>0</v>
      </c>
      <c r="H101">
        <v>1</v>
      </c>
      <c r="I101">
        <f t="shared" si="20"/>
        <v>0</v>
      </c>
      <c r="J101">
        <f>9*12</f>
        <v>108</v>
      </c>
      <c r="K101">
        <v>0</v>
      </c>
      <c r="L101">
        <f t="shared" si="19"/>
        <v>108</v>
      </c>
      <c r="M101" t="s">
        <v>5062</v>
      </c>
    </row>
    <row r="102" spans="1:13" x14ac:dyDescent="0.25">
      <c r="A102" t="s">
        <v>5053</v>
      </c>
      <c r="B102">
        <v>2</v>
      </c>
      <c r="C102">
        <v>29</v>
      </c>
      <c r="D102" t="s">
        <v>4451</v>
      </c>
      <c r="E102">
        <v>7014</v>
      </c>
      <c r="F102" s="3"/>
      <c r="G102">
        <v>0</v>
      </c>
      <c r="H102">
        <v>1</v>
      </c>
      <c r="I102">
        <f t="shared" si="20"/>
        <v>0</v>
      </c>
      <c r="J102">
        <f>4*12+1</f>
        <v>49</v>
      </c>
      <c r="K102">
        <v>0</v>
      </c>
      <c r="L102">
        <f t="shared" si="19"/>
        <v>49</v>
      </c>
      <c r="M102" t="s">
        <v>5062</v>
      </c>
    </row>
    <row r="103" spans="1:13" x14ac:dyDescent="0.25">
      <c r="A103" t="s">
        <v>5053</v>
      </c>
      <c r="B103">
        <v>2</v>
      </c>
      <c r="C103">
        <v>29</v>
      </c>
      <c r="D103" t="s">
        <v>4451</v>
      </c>
      <c r="E103">
        <v>7015</v>
      </c>
      <c r="F103" s="3"/>
      <c r="G103">
        <v>0</v>
      </c>
      <c r="H103">
        <v>1</v>
      </c>
      <c r="I103">
        <f t="shared" si="20"/>
        <v>0</v>
      </c>
      <c r="J103">
        <f>4*12+2</f>
        <v>50</v>
      </c>
      <c r="K103">
        <v>0</v>
      </c>
      <c r="L103">
        <f t="shared" si="19"/>
        <v>50</v>
      </c>
      <c r="M103" t="s">
        <v>5062</v>
      </c>
    </row>
    <row r="104" spans="1:13" x14ac:dyDescent="0.25">
      <c r="A104" t="s">
        <v>5053</v>
      </c>
      <c r="B104">
        <v>2</v>
      </c>
      <c r="C104">
        <v>29</v>
      </c>
      <c r="D104" t="s">
        <v>4451</v>
      </c>
      <c r="E104">
        <v>7016</v>
      </c>
      <c r="F104" s="3"/>
      <c r="G104">
        <v>0</v>
      </c>
      <c r="H104">
        <v>1</v>
      </c>
      <c r="I104">
        <f t="shared" si="20"/>
        <v>0</v>
      </c>
      <c r="J104">
        <f>(10*12)+7</f>
        <v>127</v>
      </c>
      <c r="K104">
        <v>0</v>
      </c>
      <c r="L104">
        <f t="shared" si="19"/>
        <v>127</v>
      </c>
      <c r="M104" t="s">
        <v>5062</v>
      </c>
    </row>
    <row r="105" spans="1:13" x14ac:dyDescent="0.25">
      <c r="A105" t="s">
        <v>5053</v>
      </c>
      <c r="B105">
        <v>2</v>
      </c>
      <c r="C105">
        <v>29</v>
      </c>
      <c r="D105" t="s">
        <v>4451</v>
      </c>
      <c r="E105">
        <v>7017</v>
      </c>
      <c r="F105" s="3"/>
      <c r="G105">
        <v>0</v>
      </c>
      <c r="H105">
        <v>1</v>
      </c>
      <c r="I105">
        <f t="shared" si="20"/>
        <v>0</v>
      </c>
      <c r="J105">
        <f>5*120</f>
        <v>600</v>
      </c>
      <c r="K105">
        <v>0</v>
      </c>
      <c r="L105">
        <f t="shared" si="19"/>
        <v>600</v>
      </c>
      <c r="M105" t="s">
        <v>5062</v>
      </c>
    </row>
    <row r="106" spans="1:13" x14ac:dyDescent="0.25">
      <c r="A106" t="s">
        <v>5053</v>
      </c>
      <c r="B106">
        <v>2</v>
      </c>
      <c r="C106">
        <v>29</v>
      </c>
      <c r="D106" t="s">
        <v>4451</v>
      </c>
      <c r="E106">
        <v>7019</v>
      </c>
      <c r="F106" s="3"/>
      <c r="G106">
        <v>0</v>
      </c>
      <c r="H106">
        <v>1</v>
      </c>
      <c r="I106">
        <f t="shared" si="20"/>
        <v>0</v>
      </c>
      <c r="J106">
        <f>(8*120)+(6*12)</f>
        <v>1032</v>
      </c>
      <c r="K106">
        <v>0</v>
      </c>
      <c r="L106">
        <f t="shared" si="19"/>
        <v>1032</v>
      </c>
      <c r="M106" t="s">
        <v>5062</v>
      </c>
    </row>
    <row r="107" spans="1:13" x14ac:dyDescent="0.25">
      <c r="A107" t="s">
        <v>5053</v>
      </c>
      <c r="B107">
        <v>2</v>
      </c>
      <c r="C107">
        <v>29</v>
      </c>
      <c r="D107" t="s">
        <v>4451</v>
      </c>
      <c r="E107">
        <v>7020</v>
      </c>
      <c r="F107" s="3"/>
      <c r="G107">
        <v>0</v>
      </c>
      <c r="H107">
        <v>1</v>
      </c>
      <c r="I107">
        <f t="shared" si="20"/>
        <v>0</v>
      </c>
      <c r="J107">
        <f>6+5</f>
        <v>11</v>
      </c>
      <c r="K107">
        <v>0</v>
      </c>
      <c r="L107">
        <f t="shared" si="19"/>
        <v>11</v>
      </c>
      <c r="M107" t="s">
        <v>5062</v>
      </c>
    </row>
    <row r="108" spans="1:13" x14ac:dyDescent="0.25">
      <c r="A108" t="s">
        <v>5053</v>
      </c>
      <c r="B108">
        <v>2</v>
      </c>
      <c r="C108">
        <v>29</v>
      </c>
      <c r="D108" t="s">
        <v>4451</v>
      </c>
      <c r="E108">
        <v>7021</v>
      </c>
      <c r="F108" s="3"/>
      <c r="G108">
        <v>0</v>
      </c>
      <c r="H108">
        <v>1</v>
      </c>
      <c r="I108">
        <f t="shared" si="20"/>
        <v>0</v>
      </c>
      <c r="J108">
        <f>60+3</f>
        <v>63</v>
      </c>
      <c r="K108">
        <v>0</v>
      </c>
      <c r="L108">
        <f t="shared" si="19"/>
        <v>63</v>
      </c>
      <c r="M108" t="s">
        <v>5062</v>
      </c>
    </row>
    <row r="109" spans="1:13" x14ac:dyDescent="0.25">
      <c r="A109" t="s">
        <v>5053</v>
      </c>
      <c r="B109">
        <v>2</v>
      </c>
      <c r="C109">
        <v>30</v>
      </c>
      <c r="D109" t="s">
        <v>4451</v>
      </c>
      <c r="E109" s="21">
        <v>7007</v>
      </c>
      <c r="F109" s="3"/>
      <c r="G109">
        <v>0</v>
      </c>
      <c r="H109">
        <v>1</v>
      </c>
      <c r="I109">
        <f t="shared" si="20"/>
        <v>0</v>
      </c>
      <c r="J109">
        <v>5</v>
      </c>
      <c r="K109">
        <v>0</v>
      </c>
      <c r="L109">
        <f t="shared" si="19"/>
        <v>5</v>
      </c>
      <c r="M109" t="s">
        <v>5062</v>
      </c>
    </row>
    <row r="110" spans="1:13" x14ac:dyDescent="0.25">
      <c r="A110" t="s">
        <v>5053</v>
      </c>
      <c r="B110">
        <v>2</v>
      </c>
      <c r="C110">
        <v>30</v>
      </c>
      <c r="D110" t="s">
        <v>4451</v>
      </c>
      <c r="E110">
        <v>7182</v>
      </c>
      <c r="F110" s="3"/>
      <c r="G110">
        <v>0</v>
      </c>
      <c r="H110">
        <v>1</v>
      </c>
      <c r="I110">
        <f t="shared" si="20"/>
        <v>0</v>
      </c>
      <c r="J110">
        <v>15</v>
      </c>
      <c r="K110">
        <v>0</v>
      </c>
      <c r="L110">
        <f t="shared" si="19"/>
        <v>15</v>
      </c>
      <c r="M110" t="s">
        <v>5062</v>
      </c>
    </row>
    <row r="111" spans="1:13" x14ac:dyDescent="0.25">
      <c r="A111" t="s">
        <v>5053</v>
      </c>
      <c r="B111">
        <v>2</v>
      </c>
      <c r="C111">
        <v>30</v>
      </c>
      <c r="D111" t="s">
        <v>4451</v>
      </c>
      <c r="E111">
        <v>7183</v>
      </c>
      <c r="F111" s="3"/>
      <c r="G111">
        <v>0</v>
      </c>
      <c r="H111">
        <v>1</v>
      </c>
      <c r="I111">
        <f t="shared" si="20"/>
        <v>0</v>
      </c>
      <c r="J111">
        <v>16</v>
      </c>
      <c r="K111">
        <v>0</v>
      </c>
      <c r="L111">
        <f t="shared" si="19"/>
        <v>16</v>
      </c>
      <c r="M111" t="s">
        <v>5062</v>
      </c>
    </row>
    <row r="112" spans="1:13" x14ac:dyDescent="0.25">
      <c r="A112" t="s">
        <v>5053</v>
      </c>
      <c r="B112">
        <v>2</v>
      </c>
      <c r="C112">
        <v>30</v>
      </c>
      <c r="D112" t="s">
        <v>4451</v>
      </c>
      <c r="E112">
        <v>7005</v>
      </c>
      <c r="F112" s="3"/>
      <c r="G112">
        <v>7</v>
      </c>
      <c r="H112">
        <v>50</v>
      </c>
      <c r="I112">
        <f t="shared" si="20"/>
        <v>350</v>
      </c>
      <c r="J112">
        <v>38</v>
      </c>
      <c r="K112">
        <v>0</v>
      </c>
      <c r="L112">
        <f t="shared" si="19"/>
        <v>388</v>
      </c>
      <c r="M112" t="s">
        <v>5062</v>
      </c>
    </row>
    <row r="113" spans="1:13" x14ac:dyDescent="0.25">
      <c r="A113" t="s">
        <v>5053</v>
      </c>
      <c r="B113">
        <v>2</v>
      </c>
      <c r="C113">
        <v>30</v>
      </c>
      <c r="D113" t="s">
        <v>4451</v>
      </c>
      <c r="E113">
        <v>7030</v>
      </c>
      <c r="F113" s="3"/>
      <c r="G113">
        <v>2</v>
      </c>
      <c r="H113">
        <v>30</v>
      </c>
      <c r="I113">
        <f t="shared" si="20"/>
        <v>60</v>
      </c>
      <c r="J113">
        <v>5</v>
      </c>
      <c r="K113">
        <v>0</v>
      </c>
      <c r="L113">
        <f t="shared" si="19"/>
        <v>65</v>
      </c>
      <c r="M113" t="s">
        <v>5062</v>
      </c>
    </row>
    <row r="114" spans="1:13" x14ac:dyDescent="0.25">
      <c r="A114" t="s">
        <v>5053</v>
      </c>
      <c r="B114">
        <v>2</v>
      </c>
      <c r="C114">
        <v>30</v>
      </c>
      <c r="D114" t="s">
        <v>4451</v>
      </c>
      <c r="E114">
        <v>7032</v>
      </c>
      <c r="F114" s="3"/>
      <c r="G114">
        <v>1</v>
      </c>
      <c r="H114">
        <v>30</v>
      </c>
      <c r="I114">
        <f t="shared" si="20"/>
        <v>30</v>
      </c>
      <c r="J114">
        <v>7</v>
      </c>
      <c r="K114">
        <v>0</v>
      </c>
      <c r="L114">
        <f t="shared" si="19"/>
        <v>37</v>
      </c>
      <c r="M114" t="s">
        <v>5062</v>
      </c>
    </row>
    <row r="115" spans="1:13" x14ac:dyDescent="0.25">
      <c r="A115" t="s">
        <v>5053</v>
      </c>
      <c r="B115">
        <v>2</v>
      </c>
      <c r="C115">
        <v>30</v>
      </c>
      <c r="D115" t="s">
        <v>4451</v>
      </c>
      <c r="E115">
        <v>7033</v>
      </c>
      <c r="F115" s="3"/>
      <c r="G115">
        <v>1</v>
      </c>
      <c r="H115">
        <v>30</v>
      </c>
      <c r="I115">
        <f t="shared" si="20"/>
        <v>30</v>
      </c>
      <c r="J115">
        <v>2</v>
      </c>
      <c r="K115">
        <v>0</v>
      </c>
      <c r="L115">
        <f t="shared" si="19"/>
        <v>32</v>
      </c>
      <c r="M115" t="s">
        <v>5062</v>
      </c>
    </row>
    <row r="116" spans="1:13" x14ac:dyDescent="0.25">
      <c r="A116" t="s">
        <v>5053</v>
      </c>
      <c r="B116">
        <v>2</v>
      </c>
      <c r="C116">
        <v>30</v>
      </c>
      <c r="D116" t="s">
        <v>4451</v>
      </c>
      <c r="E116">
        <v>7034</v>
      </c>
      <c r="F116" s="3"/>
      <c r="G116">
        <v>2</v>
      </c>
      <c r="H116">
        <v>30</v>
      </c>
      <c r="I116">
        <f t="shared" si="20"/>
        <v>60</v>
      </c>
      <c r="J116">
        <v>4</v>
      </c>
      <c r="K116">
        <v>0</v>
      </c>
      <c r="L116">
        <f t="shared" si="19"/>
        <v>64</v>
      </c>
      <c r="M116" t="s">
        <v>5062</v>
      </c>
    </row>
    <row r="117" spans="1:13" x14ac:dyDescent="0.25">
      <c r="A117" t="s">
        <v>5053</v>
      </c>
      <c r="B117">
        <v>2</v>
      </c>
      <c r="C117">
        <v>30</v>
      </c>
      <c r="D117" t="s">
        <v>4451</v>
      </c>
      <c r="E117">
        <v>7035</v>
      </c>
      <c r="F117" s="3"/>
      <c r="G117">
        <v>2</v>
      </c>
      <c r="H117">
        <v>30</v>
      </c>
      <c r="I117">
        <f t="shared" si="20"/>
        <v>60</v>
      </c>
      <c r="J117">
        <v>5</v>
      </c>
      <c r="K117">
        <v>0</v>
      </c>
      <c r="L117">
        <f t="shared" si="19"/>
        <v>65</v>
      </c>
      <c r="M117" t="s">
        <v>5062</v>
      </c>
    </row>
    <row r="118" spans="1:13" x14ac:dyDescent="0.25">
      <c r="A118" t="s">
        <v>5053</v>
      </c>
      <c r="B118">
        <v>2</v>
      </c>
      <c r="C118">
        <v>16</v>
      </c>
      <c r="D118" t="s">
        <v>4561</v>
      </c>
      <c r="E118">
        <v>1940</v>
      </c>
      <c r="F118" s="3"/>
      <c r="G118">
        <v>0</v>
      </c>
      <c r="H118">
        <v>1</v>
      </c>
      <c r="I118">
        <f t="shared" ref="I118:I132" si="21">G118*H118</f>
        <v>0</v>
      </c>
      <c r="J118">
        <v>4</v>
      </c>
      <c r="K118">
        <v>0</v>
      </c>
      <c r="L118">
        <f t="shared" ref="L118:L132" si="22">I118+J118+K118</f>
        <v>4</v>
      </c>
      <c r="M118" t="s">
        <v>5062</v>
      </c>
    </row>
    <row r="119" spans="1:13" x14ac:dyDescent="0.25">
      <c r="A119" t="s">
        <v>5053</v>
      </c>
      <c r="B119">
        <v>2</v>
      </c>
      <c r="C119">
        <v>16</v>
      </c>
      <c r="D119" t="s">
        <v>4561</v>
      </c>
      <c r="E119">
        <v>1939</v>
      </c>
      <c r="F119" s="3"/>
      <c r="G119">
        <v>0</v>
      </c>
      <c r="H119">
        <v>1</v>
      </c>
      <c r="I119">
        <f t="shared" si="21"/>
        <v>0</v>
      </c>
      <c r="J119">
        <v>4</v>
      </c>
      <c r="K119">
        <v>0</v>
      </c>
      <c r="L119">
        <f t="shared" si="22"/>
        <v>4</v>
      </c>
      <c r="M119" t="s">
        <v>5062</v>
      </c>
    </row>
    <row r="120" spans="1:13" x14ac:dyDescent="0.25">
      <c r="A120" t="s">
        <v>5053</v>
      </c>
      <c r="B120">
        <v>2</v>
      </c>
      <c r="C120">
        <v>16</v>
      </c>
      <c r="D120" t="s">
        <v>4561</v>
      </c>
      <c r="E120">
        <v>1938</v>
      </c>
      <c r="F120" s="3"/>
      <c r="G120">
        <v>0</v>
      </c>
      <c r="H120">
        <v>1</v>
      </c>
      <c r="I120">
        <f t="shared" si="21"/>
        <v>0</v>
      </c>
      <c r="J120">
        <v>7</v>
      </c>
      <c r="K120">
        <v>0</v>
      </c>
      <c r="L120">
        <f t="shared" si="22"/>
        <v>7</v>
      </c>
      <c r="M120" t="s">
        <v>5062</v>
      </c>
    </row>
    <row r="121" spans="1:13" x14ac:dyDescent="0.25">
      <c r="A121" t="s">
        <v>5053</v>
      </c>
      <c r="B121">
        <v>2</v>
      </c>
      <c r="C121">
        <v>16</v>
      </c>
      <c r="D121" t="s">
        <v>4561</v>
      </c>
      <c r="E121">
        <v>1937</v>
      </c>
      <c r="F121" s="3"/>
      <c r="G121">
        <v>0</v>
      </c>
      <c r="H121">
        <v>1</v>
      </c>
      <c r="I121">
        <f t="shared" si="21"/>
        <v>0</v>
      </c>
      <c r="J121">
        <v>3</v>
      </c>
      <c r="K121">
        <v>0</v>
      </c>
      <c r="L121">
        <f t="shared" si="22"/>
        <v>3</v>
      </c>
      <c r="M121" t="s">
        <v>5062</v>
      </c>
    </row>
    <row r="122" spans="1:13" x14ac:dyDescent="0.25">
      <c r="A122" t="s">
        <v>5053</v>
      </c>
      <c r="B122">
        <v>2</v>
      </c>
      <c r="C122">
        <v>16</v>
      </c>
      <c r="D122" t="s">
        <v>4561</v>
      </c>
      <c r="E122">
        <v>1936</v>
      </c>
      <c r="F122" s="3"/>
      <c r="G122">
        <v>0</v>
      </c>
      <c r="H122">
        <v>1</v>
      </c>
      <c r="I122">
        <f t="shared" si="21"/>
        <v>0</v>
      </c>
      <c r="J122">
        <v>3</v>
      </c>
      <c r="K122">
        <v>0</v>
      </c>
      <c r="L122">
        <f t="shared" si="22"/>
        <v>3</v>
      </c>
      <c r="M122" t="s">
        <v>5062</v>
      </c>
    </row>
    <row r="123" spans="1:13" x14ac:dyDescent="0.25">
      <c r="A123" t="s">
        <v>5053</v>
      </c>
      <c r="B123">
        <v>2</v>
      </c>
      <c r="C123">
        <v>16</v>
      </c>
      <c r="D123" t="s">
        <v>4561</v>
      </c>
      <c r="E123">
        <v>1935</v>
      </c>
      <c r="F123" s="3"/>
      <c r="G123">
        <v>0</v>
      </c>
      <c r="H123">
        <v>1</v>
      </c>
      <c r="I123">
        <f t="shared" si="21"/>
        <v>0</v>
      </c>
      <c r="J123">
        <v>23</v>
      </c>
      <c r="K123">
        <v>0</v>
      </c>
      <c r="L123">
        <f t="shared" si="22"/>
        <v>23</v>
      </c>
      <c r="M123" t="s">
        <v>5062</v>
      </c>
    </row>
    <row r="124" spans="1:13" x14ac:dyDescent="0.25">
      <c r="A124" t="s">
        <v>5053</v>
      </c>
      <c r="B124">
        <v>2</v>
      </c>
      <c r="C124">
        <v>16</v>
      </c>
      <c r="D124" t="s">
        <v>4561</v>
      </c>
      <c r="E124">
        <v>1934</v>
      </c>
      <c r="F124" s="3"/>
      <c r="G124">
        <v>0</v>
      </c>
      <c r="H124">
        <v>1</v>
      </c>
      <c r="I124">
        <f t="shared" si="21"/>
        <v>0</v>
      </c>
      <c r="J124">
        <v>20</v>
      </c>
      <c r="K124">
        <v>0</v>
      </c>
      <c r="L124">
        <f t="shared" si="22"/>
        <v>20</v>
      </c>
      <c r="M124" t="s">
        <v>5062</v>
      </c>
    </row>
    <row r="125" spans="1:13" x14ac:dyDescent="0.25">
      <c r="A125" t="s">
        <v>5053</v>
      </c>
      <c r="B125">
        <v>2</v>
      </c>
      <c r="C125">
        <v>16</v>
      </c>
      <c r="D125" t="s">
        <v>4561</v>
      </c>
      <c r="E125">
        <v>1933</v>
      </c>
      <c r="F125" s="3"/>
      <c r="G125">
        <v>0</v>
      </c>
      <c r="H125">
        <v>1</v>
      </c>
      <c r="I125">
        <f t="shared" si="21"/>
        <v>0</v>
      </c>
      <c r="J125">
        <v>5</v>
      </c>
      <c r="K125">
        <v>0</v>
      </c>
      <c r="L125">
        <f t="shared" si="22"/>
        <v>5</v>
      </c>
      <c r="M125" t="s">
        <v>5062</v>
      </c>
    </row>
    <row r="126" spans="1:13" x14ac:dyDescent="0.25">
      <c r="A126" t="s">
        <v>5053</v>
      </c>
      <c r="B126">
        <v>2</v>
      </c>
      <c r="C126">
        <v>16</v>
      </c>
      <c r="D126" t="s">
        <v>4561</v>
      </c>
      <c r="E126">
        <v>1954</v>
      </c>
      <c r="F126" s="3"/>
      <c r="G126">
        <v>0</v>
      </c>
      <c r="H126">
        <v>1</v>
      </c>
      <c r="I126">
        <f t="shared" si="21"/>
        <v>0</v>
      </c>
      <c r="J126">
        <v>3</v>
      </c>
      <c r="K126">
        <v>0</v>
      </c>
      <c r="L126">
        <f t="shared" si="22"/>
        <v>3</v>
      </c>
      <c r="M126" t="s">
        <v>5062</v>
      </c>
    </row>
    <row r="127" spans="1:13" x14ac:dyDescent="0.25">
      <c r="A127" t="s">
        <v>5053</v>
      </c>
      <c r="B127">
        <v>2</v>
      </c>
      <c r="C127">
        <v>16</v>
      </c>
      <c r="D127" t="s">
        <v>4561</v>
      </c>
      <c r="E127">
        <v>1955</v>
      </c>
      <c r="F127" s="3"/>
      <c r="G127">
        <v>0</v>
      </c>
      <c r="H127">
        <v>1</v>
      </c>
      <c r="I127">
        <f t="shared" si="21"/>
        <v>0</v>
      </c>
      <c r="J127">
        <v>16</v>
      </c>
      <c r="K127">
        <v>0</v>
      </c>
      <c r="L127">
        <f t="shared" si="22"/>
        <v>16</v>
      </c>
      <c r="M127" t="s">
        <v>5062</v>
      </c>
    </row>
    <row r="128" spans="1:13" x14ac:dyDescent="0.25">
      <c r="A128" t="s">
        <v>5053</v>
      </c>
      <c r="B128">
        <v>2</v>
      </c>
      <c r="C128">
        <v>16</v>
      </c>
      <c r="D128" t="s">
        <v>4561</v>
      </c>
      <c r="E128">
        <v>1959</v>
      </c>
      <c r="F128" s="3"/>
      <c r="G128">
        <v>0</v>
      </c>
      <c r="H128">
        <v>1</v>
      </c>
      <c r="I128">
        <f t="shared" si="21"/>
        <v>0</v>
      </c>
      <c r="J128">
        <v>3</v>
      </c>
      <c r="K128">
        <v>0</v>
      </c>
      <c r="L128">
        <f t="shared" si="22"/>
        <v>3</v>
      </c>
      <c r="M128" t="s">
        <v>5062</v>
      </c>
    </row>
    <row r="129" spans="1:13" x14ac:dyDescent="0.25">
      <c r="A129" t="s">
        <v>5053</v>
      </c>
      <c r="B129">
        <v>2</v>
      </c>
      <c r="C129">
        <v>16</v>
      </c>
      <c r="D129" t="s">
        <v>4561</v>
      </c>
      <c r="E129">
        <v>1995</v>
      </c>
      <c r="F129" s="3"/>
      <c r="G129">
        <v>0</v>
      </c>
      <c r="H129">
        <v>1</v>
      </c>
      <c r="I129">
        <f t="shared" si="21"/>
        <v>0</v>
      </c>
      <c r="J129">
        <v>2</v>
      </c>
      <c r="K129">
        <v>0</v>
      </c>
      <c r="L129">
        <f t="shared" si="22"/>
        <v>2</v>
      </c>
      <c r="M129" t="s">
        <v>5062</v>
      </c>
    </row>
    <row r="130" spans="1:13" x14ac:dyDescent="0.25">
      <c r="A130" t="s">
        <v>5053</v>
      </c>
      <c r="B130">
        <v>2</v>
      </c>
      <c r="C130">
        <v>16</v>
      </c>
      <c r="D130" t="s">
        <v>4561</v>
      </c>
      <c r="E130">
        <v>1957</v>
      </c>
      <c r="F130" s="3"/>
      <c r="G130">
        <v>0</v>
      </c>
      <c r="H130">
        <v>1</v>
      </c>
      <c r="I130">
        <f t="shared" si="21"/>
        <v>0</v>
      </c>
      <c r="J130">
        <v>4</v>
      </c>
      <c r="K130">
        <v>0</v>
      </c>
      <c r="L130">
        <f t="shared" si="22"/>
        <v>4</v>
      </c>
      <c r="M130" t="s">
        <v>5062</v>
      </c>
    </row>
    <row r="131" spans="1:13" x14ac:dyDescent="0.25">
      <c r="A131" t="s">
        <v>5053</v>
      </c>
      <c r="B131">
        <v>2</v>
      </c>
      <c r="C131">
        <v>16</v>
      </c>
      <c r="D131" t="s">
        <v>4561</v>
      </c>
      <c r="E131">
        <v>1959</v>
      </c>
      <c r="F131" s="3"/>
      <c r="G131">
        <v>0</v>
      </c>
      <c r="H131">
        <v>1</v>
      </c>
      <c r="I131">
        <f t="shared" si="21"/>
        <v>0</v>
      </c>
      <c r="J131">
        <v>1</v>
      </c>
      <c r="K131">
        <v>0</v>
      </c>
      <c r="L131">
        <f t="shared" si="22"/>
        <v>1</v>
      </c>
      <c r="M131" t="s">
        <v>5062</v>
      </c>
    </row>
    <row r="132" spans="1:13" x14ac:dyDescent="0.25">
      <c r="A132" t="s">
        <v>5053</v>
      </c>
      <c r="B132">
        <v>2</v>
      </c>
      <c r="C132">
        <v>16</v>
      </c>
      <c r="D132" t="s">
        <v>4561</v>
      </c>
      <c r="E132">
        <v>1960</v>
      </c>
      <c r="F132" s="3"/>
      <c r="G132">
        <v>0</v>
      </c>
      <c r="H132">
        <v>1</v>
      </c>
      <c r="I132">
        <f t="shared" si="21"/>
        <v>0</v>
      </c>
      <c r="J132">
        <v>2</v>
      </c>
      <c r="K132">
        <v>0</v>
      </c>
      <c r="L132">
        <f t="shared" si="22"/>
        <v>2</v>
      </c>
      <c r="M132" t="s">
        <v>5062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4F000-2F19-4D56-9BF7-7E33540D40C2}">
  <dimension ref="A1:O143"/>
  <sheetViews>
    <sheetView workbookViewId="0">
      <selection activeCell="A143" sqref="A143"/>
    </sheetView>
  </sheetViews>
  <sheetFormatPr defaultColWidth="11.42578125" defaultRowHeight="15" x14ac:dyDescent="0.25"/>
  <cols>
    <col min="1" max="1" width="14.42578125" bestFit="1" customWidth="1"/>
    <col min="2" max="2" width="10.42578125" bestFit="1" customWidth="1"/>
    <col min="3" max="3" width="7.7109375" bestFit="1" customWidth="1"/>
    <col min="4" max="4" width="11.28515625" bestFit="1" customWidth="1"/>
    <col min="5" max="5" width="9.85546875" bestFit="1" customWidth="1"/>
    <col min="6" max="6" width="11.140625" bestFit="1" customWidth="1"/>
    <col min="7" max="7" width="7.140625" bestFit="1" customWidth="1"/>
    <col min="8" max="8" width="10.7109375" bestFit="1" customWidth="1"/>
    <col min="9" max="9" width="12.140625" bestFit="1" customWidth="1"/>
    <col min="10" max="10" width="9.42578125" bestFit="1" customWidth="1"/>
    <col min="11" max="11" width="7.140625" bestFit="1" customWidth="1"/>
    <col min="12" max="12" width="5.28515625" bestFit="1" customWidth="1"/>
    <col min="13" max="13" width="15.42578125" bestFit="1" customWidth="1"/>
    <col min="14" max="14" width="12.5703125" bestFit="1" customWidth="1"/>
    <col min="15" max="15" width="32.85546875" bestFit="1" customWidth="1"/>
  </cols>
  <sheetData>
    <row r="1" spans="1:13" ht="15.75" x14ac:dyDescent="0.25">
      <c r="A1" s="28" t="s">
        <v>5044</v>
      </c>
      <c r="B1" s="28" t="s">
        <v>5054</v>
      </c>
      <c r="C1" s="28" t="s">
        <v>5055</v>
      </c>
      <c r="D1" s="28" t="s">
        <v>5045</v>
      </c>
      <c r="E1" s="28" t="s">
        <v>5046</v>
      </c>
      <c r="F1" s="28" t="s">
        <v>4434</v>
      </c>
      <c r="G1" s="28" t="s">
        <v>5047</v>
      </c>
      <c r="H1" s="28" t="s">
        <v>5048</v>
      </c>
      <c r="I1" s="28" t="s">
        <v>5049</v>
      </c>
      <c r="J1" s="28" t="s">
        <v>5050</v>
      </c>
      <c r="K1" s="28" t="s">
        <v>5051</v>
      </c>
      <c r="L1" s="28" t="s">
        <v>5052</v>
      </c>
      <c r="M1" s="28" t="s">
        <v>5058</v>
      </c>
    </row>
    <row r="2" spans="1:13" x14ac:dyDescent="0.25">
      <c r="A2" t="s">
        <v>5053</v>
      </c>
      <c r="B2">
        <v>3</v>
      </c>
      <c r="C2">
        <v>26</v>
      </c>
      <c r="D2" t="s">
        <v>4567</v>
      </c>
      <c r="E2">
        <v>15144</v>
      </c>
      <c r="F2" s="3"/>
      <c r="G2">
        <v>0</v>
      </c>
      <c r="H2">
        <v>1</v>
      </c>
      <c r="I2">
        <f>G2*H2</f>
        <v>0</v>
      </c>
      <c r="J2">
        <v>21</v>
      </c>
      <c r="K2">
        <v>0</v>
      </c>
      <c r="L2">
        <f>I2+J2+K2</f>
        <v>21</v>
      </c>
      <c r="M2" t="s">
        <v>5059</v>
      </c>
    </row>
    <row r="3" spans="1:13" x14ac:dyDescent="0.25">
      <c r="A3" t="s">
        <v>5053</v>
      </c>
      <c r="B3">
        <v>3</v>
      </c>
      <c r="C3">
        <v>26</v>
      </c>
      <c r="D3" t="s">
        <v>4567</v>
      </c>
      <c r="E3">
        <v>15145</v>
      </c>
      <c r="F3" s="3"/>
      <c r="G3">
        <v>0</v>
      </c>
      <c r="H3">
        <v>1</v>
      </c>
      <c r="I3">
        <f t="shared" ref="I3:I30" si="0">G3*H3</f>
        <v>0</v>
      </c>
      <c r="J3">
        <v>12</v>
      </c>
      <c r="K3">
        <v>0</v>
      </c>
      <c r="L3">
        <f t="shared" ref="L3:L59" si="1">I3+J3+K3</f>
        <v>12</v>
      </c>
      <c r="M3" t="s">
        <v>5059</v>
      </c>
    </row>
    <row r="4" spans="1:13" x14ac:dyDescent="0.25">
      <c r="A4" t="s">
        <v>5053</v>
      </c>
      <c r="B4">
        <v>3</v>
      </c>
      <c r="C4">
        <v>26</v>
      </c>
      <c r="D4" t="s">
        <v>4567</v>
      </c>
      <c r="E4">
        <v>7052</v>
      </c>
      <c r="F4" s="3"/>
      <c r="G4">
        <v>0</v>
      </c>
      <c r="H4">
        <v>1</v>
      </c>
      <c r="I4">
        <f t="shared" si="0"/>
        <v>0</v>
      </c>
      <c r="J4">
        <v>2</v>
      </c>
      <c r="K4">
        <v>0</v>
      </c>
      <c r="L4">
        <f t="shared" si="1"/>
        <v>2</v>
      </c>
      <c r="M4" t="s">
        <v>5059</v>
      </c>
    </row>
    <row r="5" spans="1:13" x14ac:dyDescent="0.25">
      <c r="A5" t="s">
        <v>5053</v>
      </c>
      <c r="B5">
        <v>3</v>
      </c>
      <c r="C5">
        <v>26</v>
      </c>
      <c r="D5" t="s">
        <v>4567</v>
      </c>
      <c r="E5">
        <v>7051</v>
      </c>
      <c r="F5" s="3"/>
      <c r="G5">
        <v>0</v>
      </c>
      <c r="H5">
        <v>1</v>
      </c>
      <c r="I5">
        <f t="shared" si="0"/>
        <v>0</v>
      </c>
      <c r="J5">
        <v>37</v>
      </c>
      <c r="K5">
        <v>0</v>
      </c>
      <c r="L5">
        <f t="shared" si="1"/>
        <v>37</v>
      </c>
      <c r="M5" t="s">
        <v>5059</v>
      </c>
    </row>
    <row r="6" spans="1:13" x14ac:dyDescent="0.25">
      <c r="A6" t="s">
        <v>5053</v>
      </c>
      <c r="B6">
        <v>3</v>
      </c>
      <c r="C6">
        <v>21</v>
      </c>
      <c r="D6" t="s">
        <v>4567</v>
      </c>
      <c r="E6" s="6" t="s">
        <v>4982</v>
      </c>
      <c r="F6" s="3"/>
      <c r="G6">
        <v>0</v>
      </c>
      <c r="H6">
        <v>1</v>
      </c>
      <c r="I6">
        <f t="shared" si="0"/>
        <v>0</v>
      </c>
      <c r="J6">
        <v>1325</v>
      </c>
      <c r="K6">
        <v>0</v>
      </c>
      <c r="L6">
        <f t="shared" si="1"/>
        <v>1325</v>
      </c>
      <c r="M6" t="s">
        <v>5059</v>
      </c>
    </row>
    <row r="7" spans="1:13" x14ac:dyDescent="0.25">
      <c r="A7" t="s">
        <v>5053</v>
      </c>
      <c r="B7">
        <v>3</v>
      </c>
      <c r="C7">
        <v>21</v>
      </c>
      <c r="D7" t="s">
        <v>4567</v>
      </c>
      <c r="E7" s="6" t="s">
        <v>4984</v>
      </c>
      <c r="F7" s="3"/>
      <c r="G7">
        <v>0</v>
      </c>
      <c r="H7">
        <v>1</v>
      </c>
      <c r="I7">
        <f t="shared" si="0"/>
        <v>0</v>
      </c>
      <c r="J7">
        <v>950</v>
      </c>
      <c r="K7">
        <v>0</v>
      </c>
      <c r="L7">
        <f t="shared" si="1"/>
        <v>950</v>
      </c>
      <c r="M7" t="s">
        <v>5059</v>
      </c>
    </row>
    <row r="8" spans="1:13" x14ac:dyDescent="0.25">
      <c r="A8" t="s">
        <v>5053</v>
      </c>
      <c r="B8">
        <v>3</v>
      </c>
      <c r="C8">
        <v>21</v>
      </c>
      <c r="D8" t="s">
        <v>4567</v>
      </c>
      <c r="E8" s="6" t="s">
        <v>4985</v>
      </c>
      <c r="F8" s="3"/>
      <c r="G8">
        <v>0</v>
      </c>
      <c r="H8">
        <v>1</v>
      </c>
      <c r="I8">
        <f t="shared" si="0"/>
        <v>0</v>
      </c>
      <c r="J8">
        <v>875</v>
      </c>
      <c r="K8">
        <v>0</v>
      </c>
      <c r="L8">
        <f t="shared" si="1"/>
        <v>875</v>
      </c>
      <c r="M8" t="s">
        <v>5059</v>
      </c>
    </row>
    <row r="9" spans="1:13" x14ac:dyDescent="0.25">
      <c r="A9" t="s">
        <v>5053</v>
      </c>
      <c r="B9">
        <v>3</v>
      </c>
      <c r="C9">
        <v>21</v>
      </c>
      <c r="D9" t="s">
        <v>4567</v>
      </c>
      <c r="E9" s="6" t="s">
        <v>4986</v>
      </c>
      <c r="F9" s="3"/>
      <c r="G9">
        <v>0</v>
      </c>
      <c r="H9">
        <v>1</v>
      </c>
      <c r="I9">
        <f t="shared" si="0"/>
        <v>0</v>
      </c>
      <c r="J9">
        <v>477</v>
      </c>
      <c r="K9">
        <v>0</v>
      </c>
      <c r="L9">
        <f t="shared" si="1"/>
        <v>477</v>
      </c>
      <c r="M9" t="s">
        <v>5059</v>
      </c>
    </row>
    <row r="10" spans="1:13" x14ac:dyDescent="0.25">
      <c r="A10" t="s">
        <v>5053</v>
      </c>
      <c r="B10">
        <v>3</v>
      </c>
      <c r="C10">
        <v>21</v>
      </c>
      <c r="D10" t="s">
        <v>4567</v>
      </c>
      <c r="E10" s="6" t="s">
        <v>4987</v>
      </c>
      <c r="F10" s="3"/>
      <c r="G10">
        <v>0</v>
      </c>
      <c r="H10">
        <v>1</v>
      </c>
      <c r="I10">
        <f t="shared" si="0"/>
        <v>0</v>
      </c>
      <c r="J10">
        <v>1300</v>
      </c>
      <c r="K10">
        <v>0</v>
      </c>
      <c r="L10">
        <f t="shared" si="1"/>
        <v>1300</v>
      </c>
      <c r="M10" t="s">
        <v>5059</v>
      </c>
    </row>
    <row r="11" spans="1:13" x14ac:dyDescent="0.25">
      <c r="A11" t="s">
        <v>5053</v>
      </c>
      <c r="B11">
        <v>3</v>
      </c>
      <c r="C11">
        <v>21</v>
      </c>
      <c r="D11" t="s">
        <v>4567</v>
      </c>
      <c r="E11" s="6" t="s">
        <v>4983</v>
      </c>
      <c r="F11" s="3"/>
      <c r="G11">
        <v>0</v>
      </c>
      <c r="H11">
        <v>1</v>
      </c>
      <c r="I11">
        <f t="shared" si="0"/>
        <v>0</v>
      </c>
      <c r="J11">
        <v>500</v>
      </c>
      <c r="K11">
        <v>0</v>
      </c>
      <c r="L11">
        <f t="shared" si="1"/>
        <v>500</v>
      </c>
      <c r="M11" t="s">
        <v>5059</v>
      </c>
    </row>
    <row r="12" spans="1:13" x14ac:dyDescent="0.25">
      <c r="A12" t="s">
        <v>5053</v>
      </c>
      <c r="B12">
        <v>3</v>
      </c>
      <c r="C12">
        <v>31</v>
      </c>
      <c r="D12" t="s">
        <v>4567</v>
      </c>
      <c r="E12" s="6" t="s">
        <v>4878</v>
      </c>
      <c r="F12" s="3"/>
      <c r="G12">
        <v>0</v>
      </c>
      <c r="H12">
        <v>1</v>
      </c>
      <c r="I12">
        <f t="shared" si="0"/>
        <v>0</v>
      </c>
      <c r="J12">
        <v>220</v>
      </c>
      <c r="K12">
        <v>0</v>
      </c>
      <c r="L12">
        <f t="shared" si="1"/>
        <v>220</v>
      </c>
      <c r="M12" t="s">
        <v>5059</v>
      </c>
    </row>
    <row r="13" spans="1:13" x14ac:dyDescent="0.25">
      <c r="A13" t="s">
        <v>5053</v>
      </c>
      <c r="B13">
        <v>3</v>
      </c>
      <c r="C13">
        <v>31</v>
      </c>
      <c r="D13" t="s">
        <v>4567</v>
      </c>
      <c r="E13" s="6" t="s">
        <v>4879</v>
      </c>
      <c r="F13" s="3"/>
      <c r="G13">
        <v>0</v>
      </c>
      <c r="H13">
        <v>1</v>
      </c>
      <c r="I13">
        <f t="shared" si="0"/>
        <v>0</v>
      </c>
      <c r="J13">
        <v>100</v>
      </c>
      <c r="K13">
        <v>0</v>
      </c>
      <c r="L13">
        <f t="shared" si="1"/>
        <v>100</v>
      </c>
      <c r="M13" t="s">
        <v>5059</v>
      </c>
    </row>
    <row r="14" spans="1:13" x14ac:dyDescent="0.25">
      <c r="A14" t="s">
        <v>5053</v>
      </c>
      <c r="B14">
        <v>3</v>
      </c>
      <c r="C14">
        <v>31</v>
      </c>
      <c r="D14" t="s">
        <v>4567</v>
      </c>
      <c r="E14" s="6" t="s">
        <v>4880</v>
      </c>
      <c r="F14" s="3"/>
      <c r="G14">
        <v>0</v>
      </c>
      <c r="H14">
        <v>1</v>
      </c>
      <c r="I14">
        <f t="shared" si="0"/>
        <v>0</v>
      </c>
      <c r="J14">
        <v>80</v>
      </c>
      <c r="K14">
        <v>0</v>
      </c>
      <c r="L14">
        <f t="shared" si="1"/>
        <v>80</v>
      </c>
      <c r="M14" t="s">
        <v>5059</v>
      </c>
    </row>
    <row r="15" spans="1:13" x14ac:dyDescent="0.25">
      <c r="A15" t="s">
        <v>5053</v>
      </c>
      <c r="B15">
        <v>3</v>
      </c>
      <c r="C15">
        <v>31</v>
      </c>
      <c r="D15" t="s">
        <v>4567</v>
      </c>
      <c r="E15" s="7">
        <v>7176</v>
      </c>
      <c r="F15" s="3"/>
      <c r="G15">
        <v>0</v>
      </c>
      <c r="H15">
        <v>1</v>
      </c>
      <c r="I15">
        <f t="shared" si="0"/>
        <v>0</v>
      </c>
      <c r="J15">
        <v>60</v>
      </c>
      <c r="K15">
        <v>0</v>
      </c>
      <c r="L15">
        <f t="shared" si="1"/>
        <v>60</v>
      </c>
      <c r="M15" t="s">
        <v>5059</v>
      </c>
    </row>
    <row r="16" spans="1:13" x14ac:dyDescent="0.25">
      <c r="A16" t="s">
        <v>5053</v>
      </c>
      <c r="B16">
        <v>3</v>
      </c>
      <c r="C16">
        <v>31</v>
      </c>
      <c r="D16" t="s">
        <v>4567</v>
      </c>
      <c r="E16" s="6" t="s">
        <v>4881</v>
      </c>
      <c r="F16" s="3"/>
      <c r="G16">
        <v>0</v>
      </c>
      <c r="H16">
        <v>1</v>
      </c>
      <c r="I16">
        <f t="shared" si="0"/>
        <v>0</v>
      </c>
      <c r="J16">
        <v>160</v>
      </c>
      <c r="K16">
        <v>0</v>
      </c>
      <c r="L16">
        <f t="shared" si="1"/>
        <v>160</v>
      </c>
      <c r="M16" t="s">
        <v>5059</v>
      </c>
    </row>
    <row r="17" spans="1:14" x14ac:dyDescent="0.25">
      <c r="A17" t="s">
        <v>5053</v>
      </c>
      <c r="B17">
        <v>3</v>
      </c>
      <c r="C17">
        <v>31</v>
      </c>
      <c r="D17" t="s">
        <v>4567</v>
      </c>
      <c r="E17" s="6" t="s">
        <v>4882</v>
      </c>
      <c r="F17" s="3"/>
      <c r="G17">
        <v>0</v>
      </c>
      <c r="H17">
        <v>1</v>
      </c>
      <c r="I17">
        <f t="shared" si="0"/>
        <v>0</v>
      </c>
      <c r="J17">
        <v>160</v>
      </c>
      <c r="K17">
        <v>0</v>
      </c>
      <c r="L17">
        <f t="shared" si="1"/>
        <v>160</v>
      </c>
      <c r="M17" t="s">
        <v>5059</v>
      </c>
    </row>
    <row r="18" spans="1:14" x14ac:dyDescent="0.25">
      <c r="A18" t="s">
        <v>5053</v>
      </c>
      <c r="B18">
        <v>3</v>
      </c>
      <c r="C18">
        <v>31</v>
      </c>
      <c r="D18" t="s">
        <v>4567</v>
      </c>
      <c r="E18" s="6" t="s">
        <v>4883</v>
      </c>
      <c r="F18" s="3"/>
      <c r="G18">
        <v>0</v>
      </c>
      <c r="H18">
        <v>1</v>
      </c>
      <c r="I18">
        <f t="shared" si="0"/>
        <v>0</v>
      </c>
      <c r="J18">
        <v>140</v>
      </c>
      <c r="K18">
        <v>0</v>
      </c>
      <c r="L18">
        <f t="shared" si="1"/>
        <v>140</v>
      </c>
      <c r="M18" t="s">
        <v>5059</v>
      </c>
    </row>
    <row r="19" spans="1:14" x14ac:dyDescent="0.25">
      <c r="A19" t="s">
        <v>5053</v>
      </c>
      <c r="B19">
        <v>3</v>
      </c>
      <c r="C19">
        <v>31</v>
      </c>
      <c r="D19" t="s">
        <v>4567</v>
      </c>
      <c r="E19" s="7">
        <v>15143</v>
      </c>
      <c r="F19" s="3"/>
      <c r="G19">
        <v>0</v>
      </c>
      <c r="H19">
        <v>1</v>
      </c>
      <c r="I19">
        <f t="shared" si="0"/>
        <v>0</v>
      </c>
      <c r="J19">
        <v>1</v>
      </c>
      <c r="K19">
        <v>0</v>
      </c>
      <c r="L19">
        <f t="shared" si="1"/>
        <v>1</v>
      </c>
      <c r="M19" t="s">
        <v>5059</v>
      </c>
    </row>
    <row r="20" spans="1:14" x14ac:dyDescent="0.25">
      <c r="A20" t="s">
        <v>5053</v>
      </c>
      <c r="B20">
        <v>3</v>
      </c>
      <c r="C20">
        <v>27</v>
      </c>
      <c r="D20" t="s">
        <v>4567</v>
      </c>
      <c r="E20" s="6" t="s">
        <v>4890</v>
      </c>
      <c r="F20" s="3"/>
      <c r="G20">
        <v>5</v>
      </c>
      <c r="H20">
        <v>3</v>
      </c>
      <c r="I20">
        <f t="shared" si="0"/>
        <v>15</v>
      </c>
      <c r="J20">
        <v>0</v>
      </c>
      <c r="K20">
        <v>0</v>
      </c>
      <c r="L20">
        <f t="shared" si="1"/>
        <v>15</v>
      </c>
      <c r="M20" t="s">
        <v>5059</v>
      </c>
    </row>
    <row r="21" spans="1:14" x14ac:dyDescent="0.25">
      <c r="A21" t="s">
        <v>5053</v>
      </c>
      <c r="B21">
        <v>3</v>
      </c>
      <c r="C21">
        <v>27</v>
      </c>
      <c r="D21" t="s">
        <v>4567</v>
      </c>
      <c r="E21" s="6" t="s">
        <v>4891</v>
      </c>
      <c r="F21" s="3"/>
      <c r="G21">
        <v>17</v>
      </c>
      <c r="H21">
        <v>3</v>
      </c>
      <c r="I21">
        <f t="shared" si="0"/>
        <v>51</v>
      </c>
      <c r="J21">
        <v>0</v>
      </c>
      <c r="K21">
        <v>0</v>
      </c>
      <c r="L21">
        <f t="shared" si="1"/>
        <v>51</v>
      </c>
      <c r="M21" t="s">
        <v>5059</v>
      </c>
    </row>
    <row r="22" spans="1:14" x14ac:dyDescent="0.25">
      <c r="A22" t="s">
        <v>5053</v>
      </c>
      <c r="B22">
        <v>3</v>
      </c>
      <c r="C22">
        <v>27</v>
      </c>
      <c r="D22" t="s">
        <v>4567</v>
      </c>
      <c r="E22" s="6" t="s">
        <v>4892</v>
      </c>
      <c r="F22" s="3"/>
      <c r="G22">
        <v>9</v>
      </c>
      <c r="H22">
        <v>9</v>
      </c>
      <c r="I22">
        <f t="shared" si="0"/>
        <v>81</v>
      </c>
      <c r="J22">
        <v>0</v>
      </c>
      <c r="K22">
        <v>0</v>
      </c>
      <c r="L22">
        <f t="shared" si="1"/>
        <v>81</v>
      </c>
      <c r="M22" t="s">
        <v>5059</v>
      </c>
    </row>
    <row r="23" spans="1:14" x14ac:dyDescent="0.25">
      <c r="A23" t="s">
        <v>5053</v>
      </c>
      <c r="B23">
        <v>3</v>
      </c>
      <c r="C23">
        <v>27</v>
      </c>
      <c r="D23" t="s">
        <v>4567</v>
      </c>
      <c r="E23" s="6" t="s">
        <v>4893</v>
      </c>
      <c r="F23" s="3"/>
      <c r="G23">
        <v>5</v>
      </c>
      <c r="H23">
        <v>3</v>
      </c>
      <c r="I23">
        <f t="shared" si="0"/>
        <v>15</v>
      </c>
      <c r="J23">
        <v>0</v>
      </c>
      <c r="K23">
        <v>0</v>
      </c>
      <c r="L23">
        <f t="shared" si="1"/>
        <v>15</v>
      </c>
      <c r="M23" t="s">
        <v>5059</v>
      </c>
    </row>
    <row r="24" spans="1:14" x14ac:dyDescent="0.25">
      <c r="A24" t="s">
        <v>5053</v>
      </c>
      <c r="B24">
        <v>3</v>
      </c>
      <c r="C24">
        <v>27</v>
      </c>
      <c r="D24" t="s">
        <v>4567</v>
      </c>
      <c r="E24" s="6" t="s">
        <v>4894</v>
      </c>
      <c r="F24" s="3"/>
      <c r="G24">
        <v>35</v>
      </c>
      <c r="H24">
        <v>3</v>
      </c>
      <c r="I24">
        <f t="shared" si="0"/>
        <v>105</v>
      </c>
      <c r="J24">
        <v>0</v>
      </c>
      <c r="K24">
        <v>0</v>
      </c>
      <c r="L24">
        <f t="shared" si="1"/>
        <v>105</v>
      </c>
      <c r="M24" t="s">
        <v>5059</v>
      </c>
    </row>
    <row r="25" spans="1:14" x14ac:dyDescent="0.25">
      <c r="A25" t="s">
        <v>5053</v>
      </c>
      <c r="B25">
        <v>3</v>
      </c>
      <c r="C25">
        <v>27</v>
      </c>
      <c r="D25" t="s">
        <v>4567</v>
      </c>
      <c r="E25" s="6" t="s">
        <v>4895</v>
      </c>
      <c r="F25" s="3"/>
      <c r="G25">
        <v>12</v>
      </c>
      <c r="H25">
        <v>3</v>
      </c>
      <c r="I25">
        <f t="shared" si="0"/>
        <v>36</v>
      </c>
      <c r="J25">
        <v>0</v>
      </c>
      <c r="K25">
        <v>0</v>
      </c>
      <c r="L25">
        <f t="shared" si="1"/>
        <v>36</v>
      </c>
      <c r="M25" t="s">
        <v>5059</v>
      </c>
    </row>
    <row r="26" spans="1:14" x14ac:dyDescent="0.25">
      <c r="A26" t="s">
        <v>5053</v>
      </c>
      <c r="B26">
        <v>3</v>
      </c>
      <c r="C26">
        <v>28</v>
      </c>
      <c r="D26" t="s">
        <v>4567</v>
      </c>
      <c r="E26">
        <v>1153</v>
      </c>
      <c r="F26" s="3"/>
      <c r="G26">
        <v>15</v>
      </c>
      <c r="H26">
        <v>50</v>
      </c>
      <c r="I26">
        <f t="shared" si="0"/>
        <v>750</v>
      </c>
      <c r="J26">
        <v>0</v>
      </c>
      <c r="K26">
        <v>0</v>
      </c>
      <c r="L26">
        <f t="shared" si="1"/>
        <v>750</v>
      </c>
      <c r="M26" t="s">
        <v>5059</v>
      </c>
    </row>
    <row r="27" spans="1:14" x14ac:dyDescent="0.25">
      <c r="A27" t="s">
        <v>5053</v>
      </c>
      <c r="B27">
        <v>3</v>
      </c>
      <c r="C27">
        <v>28</v>
      </c>
      <c r="D27" t="s">
        <v>4567</v>
      </c>
      <c r="E27">
        <v>15140</v>
      </c>
      <c r="F27" s="3"/>
      <c r="G27">
        <v>0</v>
      </c>
      <c r="H27">
        <v>1</v>
      </c>
      <c r="I27">
        <f t="shared" si="0"/>
        <v>0</v>
      </c>
      <c r="J27">
        <v>21</v>
      </c>
      <c r="K27">
        <v>0</v>
      </c>
      <c r="L27">
        <f t="shared" si="1"/>
        <v>21</v>
      </c>
      <c r="M27" t="s">
        <v>5059</v>
      </c>
    </row>
    <row r="28" spans="1:14" x14ac:dyDescent="0.25">
      <c r="A28" t="s">
        <v>5053</v>
      </c>
      <c r="B28">
        <v>3</v>
      </c>
      <c r="C28">
        <v>28</v>
      </c>
      <c r="D28" t="s">
        <v>4567</v>
      </c>
      <c r="E28">
        <v>1152</v>
      </c>
      <c r="F28" s="3"/>
      <c r="G28">
        <v>55</v>
      </c>
      <c r="H28">
        <v>50</v>
      </c>
      <c r="I28">
        <f t="shared" si="0"/>
        <v>2750</v>
      </c>
      <c r="J28">
        <v>0</v>
      </c>
      <c r="K28">
        <v>0</v>
      </c>
      <c r="L28">
        <f t="shared" si="1"/>
        <v>2750</v>
      </c>
      <c r="M28" t="s">
        <v>5060</v>
      </c>
      <c r="N28" s="8" t="s">
        <v>4898</v>
      </c>
    </row>
    <row r="29" spans="1:14" x14ac:dyDescent="0.25">
      <c r="A29" t="s">
        <v>5053</v>
      </c>
      <c r="B29">
        <v>3</v>
      </c>
      <c r="C29">
        <v>28</v>
      </c>
      <c r="D29" t="s">
        <v>4567</v>
      </c>
      <c r="E29">
        <v>1152</v>
      </c>
      <c r="F29" s="3"/>
      <c r="G29">
        <v>12</v>
      </c>
      <c r="H29">
        <v>50</v>
      </c>
      <c r="I29">
        <f t="shared" si="0"/>
        <v>600</v>
      </c>
      <c r="J29">
        <v>0</v>
      </c>
      <c r="K29">
        <v>0</v>
      </c>
      <c r="L29">
        <f t="shared" si="1"/>
        <v>600</v>
      </c>
      <c r="M29" t="s">
        <v>5060</v>
      </c>
      <c r="N29" s="8" t="s">
        <v>4898</v>
      </c>
    </row>
    <row r="30" spans="1:14" x14ac:dyDescent="0.25">
      <c r="A30" t="s">
        <v>5053</v>
      </c>
      <c r="B30">
        <v>3</v>
      </c>
      <c r="C30">
        <v>28</v>
      </c>
      <c r="D30" t="s">
        <v>4567</v>
      </c>
      <c r="E30">
        <v>3332</v>
      </c>
      <c r="F30" s="3"/>
      <c r="G30">
        <v>3</v>
      </c>
      <c r="H30">
        <v>8</v>
      </c>
      <c r="I30">
        <f t="shared" si="0"/>
        <v>24</v>
      </c>
      <c r="J30">
        <v>0</v>
      </c>
      <c r="K30">
        <v>0</v>
      </c>
      <c r="L30">
        <f t="shared" si="1"/>
        <v>24</v>
      </c>
      <c r="M30" t="s">
        <v>5059</v>
      </c>
    </row>
    <row r="31" spans="1:14" x14ac:dyDescent="0.25">
      <c r="A31" t="s">
        <v>5053</v>
      </c>
      <c r="B31">
        <v>3</v>
      </c>
      <c r="C31">
        <v>28</v>
      </c>
      <c r="D31" t="s">
        <v>4567</v>
      </c>
      <c r="E31">
        <v>1375</v>
      </c>
      <c r="F31" s="3"/>
      <c r="G31">
        <v>0</v>
      </c>
      <c r="H31">
        <v>1</v>
      </c>
      <c r="I31">
        <f t="shared" ref="I31:I36" si="2">G31*H31</f>
        <v>0</v>
      </c>
      <c r="J31">
        <v>120</v>
      </c>
      <c r="K31">
        <v>0</v>
      </c>
      <c r="L31">
        <f t="shared" si="1"/>
        <v>120</v>
      </c>
      <c r="M31" t="s">
        <v>5059</v>
      </c>
    </row>
    <row r="32" spans="1:14" x14ac:dyDescent="0.25">
      <c r="A32" t="s">
        <v>5053</v>
      </c>
      <c r="B32">
        <v>3</v>
      </c>
      <c r="C32">
        <v>28</v>
      </c>
      <c r="D32" t="s">
        <v>4567</v>
      </c>
      <c r="E32">
        <v>1376</v>
      </c>
      <c r="F32" s="3"/>
      <c r="G32">
        <v>0</v>
      </c>
      <c r="H32">
        <v>1</v>
      </c>
      <c r="I32">
        <f t="shared" si="2"/>
        <v>0</v>
      </c>
      <c r="J32">
        <v>96</v>
      </c>
      <c r="K32">
        <v>0</v>
      </c>
      <c r="L32">
        <f t="shared" si="1"/>
        <v>96</v>
      </c>
      <c r="M32" t="s">
        <v>5059</v>
      </c>
    </row>
    <row r="33" spans="1:15" x14ac:dyDescent="0.25">
      <c r="A33" t="s">
        <v>5053</v>
      </c>
      <c r="B33">
        <v>3</v>
      </c>
      <c r="C33">
        <v>28</v>
      </c>
      <c r="D33" t="s">
        <v>4567</v>
      </c>
      <c r="E33">
        <v>1377</v>
      </c>
      <c r="F33" s="3"/>
      <c r="G33">
        <v>0</v>
      </c>
      <c r="H33">
        <v>1</v>
      </c>
      <c r="I33">
        <f t="shared" si="2"/>
        <v>0</v>
      </c>
      <c r="J33">
        <v>64</v>
      </c>
      <c r="K33">
        <v>0</v>
      </c>
      <c r="L33">
        <f t="shared" si="1"/>
        <v>64</v>
      </c>
      <c r="M33" t="s">
        <v>5059</v>
      </c>
    </row>
    <row r="34" spans="1:15" x14ac:dyDescent="0.25">
      <c r="A34" t="s">
        <v>5053</v>
      </c>
      <c r="B34">
        <v>3</v>
      </c>
      <c r="C34">
        <v>28</v>
      </c>
      <c r="D34" t="s">
        <v>4567</v>
      </c>
      <c r="E34">
        <v>1378</v>
      </c>
      <c r="F34" s="3"/>
      <c r="G34">
        <v>0</v>
      </c>
      <c r="H34">
        <v>1</v>
      </c>
      <c r="I34">
        <f t="shared" si="2"/>
        <v>0</v>
      </c>
      <c r="J34">
        <v>60</v>
      </c>
      <c r="K34">
        <v>0</v>
      </c>
      <c r="L34">
        <f t="shared" si="1"/>
        <v>60</v>
      </c>
      <c r="M34" t="s">
        <v>5059</v>
      </c>
    </row>
    <row r="35" spans="1:15" x14ac:dyDescent="0.25">
      <c r="A35" t="s">
        <v>5053</v>
      </c>
      <c r="B35">
        <v>3</v>
      </c>
      <c r="C35">
        <v>28</v>
      </c>
      <c r="D35" t="s">
        <v>4567</v>
      </c>
      <c r="E35">
        <v>3124</v>
      </c>
      <c r="F35" s="3"/>
      <c r="G35">
        <v>2</v>
      </c>
      <c r="H35">
        <v>4</v>
      </c>
      <c r="I35">
        <f t="shared" si="2"/>
        <v>8</v>
      </c>
      <c r="J35">
        <v>0</v>
      </c>
      <c r="K35">
        <v>0</v>
      </c>
      <c r="L35">
        <f t="shared" si="1"/>
        <v>8</v>
      </c>
      <c r="M35" t="s">
        <v>5060</v>
      </c>
      <c r="N35" s="8" t="s">
        <v>4900</v>
      </c>
    </row>
    <row r="36" spans="1:15" x14ac:dyDescent="0.25">
      <c r="A36" t="s">
        <v>5053</v>
      </c>
      <c r="B36">
        <v>3</v>
      </c>
      <c r="C36">
        <v>28</v>
      </c>
      <c r="D36" t="s">
        <v>4567</v>
      </c>
      <c r="E36">
        <v>3124</v>
      </c>
      <c r="F36" s="3"/>
      <c r="G36">
        <v>3</v>
      </c>
      <c r="H36">
        <v>4</v>
      </c>
      <c r="I36">
        <f t="shared" si="2"/>
        <v>12</v>
      </c>
      <c r="J36">
        <v>0</v>
      </c>
      <c r="K36">
        <v>0</v>
      </c>
      <c r="L36">
        <f t="shared" si="1"/>
        <v>12</v>
      </c>
      <c r="M36" t="s">
        <v>5060</v>
      </c>
      <c r="N36" s="8" t="s">
        <v>4900</v>
      </c>
    </row>
    <row r="37" spans="1:15" x14ac:dyDescent="0.25">
      <c r="A37" t="s">
        <v>5053</v>
      </c>
      <c r="B37">
        <v>3</v>
      </c>
      <c r="C37">
        <v>28</v>
      </c>
      <c r="D37" t="s">
        <v>4567</v>
      </c>
      <c r="E37">
        <v>1150</v>
      </c>
      <c r="F37" s="3"/>
      <c r="G37">
        <v>16</v>
      </c>
      <c r="H37">
        <v>50</v>
      </c>
      <c r="I37">
        <f t="shared" ref="I37:I40" si="3">G37*H37</f>
        <v>800</v>
      </c>
      <c r="J37">
        <v>0</v>
      </c>
      <c r="K37">
        <v>0</v>
      </c>
      <c r="L37">
        <f t="shared" si="1"/>
        <v>800</v>
      </c>
      <c r="M37" t="s">
        <v>5059</v>
      </c>
    </row>
    <row r="38" spans="1:15" x14ac:dyDescent="0.25">
      <c r="A38" t="s">
        <v>5053</v>
      </c>
      <c r="B38">
        <v>3</v>
      </c>
      <c r="C38">
        <v>28</v>
      </c>
      <c r="D38" t="s">
        <v>4567</v>
      </c>
      <c r="E38">
        <v>1150</v>
      </c>
      <c r="F38" s="3"/>
      <c r="G38">
        <v>30</v>
      </c>
      <c r="H38">
        <v>50</v>
      </c>
      <c r="I38">
        <f t="shared" si="3"/>
        <v>1500</v>
      </c>
      <c r="J38">
        <v>0</v>
      </c>
      <c r="K38">
        <v>0</v>
      </c>
      <c r="L38">
        <f t="shared" si="1"/>
        <v>1500</v>
      </c>
      <c r="M38" t="s">
        <v>5059</v>
      </c>
    </row>
    <row r="39" spans="1:15" x14ac:dyDescent="0.25">
      <c r="A39" t="s">
        <v>5053</v>
      </c>
      <c r="B39">
        <v>3</v>
      </c>
      <c r="C39">
        <v>27</v>
      </c>
      <c r="D39" t="s">
        <v>4567</v>
      </c>
      <c r="E39" s="6" t="s">
        <v>4908</v>
      </c>
      <c r="F39" s="3"/>
      <c r="G39">
        <v>5</v>
      </c>
      <c r="H39">
        <v>50</v>
      </c>
      <c r="I39">
        <f t="shared" si="3"/>
        <v>250</v>
      </c>
      <c r="J39">
        <v>0</v>
      </c>
      <c r="K39">
        <v>0</v>
      </c>
      <c r="L39">
        <f t="shared" si="1"/>
        <v>250</v>
      </c>
      <c r="M39" t="s">
        <v>5059</v>
      </c>
    </row>
    <row r="40" spans="1:15" x14ac:dyDescent="0.25">
      <c r="A40" t="s">
        <v>5053</v>
      </c>
      <c r="B40">
        <v>3</v>
      </c>
      <c r="C40">
        <v>27</v>
      </c>
      <c r="D40" t="s">
        <v>4567</v>
      </c>
      <c r="E40" s="6" t="s">
        <v>4909</v>
      </c>
      <c r="F40" s="3"/>
      <c r="G40">
        <v>8</v>
      </c>
      <c r="H40">
        <v>20</v>
      </c>
      <c r="I40">
        <f t="shared" si="3"/>
        <v>160</v>
      </c>
      <c r="J40">
        <v>0</v>
      </c>
      <c r="K40">
        <v>0</v>
      </c>
      <c r="L40">
        <f t="shared" si="1"/>
        <v>160</v>
      </c>
      <c r="M40" t="s">
        <v>5059</v>
      </c>
    </row>
    <row r="41" spans="1:15" x14ac:dyDescent="0.25">
      <c r="A41" t="s">
        <v>5053</v>
      </c>
      <c r="B41">
        <v>3</v>
      </c>
      <c r="C41">
        <v>27</v>
      </c>
      <c r="D41" t="s">
        <v>4567</v>
      </c>
      <c r="E41" s="7">
        <v>7054</v>
      </c>
      <c r="F41" s="3"/>
      <c r="G41">
        <v>0</v>
      </c>
      <c r="H41">
        <v>1</v>
      </c>
      <c r="I41">
        <f t="shared" ref="I41:I43" si="4">G41*H41</f>
        <v>0</v>
      </c>
      <c r="J41">
        <v>0</v>
      </c>
      <c r="K41">
        <v>0</v>
      </c>
      <c r="L41">
        <f t="shared" si="1"/>
        <v>0</v>
      </c>
      <c r="M41" t="s">
        <v>5060</v>
      </c>
    </row>
    <row r="42" spans="1:15" x14ac:dyDescent="0.25">
      <c r="A42" t="s">
        <v>5053</v>
      </c>
      <c r="B42">
        <v>3</v>
      </c>
      <c r="C42">
        <v>27</v>
      </c>
      <c r="D42" t="s">
        <v>4567</v>
      </c>
      <c r="E42" s="7">
        <v>7055</v>
      </c>
      <c r="F42" s="3"/>
      <c r="G42" s="8">
        <v>3</v>
      </c>
      <c r="H42" s="8">
        <v>20</v>
      </c>
      <c r="I42">
        <f t="shared" si="4"/>
        <v>60</v>
      </c>
      <c r="J42" s="8">
        <v>2</v>
      </c>
      <c r="K42">
        <v>0</v>
      </c>
      <c r="L42">
        <f t="shared" si="1"/>
        <v>62</v>
      </c>
      <c r="M42" t="s">
        <v>5060</v>
      </c>
      <c r="N42" s="8" t="s">
        <v>4550</v>
      </c>
      <c r="O42" s="8">
        <v>2</v>
      </c>
    </row>
    <row r="43" spans="1:15" x14ac:dyDescent="0.25">
      <c r="A43" t="s">
        <v>5053</v>
      </c>
      <c r="B43">
        <v>3</v>
      </c>
      <c r="C43">
        <v>27</v>
      </c>
      <c r="D43" t="s">
        <v>4567</v>
      </c>
      <c r="E43" s="6" t="s">
        <v>4910</v>
      </c>
      <c r="F43" s="3"/>
      <c r="G43">
        <v>60</v>
      </c>
      <c r="H43">
        <v>25</v>
      </c>
      <c r="I43">
        <f t="shared" si="4"/>
        <v>1500</v>
      </c>
      <c r="J43">
        <v>0</v>
      </c>
      <c r="K43">
        <v>0</v>
      </c>
      <c r="L43">
        <f t="shared" si="1"/>
        <v>1500</v>
      </c>
      <c r="M43" t="s">
        <v>5059</v>
      </c>
    </row>
    <row r="44" spans="1:15" x14ac:dyDescent="0.25">
      <c r="A44" t="s">
        <v>5053</v>
      </c>
      <c r="B44">
        <v>3</v>
      </c>
      <c r="C44">
        <v>27</v>
      </c>
      <c r="D44" t="s">
        <v>4567</v>
      </c>
      <c r="E44" s="6" t="s">
        <v>4911</v>
      </c>
      <c r="F44" s="3"/>
      <c r="G44">
        <v>0</v>
      </c>
      <c r="H44">
        <v>1</v>
      </c>
      <c r="I44">
        <f t="shared" ref="I44:I57" si="5">G44*H44</f>
        <v>0</v>
      </c>
      <c r="J44">
        <v>0</v>
      </c>
      <c r="K44">
        <v>0</v>
      </c>
      <c r="L44">
        <f t="shared" si="1"/>
        <v>0</v>
      </c>
      <c r="M44" t="s">
        <v>5060</v>
      </c>
    </row>
    <row r="45" spans="1:15" x14ac:dyDescent="0.25">
      <c r="A45" t="s">
        <v>5053</v>
      </c>
      <c r="B45">
        <v>3</v>
      </c>
      <c r="C45">
        <v>27</v>
      </c>
      <c r="D45" t="s">
        <v>4567</v>
      </c>
      <c r="E45" s="6" t="s">
        <v>4912</v>
      </c>
      <c r="F45" s="3"/>
      <c r="G45">
        <v>0</v>
      </c>
      <c r="H45">
        <v>1</v>
      </c>
      <c r="I45">
        <f t="shared" si="5"/>
        <v>0</v>
      </c>
      <c r="J45">
        <v>0</v>
      </c>
      <c r="K45">
        <v>0</v>
      </c>
      <c r="L45">
        <f t="shared" si="1"/>
        <v>0</v>
      </c>
      <c r="M45" t="s">
        <v>5060</v>
      </c>
    </row>
    <row r="46" spans="1:15" x14ac:dyDescent="0.25">
      <c r="A46" t="s">
        <v>5053</v>
      </c>
      <c r="B46">
        <v>3</v>
      </c>
      <c r="C46">
        <v>27</v>
      </c>
      <c r="D46" t="s">
        <v>4567</v>
      </c>
      <c r="E46" s="6" t="s">
        <v>4913</v>
      </c>
      <c r="F46" s="3"/>
      <c r="G46">
        <v>0</v>
      </c>
      <c r="H46">
        <v>1</v>
      </c>
      <c r="I46">
        <f t="shared" si="5"/>
        <v>0</v>
      </c>
      <c r="J46">
        <v>0</v>
      </c>
      <c r="K46">
        <v>0</v>
      </c>
      <c r="L46">
        <f t="shared" si="1"/>
        <v>0</v>
      </c>
      <c r="M46" t="s">
        <v>5060</v>
      </c>
    </row>
    <row r="47" spans="1:15" x14ac:dyDescent="0.25">
      <c r="A47" t="s">
        <v>5053</v>
      </c>
      <c r="B47">
        <v>3</v>
      </c>
      <c r="C47">
        <v>27</v>
      </c>
      <c r="D47" t="s">
        <v>4567</v>
      </c>
      <c r="E47" s="6" t="s">
        <v>4914</v>
      </c>
      <c r="F47" s="3"/>
      <c r="G47">
        <v>0</v>
      </c>
      <c r="H47">
        <v>1</v>
      </c>
      <c r="I47">
        <f t="shared" si="5"/>
        <v>0</v>
      </c>
      <c r="J47">
        <v>0</v>
      </c>
      <c r="K47">
        <v>0</v>
      </c>
      <c r="L47">
        <f t="shared" si="1"/>
        <v>0</v>
      </c>
      <c r="M47" t="s">
        <v>5060</v>
      </c>
    </row>
    <row r="48" spans="1:15" x14ac:dyDescent="0.25">
      <c r="A48" t="s">
        <v>5053</v>
      </c>
      <c r="B48">
        <v>3</v>
      </c>
      <c r="C48">
        <v>27</v>
      </c>
      <c r="D48" t="s">
        <v>4567</v>
      </c>
      <c r="E48" s="6" t="s">
        <v>4915</v>
      </c>
      <c r="F48" s="3"/>
      <c r="G48">
        <v>0</v>
      </c>
      <c r="H48">
        <v>1</v>
      </c>
      <c r="I48">
        <f t="shared" si="5"/>
        <v>0</v>
      </c>
      <c r="J48">
        <v>0</v>
      </c>
      <c r="K48">
        <v>0</v>
      </c>
      <c r="L48">
        <f t="shared" si="1"/>
        <v>0</v>
      </c>
      <c r="M48" t="s">
        <v>5060</v>
      </c>
    </row>
    <row r="49" spans="1:13" x14ac:dyDescent="0.25">
      <c r="A49" t="s">
        <v>5053</v>
      </c>
      <c r="B49">
        <v>3</v>
      </c>
      <c r="C49">
        <v>27</v>
      </c>
      <c r="D49" t="s">
        <v>4567</v>
      </c>
      <c r="E49" s="6" t="s">
        <v>4916</v>
      </c>
      <c r="F49" s="3"/>
      <c r="G49">
        <v>4</v>
      </c>
      <c r="H49">
        <v>3</v>
      </c>
      <c r="I49">
        <f t="shared" si="5"/>
        <v>12</v>
      </c>
      <c r="J49">
        <v>0</v>
      </c>
      <c r="K49">
        <v>0</v>
      </c>
      <c r="L49">
        <f t="shared" si="1"/>
        <v>12</v>
      </c>
      <c r="M49" t="s">
        <v>5059</v>
      </c>
    </row>
    <row r="50" spans="1:13" x14ac:dyDescent="0.25">
      <c r="A50" t="s">
        <v>5053</v>
      </c>
      <c r="B50">
        <v>3</v>
      </c>
      <c r="C50">
        <v>27</v>
      </c>
      <c r="D50" t="s">
        <v>4567</v>
      </c>
      <c r="E50" s="6" t="s">
        <v>4917</v>
      </c>
      <c r="F50" s="3"/>
      <c r="G50">
        <v>12</v>
      </c>
      <c r="H50">
        <v>3</v>
      </c>
      <c r="I50">
        <f t="shared" si="5"/>
        <v>36</v>
      </c>
      <c r="J50">
        <v>0</v>
      </c>
      <c r="K50">
        <v>0</v>
      </c>
      <c r="L50">
        <f t="shared" si="1"/>
        <v>36</v>
      </c>
      <c r="M50" t="s">
        <v>5059</v>
      </c>
    </row>
    <row r="51" spans="1:13" x14ac:dyDescent="0.25">
      <c r="A51" t="s">
        <v>5053</v>
      </c>
      <c r="B51">
        <v>3</v>
      </c>
      <c r="C51">
        <v>27</v>
      </c>
      <c r="D51" t="s">
        <v>4567</v>
      </c>
      <c r="E51" s="6" t="s">
        <v>4918</v>
      </c>
      <c r="F51" s="3"/>
      <c r="G51">
        <v>0</v>
      </c>
      <c r="H51">
        <v>3</v>
      </c>
      <c r="I51">
        <f t="shared" si="5"/>
        <v>0</v>
      </c>
      <c r="J51">
        <v>0</v>
      </c>
      <c r="K51">
        <v>0</v>
      </c>
      <c r="L51">
        <f t="shared" si="1"/>
        <v>0</v>
      </c>
      <c r="M51" t="s">
        <v>5059</v>
      </c>
    </row>
    <row r="52" spans="1:13" x14ac:dyDescent="0.25">
      <c r="A52" t="s">
        <v>5053</v>
      </c>
      <c r="B52">
        <v>3</v>
      </c>
      <c r="C52">
        <v>27</v>
      </c>
      <c r="D52" t="s">
        <v>4567</v>
      </c>
      <c r="E52" s="6" t="s">
        <v>4919</v>
      </c>
      <c r="F52" s="3"/>
      <c r="G52">
        <v>14</v>
      </c>
      <c r="H52">
        <v>3</v>
      </c>
      <c r="I52">
        <f t="shared" si="5"/>
        <v>42</v>
      </c>
      <c r="J52">
        <v>0</v>
      </c>
      <c r="K52">
        <v>0</v>
      </c>
      <c r="L52">
        <f t="shared" si="1"/>
        <v>42</v>
      </c>
      <c r="M52" t="s">
        <v>5059</v>
      </c>
    </row>
    <row r="53" spans="1:13" x14ac:dyDescent="0.25">
      <c r="A53" t="s">
        <v>5053</v>
      </c>
      <c r="B53">
        <v>3</v>
      </c>
      <c r="C53">
        <v>27</v>
      </c>
      <c r="D53" t="s">
        <v>4567</v>
      </c>
      <c r="E53" s="6" t="s">
        <v>4920</v>
      </c>
      <c r="F53" s="3"/>
      <c r="G53">
        <v>24</v>
      </c>
      <c r="H53">
        <v>3</v>
      </c>
      <c r="I53">
        <f t="shared" si="5"/>
        <v>72</v>
      </c>
      <c r="J53">
        <v>0</v>
      </c>
      <c r="K53">
        <v>0</v>
      </c>
      <c r="L53">
        <f t="shared" si="1"/>
        <v>72</v>
      </c>
      <c r="M53" t="s">
        <v>5059</v>
      </c>
    </row>
    <row r="54" spans="1:13" x14ac:dyDescent="0.25">
      <c r="A54" t="s">
        <v>5053</v>
      </c>
      <c r="B54">
        <v>3</v>
      </c>
      <c r="C54">
        <v>27</v>
      </c>
      <c r="D54" t="s">
        <v>4567</v>
      </c>
      <c r="E54" s="6" t="s">
        <v>4921</v>
      </c>
      <c r="F54" s="3"/>
      <c r="G54">
        <v>22</v>
      </c>
      <c r="H54">
        <v>3</v>
      </c>
      <c r="I54">
        <f t="shared" si="5"/>
        <v>66</v>
      </c>
      <c r="J54">
        <v>0</v>
      </c>
      <c r="K54">
        <v>0</v>
      </c>
      <c r="L54">
        <f t="shared" si="1"/>
        <v>66</v>
      </c>
      <c r="M54" t="s">
        <v>5059</v>
      </c>
    </row>
    <row r="55" spans="1:13" x14ac:dyDescent="0.25">
      <c r="A55" t="s">
        <v>5053</v>
      </c>
      <c r="B55">
        <v>3</v>
      </c>
      <c r="C55">
        <v>27</v>
      </c>
      <c r="D55" t="s">
        <v>4567</v>
      </c>
      <c r="E55" s="6" t="s">
        <v>4922</v>
      </c>
      <c r="F55" s="3"/>
      <c r="G55">
        <v>34</v>
      </c>
      <c r="H55">
        <v>3</v>
      </c>
      <c r="I55">
        <f t="shared" si="5"/>
        <v>102</v>
      </c>
      <c r="J55">
        <v>0</v>
      </c>
      <c r="K55">
        <v>0</v>
      </c>
      <c r="L55">
        <f t="shared" si="1"/>
        <v>102</v>
      </c>
      <c r="M55" t="s">
        <v>5059</v>
      </c>
    </row>
    <row r="56" spans="1:13" x14ac:dyDescent="0.25">
      <c r="A56" t="s">
        <v>5053</v>
      </c>
      <c r="B56">
        <v>3</v>
      </c>
      <c r="C56">
        <v>27</v>
      </c>
      <c r="D56" t="s">
        <v>4567</v>
      </c>
      <c r="E56" s="6" t="s">
        <v>4923</v>
      </c>
      <c r="F56" s="3"/>
      <c r="G56">
        <v>17</v>
      </c>
      <c r="H56">
        <v>3</v>
      </c>
      <c r="I56">
        <f t="shared" si="5"/>
        <v>51</v>
      </c>
      <c r="J56">
        <v>0</v>
      </c>
      <c r="K56">
        <v>0</v>
      </c>
      <c r="L56">
        <f t="shared" si="1"/>
        <v>51</v>
      </c>
      <c r="M56" t="s">
        <v>5059</v>
      </c>
    </row>
    <row r="57" spans="1:13" x14ac:dyDescent="0.25">
      <c r="A57" t="s">
        <v>5053</v>
      </c>
      <c r="B57">
        <v>3</v>
      </c>
      <c r="C57">
        <v>27</v>
      </c>
      <c r="D57" t="s">
        <v>4567</v>
      </c>
      <c r="E57" s="6" t="s">
        <v>4924</v>
      </c>
      <c r="F57" s="3"/>
      <c r="G57">
        <v>22</v>
      </c>
      <c r="H57">
        <v>3</v>
      </c>
      <c r="I57">
        <f t="shared" si="5"/>
        <v>66</v>
      </c>
      <c r="J57">
        <v>0</v>
      </c>
      <c r="K57">
        <v>0</v>
      </c>
      <c r="L57">
        <f t="shared" si="1"/>
        <v>66</v>
      </c>
      <c r="M57" t="s">
        <v>5059</v>
      </c>
    </row>
    <row r="58" spans="1:13" x14ac:dyDescent="0.25">
      <c r="A58" t="s">
        <v>5053</v>
      </c>
      <c r="B58">
        <v>3</v>
      </c>
      <c r="C58">
        <v>27</v>
      </c>
      <c r="D58" t="s">
        <v>4567</v>
      </c>
      <c r="E58" s="7">
        <v>3014</v>
      </c>
      <c r="F58" s="3"/>
      <c r="G58">
        <v>0</v>
      </c>
      <c r="H58">
        <v>1</v>
      </c>
      <c r="I58">
        <f t="shared" ref="I58:I59" si="6">G58*H58</f>
        <v>0</v>
      </c>
      <c r="J58">
        <v>0</v>
      </c>
      <c r="K58">
        <v>0</v>
      </c>
      <c r="L58">
        <f t="shared" si="1"/>
        <v>0</v>
      </c>
      <c r="M58" t="s">
        <v>5060</v>
      </c>
    </row>
    <row r="59" spans="1:13" x14ac:dyDescent="0.25">
      <c r="A59" t="s">
        <v>5053</v>
      </c>
      <c r="B59">
        <v>3</v>
      </c>
      <c r="C59">
        <v>27</v>
      </c>
      <c r="D59" t="s">
        <v>4567</v>
      </c>
      <c r="E59">
        <v>3011</v>
      </c>
      <c r="F59" s="3"/>
      <c r="G59">
        <v>0</v>
      </c>
      <c r="H59">
        <v>1</v>
      </c>
      <c r="I59">
        <f t="shared" si="6"/>
        <v>0</v>
      </c>
      <c r="J59">
        <v>0</v>
      </c>
      <c r="K59">
        <v>0</v>
      </c>
      <c r="L59">
        <f t="shared" si="1"/>
        <v>0</v>
      </c>
      <c r="M59" t="s">
        <v>5060</v>
      </c>
    </row>
    <row r="60" spans="1:13" x14ac:dyDescent="0.25">
      <c r="A60" t="s">
        <v>5053</v>
      </c>
      <c r="B60">
        <v>3</v>
      </c>
      <c r="C60">
        <v>30</v>
      </c>
      <c r="D60" t="s">
        <v>4567</v>
      </c>
      <c r="E60">
        <v>15143</v>
      </c>
      <c r="F60" s="3"/>
      <c r="G60">
        <v>0</v>
      </c>
      <c r="H60">
        <v>1</v>
      </c>
      <c r="I60">
        <f t="shared" ref="I60:I64" si="7">G60*H60</f>
        <v>0</v>
      </c>
      <c r="J60">
        <v>22</v>
      </c>
      <c r="K60">
        <v>0</v>
      </c>
      <c r="L60">
        <f t="shared" ref="L60:L90" si="8">I60+J60+K60</f>
        <v>22</v>
      </c>
      <c r="M60" t="s">
        <v>5059</v>
      </c>
    </row>
    <row r="61" spans="1:13" x14ac:dyDescent="0.25">
      <c r="A61" t="s">
        <v>5053</v>
      </c>
      <c r="B61">
        <v>3</v>
      </c>
      <c r="C61">
        <v>30</v>
      </c>
      <c r="D61" t="s">
        <v>4567</v>
      </c>
      <c r="E61">
        <v>15145</v>
      </c>
      <c r="F61" s="3"/>
      <c r="G61">
        <v>0</v>
      </c>
      <c r="H61">
        <v>1</v>
      </c>
      <c r="I61">
        <f t="shared" si="7"/>
        <v>0</v>
      </c>
      <c r="J61">
        <v>17</v>
      </c>
      <c r="K61">
        <v>0</v>
      </c>
      <c r="L61">
        <f t="shared" si="8"/>
        <v>17</v>
      </c>
      <c r="M61" t="s">
        <v>5059</v>
      </c>
    </row>
    <row r="62" spans="1:13" x14ac:dyDescent="0.25">
      <c r="A62" t="s">
        <v>5053</v>
      </c>
      <c r="B62">
        <v>3</v>
      </c>
      <c r="C62">
        <v>34</v>
      </c>
      <c r="D62" s="22">
        <v>46055</v>
      </c>
      <c r="E62" s="7">
        <v>15143</v>
      </c>
      <c r="F62" s="3"/>
      <c r="G62">
        <v>0</v>
      </c>
      <c r="H62">
        <v>1</v>
      </c>
      <c r="I62">
        <f t="shared" si="7"/>
        <v>0</v>
      </c>
      <c r="J62">
        <v>15</v>
      </c>
      <c r="K62">
        <v>0</v>
      </c>
      <c r="L62">
        <f t="shared" si="8"/>
        <v>15</v>
      </c>
      <c r="M62" t="s">
        <v>5059</v>
      </c>
    </row>
    <row r="63" spans="1:13" x14ac:dyDescent="0.25">
      <c r="A63" t="s">
        <v>5053</v>
      </c>
      <c r="B63">
        <v>3</v>
      </c>
      <c r="C63">
        <v>34</v>
      </c>
      <c r="D63" s="22">
        <v>46055</v>
      </c>
      <c r="E63" s="6" t="s">
        <v>4935</v>
      </c>
      <c r="F63" s="3"/>
      <c r="G63">
        <v>13</v>
      </c>
      <c r="H63">
        <v>10</v>
      </c>
      <c r="I63">
        <f t="shared" si="7"/>
        <v>130</v>
      </c>
      <c r="J63">
        <v>0</v>
      </c>
      <c r="K63">
        <v>0</v>
      </c>
      <c r="L63">
        <f t="shared" si="8"/>
        <v>130</v>
      </c>
      <c r="M63" t="s">
        <v>5059</v>
      </c>
    </row>
    <row r="64" spans="1:13" x14ac:dyDescent="0.25">
      <c r="A64" t="s">
        <v>5053</v>
      </c>
      <c r="B64">
        <v>3</v>
      </c>
      <c r="C64">
        <v>34</v>
      </c>
      <c r="D64" s="22">
        <v>46055</v>
      </c>
      <c r="E64" s="6" t="s">
        <v>4936</v>
      </c>
      <c r="F64" s="3"/>
      <c r="G64">
        <v>6</v>
      </c>
      <c r="H64">
        <v>10</v>
      </c>
      <c r="I64">
        <f t="shared" si="7"/>
        <v>60</v>
      </c>
      <c r="J64">
        <v>0</v>
      </c>
      <c r="K64">
        <v>0</v>
      </c>
      <c r="L64">
        <f t="shared" si="8"/>
        <v>60</v>
      </c>
      <c r="M64" t="s">
        <v>5059</v>
      </c>
    </row>
    <row r="65" spans="1:15" x14ac:dyDescent="0.25">
      <c r="A65" t="s">
        <v>5053</v>
      </c>
      <c r="B65">
        <v>3</v>
      </c>
      <c r="C65">
        <v>34</v>
      </c>
      <c r="D65" s="22">
        <v>46055</v>
      </c>
      <c r="E65" s="6" t="s">
        <v>4937</v>
      </c>
      <c r="F65" s="3"/>
      <c r="G65">
        <v>0</v>
      </c>
      <c r="H65">
        <v>1</v>
      </c>
      <c r="I65">
        <f t="shared" ref="I65:I77" si="9">G65*H65</f>
        <v>0</v>
      </c>
      <c r="J65">
        <v>46</v>
      </c>
      <c r="K65">
        <v>0</v>
      </c>
      <c r="L65">
        <f t="shared" si="8"/>
        <v>46</v>
      </c>
      <c r="M65" t="s">
        <v>5059</v>
      </c>
    </row>
    <row r="66" spans="1:15" x14ac:dyDescent="0.25">
      <c r="A66" t="s">
        <v>5053</v>
      </c>
      <c r="B66">
        <v>3</v>
      </c>
      <c r="C66">
        <v>34</v>
      </c>
      <c r="D66" s="22">
        <v>46055</v>
      </c>
      <c r="E66" s="6" t="s">
        <v>4938</v>
      </c>
      <c r="F66" s="3"/>
      <c r="G66">
        <v>3</v>
      </c>
      <c r="H66">
        <v>120</v>
      </c>
      <c r="I66">
        <f t="shared" si="9"/>
        <v>360</v>
      </c>
      <c r="J66">
        <v>0</v>
      </c>
      <c r="K66">
        <v>0</v>
      </c>
      <c r="L66">
        <f t="shared" si="8"/>
        <v>360</v>
      </c>
      <c r="M66" t="s">
        <v>5059</v>
      </c>
    </row>
    <row r="67" spans="1:15" x14ac:dyDescent="0.25">
      <c r="A67" t="s">
        <v>5053</v>
      </c>
      <c r="B67">
        <v>3</v>
      </c>
      <c r="C67">
        <v>34</v>
      </c>
      <c r="D67" s="22">
        <v>46055</v>
      </c>
      <c r="E67" s="6" t="s">
        <v>4939</v>
      </c>
      <c r="F67" s="3"/>
      <c r="G67">
        <v>3</v>
      </c>
      <c r="H67">
        <v>50</v>
      </c>
      <c r="I67">
        <f t="shared" si="9"/>
        <v>150</v>
      </c>
      <c r="J67">
        <v>0</v>
      </c>
      <c r="K67">
        <v>0</v>
      </c>
      <c r="L67">
        <f t="shared" si="8"/>
        <v>150</v>
      </c>
      <c r="M67" t="s">
        <v>5059</v>
      </c>
    </row>
    <row r="68" spans="1:15" x14ac:dyDescent="0.25">
      <c r="A68" t="s">
        <v>5053</v>
      </c>
      <c r="B68">
        <v>3</v>
      </c>
      <c r="C68">
        <v>34</v>
      </c>
      <c r="D68" s="22">
        <v>46055</v>
      </c>
      <c r="E68" s="6" t="s">
        <v>4437</v>
      </c>
      <c r="F68" s="3"/>
      <c r="G68">
        <v>10</v>
      </c>
      <c r="H68">
        <v>10</v>
      </c>
      <c r="I68">
        <f t="shared" si="9"/>
        <v>100</v>
      </c>
      <c r="J68">
        <v>0</v>
      </c>
      <c r="K68">
        <v>0</v>
      </c>
      <c r="L68">
        <f t="shared" si="8"/>
        <v>100</v>
      </c>
      <c r="M68" t="s">
        <v>5059</v>
      </c>
    </row>
    <row r="69" spans="1:15" x14ac:dyDescent="0.25">
      <c r="A69" t="s">
        <v>5053</v>
      </c>
      <c r="B69">
        <v>3</v>
      </c>
      <c r="C69">
        <v>33</v>
      </c>
      <c r="D69" s="22">
        <v>46055</v>
      </c>
      <c r="E69" s="6" t="s">
        <v>4941</v>
      </c>
      <c r="F69" s="3"/>
      <c r="G69">
        <v>9</v>
      </c>
      <c r="H69">
        <v>50</v>
      </c>
      <c r="I69">
        <f t="shared" si="9"/>
        <v>450</v>
      </c>
      <c r="J69">
        <v>0</v>
      </c>
      <c r="K69">
        <v>0</v>
      </c>
      <c r="L69">
        <f t="shared" si="8"/>
        <v>450</v>
      </c>
      <c r="M69" t="s">
        <v>5060</v>
      </c>
      <c r="N69" s="3" t="s">
        <v>1656</v>
      </c>
      <c r="O69" s="3" t="s">
        <v>1657</v>
      </c>
    </row>
    <row r="70" spans="1:15" x14ac:dyDescent="0.25">
      <c r="A70" t="s">
        <v>5053</v>
      </c>
      <c r="B70">
        <v>3</v>
      </c>
      <c r="C70">
        <v>33</v>
      </c>
      <c r="D70" s="22">
        <v>46055</v>
      </c>
      <c r="E70" s="6" t="s">
        <v>4437</v>
      </c>
      <c r="F70" s="3"/>
      <c r="G70">
        <v>2</v>
      </c>
      <c r="H70">
        <v>100</v>
      </c>
      <c r="I70">
        <f t="shared" si="9"/>
        <v>200</v>
      </c>
      <c r="J70">
        <v>0</v>
      </c>
      <c r="K70">
        <v>0</v>
      </c>
      <c r="L70">
        <f t="shared" si="8"/>
        <v>200</v>
      </c>
      <c r="M70" t="s">
        <v>5060</v>
      </c>
      <c r="N70" s="3" t="s">
        <v>1658</v>
      </c>
      <c r="O70" s="3" t="s">
        <v>1659</v>
      </c>
    </row>
    <row r="71" spans="1:15" x14ac:dyDescent="0.25">
      <c r="A71" t="s">
        <v>5053</v>
      </c>
      <c r="B71">
        <v>3</v>
      </c>
      <c r="C71">
        <v>33</v>
      </c>
      <c r="D71" s="22">
        <v>46055</v>
      </c>
      <c r="E71" s="6" t="s">
        <v>4942</v>
      </c>
      <c r="F71" s="3"/>
      <c r="G71">
        <v>3</v>
      </c>
      <c r="H71">
        <v>100</v>
      </c>
      <c r="I71">
        <f t="shared" si="9"/>
        <v>300</v>
      </c>
      <c r="J71">
        <v>0</v>
      </c>
      <c r="K71">
        <v>0</v>
      </c>
      <c r="L71">
        <f t="shared" si="8"/>
        <v>300</v>
      </c>
      <c r="M71" t="s">
        <v>5060</v>
      </c>
      <c r="N71" s="3" t="s">
        <v>1660</v>
      </c>
      <c r="O71" s="3" t="s">
        <v>1661</v>
      </c>
    </row>
    <row r="72" spans="1:15" x14ac:dyDescent="0.25">
      <c r="A72" t="s">
        <v>5053</v>
      </c>
      <c r="B72">
        <v>3</v>
      </c>
      <c r="C72">
        <v>33</v>
      </c>
      <c r="D72" s="22">
        <v>46055</v>
      </c>
      <c r="E72" s="6" t="s">
        <v>4943</v>
      </c>
      <c r="F72" s="3"/>
      <c r="G72">
        <v>2</v>
      </c>
      <c r="H72">
        <v>100</v>
      </c>
      <c r="I72">
        <f t="shared" si="9"/>
        <v>200</v>
      </c>
      <c r="J72">
        <v>0</v>
      </c>
      <c r="K72">
        <v>0</v>
      </c>
      <c r="L72">
        <f t="shared" si="8"/>
        <v>200</v>
      </c>
      <c r="M72" t="s">
        <v>5059</v>
      </c>
    </row>
    <row r="73" spans="1:15" x14ac:dyDescent="0.25">
      <c r="A73" t="s">
        <v>5053</v>
      </c>
      <c r="B73">
        <v>3</v>
      </c>
      <c r="C73">
        <v>32</v>
      </c>
      <c r="D73" s="22">
        <v>46055</v>
      </c>
      <c r="E73">
        <v>1327</v>
      </c>
      <c r="F73" s="3"/>
      <c r="G73">
        <v>5</v>
      </c>
      <c r="H73">
        <v>25</v>
      </c>
      <c r="I73">
        <f t="shared" si="9"/>
        <v>125</v>
      </c>
      <c r="J73">
        <v>0</v>
      </c>
      <c r="K73">
        <v>0</v>
      </c>
      <c r="L73">
        <f t="shared" si="8"/>
        <v>125</v>
      </c>
      <c r="M73" t="s">
        <v>5059</v>
      </c>
    </row>
    <row r="74" spans="1:15" x14ac:dyDescent="0.25">
      <c r="A74" t="s">
        <v>5053</v>
      </c>
      <c r="B74">
        <v>3</v>
      </c>
      <c r="C74">
        <v>32</v>
      </c>
      <c r="D74" s="22">
        <v>46055</v>
      </c>
      <c r="E74">
        <v>1330</v>
      </c>
      <c r="F74" s="3"/>
      <c r="G74">
        <v>16</v>
      </c>
      <c r="H74">
        <v>10</v>
      </c>
      <c r="I74">
        <f t="shared" si="9"/>
        <v>160</v>
      </c>
      <c r="J74">
        <v>0</v>
      </c>
      <c r="K74">
        <v>0</v>
      </c>
      <c r="L74">
        <f t="shared" si="8"/>
        <v>160</v>
      </c>
      <c r="M74" t="s">
        <v>5059</v>
      </c>
    </row>
    <row r="75" spans="1:15" x14ac:dyDescent="0.25">
      <c r="A75" t="s">
        <v>5053</v>
      </c>
      <c r="B75">
        <v>3</v>
      </c>
      <c r="C75">
        <v>32</v>
      </c>
      <c r="D75" s="22">
        <v>46055</v>
      </c>
      <c r="E75">
        <v>1328</v>
      </c>
      <c r="F75" s="3"/>
      <c r="G75">
        <v>7</v>
      </c>
      <c r="H75">
        <v>25</v>
      </c>
      <c r="I75">
        <f t="shared" si="9"/>
        <v>175</v>
      </c>
      <c r="J75">
        <v>0</v>
      </c>
      <c r="K75">
        <v>0</v>
      </c>
      <c r="L75">
        <f t="shared" si="8"/>
        <v>175</v>
      </c>
      <c r="M75" t="s">
        <v>5059</v>
      </c>
    </row>
    <row r="76" spans="1:15" x14ac:dyDescent="0.25">
      <c r="A76" t="s">
        <v>5053</v>
      </c>
      <c r="B76">
        <v>3</v>
      </c>
      <c r="C76">
        <v>32</v>
      </c>
      <c r="D76" s="22">
        <v>46055</v>
      </c>
      <c r="E76">
        <v>1329</v>
      </c>
      <c r="F76" s="3"/>
      <c r="G76">
        <v>19</v>
      </c>
      <c r="H76">
        <v>10</v>
      </c>
      <c r="I76">
        <f t="shared" si="9"/>
        <v>190</v>
      </c>
      <c r="J76">
        <v>0</v>
      </c>
      <c r="K76">
        <v>0</v>
      </c>
      <c r="L76">
        <f t="shared" si="8"/>
        <v>190</v>
      </c>
      <c r="M76" t="s">
        <v>5059</v>
      </c>
    </row>
    <row r="77" spans="1:15" x14ac:dyDescent="0.25">
      <c r="A77" t="s">
        <v>5053</v>
      </c>
      <c r="B77">
        <v>3</v>
      </c>
      <c r="C77">
        <v>32</v>
      </c>
      <c r="D77" s="22">
        <v>46055</v>
      </c>
      <c r="E77">
        <v>1331</v>
      </c>
      <c r="F77" s="3"/>
      <c r="G77">
        <v>19</v>
      </c>
      <c r="H77">
        <v>10</v>
      </c>
      <c r="I77">
        <f t="shared" si="9"/>
        <v>190</v>
      </c>
      <c r="J77">
        <v>0</v>
      </c>
      <c r="K77">
        <v>0</v>
      </c>
      <c r="L77">
        <f t="shared" si="8"/>
        <v>190</v>
      </c>
      <c r="M77" t="s">
        <v>5059</v>
      </c>
    </row>
    <row r="78" spans="1:15" x14ac:dyDescent="0.25">
      <c r="A78" t="s">
        <v>5053</v>
      </c>
      <c r="B78">
        <v>3</v>
      </c>
      <c r="C78">
        <v>32</v>
      </c>
      <c r="D78" s="22">
        <v>46055</v>
      </c>
      <c r="E78">
        <v>1334</v>
      </c>
      <c r="F78" s="3"/>
      <c r="G78">
        <v>0</v>
      </c>
      <c r="H78">
        <v>1</v>
      </c>
      <c r="I78">
        <f t="shared" ref="I78:I84" si="10">G78*H78</f>
        <v>0</v>
      </c>
      <c r="J78">
        <v>218</v>
      </c>
      <c r="K78">
        <v>0</v>
      </c>
      <c r="L78">
        <f t="shared" si="8"/>
        <v>218</v>
      </c>
      <c r="M78" t="s">
        <v>5059</v>
      </c>
    </row>
    <row r="79" spans="1:15" x14ac:dyDescent="0.25">
      <c r="A79" t="s">
        <v>5053</v>
      </c>
      <c r="B79">
        <v>3</v>
      </c>
      <c r="C79">
        <v>32</v>
      </c>
      <c r="D79" s="22">
        <v>46055</v>
      </c>
      <c r="E79">
        <v>1335</v>
      </c>
      <c r="F79" s="3"/>
      <c r="G79">
        <v>0</v>
      </c>
      <c r="H79">
        <v>1</v>
      </c>
      <c r="I79">
        <f t="shared" si="10"/>
        <v>0</v>
      </c>
      <c r="J79">
        <v>297</v>
      </c>
      <c r="K79">
        <v>0</v>
      </c>
      <c r="L79">
        <f t="shared" si="8"/>
        <v>297</v>
      </c>
      <c r="M79" t="s">
        <v>5059</v>
      </c>
    </row>
    <row r="80" spans="1:15" x14ac:dyDescent="0.25">
      <c r="A80" t="s">
        <v>5053</v>
      </c>
      <c r="B80">
        <v>3</v>
      </c>
      <c r="C80">
        <v>32</v>
      </c>
      <c r="D80" s="22">
        <v>46055</v>
      </c>
      <c r="E80">
        <v>1314</v>
      </c>
      <c r="F80" s="3"/>
      <c r="G80">
        <v>0</v>
      </c>
      <c r="H80">
        <v>1</v>
      </c>
      <c r="I80">
        <f t="shared" si="10"/>
        <v>0</v>
      </c>
      <c r="J80">
        <v>202</v>
      </c>
      <c r="K80">
        <v>0</v>
      </c>
      <c r="L80">
        <f t="shared" si="8"/>
        <v>202</v>
      </c>
      <c r="M80" t="s">
        <v>5059</v>
      </c>
    </row>
    <row r="81" spans="1:14" x14ac:dyDescent="0.25">
      <c r="A81" t="s">
        <v>5053</v>
      </c>
      <c r="B81">
        <v>3</v>
      </c>
      <c r="C81">
        <v>32</v>
      </c>
      <c r="D81" s="22">
        <v>46055</v>
      </c>
      <c r="E81">
        <v>3124</v>
      </c>
      <c r="F81" s="3"/>
      <c r="G81">
        <v>7</v>
      </c>
      <c r="H81">
        <v>4</v>
      </c>
      <c r="I81">
        <f t="shared" si="10"/>
        <v>28</v>
      </c>
      <c r="J81">
        <v>0</v>
      </c>
      <c r="K81">
        <v>0</v>
      </c>
      <c r="L81">
        <f t="shared" si="8"/>
        <v>28</v>
      </c>
      <c r="M81" t="s">
        <v>5059</v>
      </c>
    </row>
    <row r="82" spans="1:14" x14ac:dyDescent="0.25">
      <c r="A82" t="s">
        <v>5053</v>
      </c>
      <c r="B82">
        <v>3</v>
      </c>
      <c r="C82">
        <v>29</v>
      </c>
      <c r="D82" s="22">
        <v>46083</v>
      </c>
      <c r="E82" s="6" t="s">
        <v>4943</v>
      </c>
      <c r="F82" s="3"/>
      <c r="G82">
        <v>6</v>
      </c>
      <c r="H82">
        <v>100</v>
      </c>
      <c r="I82">
        <f t="shared" si="10"/>
        <v>600</v>
      </c>
      <c r="J82">
        <v>0</v>
      </c>
      <c r="K82">
        <v>0</v>
      </c>
      <c r="L82">
        <f t="shared" si="8"/>
        <v>600</v>
      </c>
      <c r="M82" t="s">
        <v>5059</v>
      </c>
    </row>
    <row r="83" spans="1:14" x14ac:dyDescent="0.25">
      <c r="A83" t="s">
        <v>5053</v>
      </c>
      <c r="B83">
        <v>3</v>
      </c>
      <c r="C83">
        <v>29</v>
      </c>
      <c r="D83" s="22">
        <v>46083</v>
      </c>
      <c r="E83" s="6" t="s">
        <v>4951</v>
      </c>
      <c r="F83" s="3"/>
      <c r="G83">
        <v>3</v>
      </c>
      <c r="H83">
        <v>100</v>
      </c>
      <c r="I83">
        <f t="shared" si="10"/>
        <v>300</v>
      </c>
      <c r="J83">
        <v>0</v>
      </c>
      <c r="K83">
        <v>0</v>
      </c>
      <c r="L83">
        <f t="shared" si="8"/>
        <v>300</v>
      </c>
      <c r="M83" t="s">
        <v>5059</v>
      </c>
    </row>
    <row r="84" spans="1:14" x14ac:dyDescent="0.25">
      <c r="A84" t="s">
        <v>5053</v>
      </c>
      <c r="B84">
        <v>3</v>
      </c>
      <c r="C84">
        <v>29</v>
      </c>
      <c r="D84" s="22">
        <v>46083</v>
      </c>
      <c r="E84" s="6" t="s">
        <v>4957</v>
      </c>
      <c r="F84" s="3"/>
      <c r="G84">
        <v>10</v>
      </c>
      <c r="H84">
        <v>50</v>
      </c>
      <c r="I84">
        <f t="shared" si="10"/>
        <v>500</v>
      </c>
      <c r="J84">
        <v>0</v>
      </c>
      <c r="K84">
        <v>0</v>
      </c>
      <c r="L84">
        <f t="shared" si="8"/>
        <v>500</v>
      </c>
      <c r="M84" t="s">
        <v>5059</v>
      </c>
    </row>
    <row r="85" spans="1:14" x14ac:dyDescent="0.25">
      <c r="A85" t="s">
        <v>5053</v>
      </c>
      <c r="B85">
        <v>3</v>
      </c>
      <c r="C85">
        <v>29</v>
      </c>
      <c r="D85" s="22">
        <v>46083</v>
      </c>
      <c r="E85" s="6" t="s">
        <v>4952</v>
      </c>
      <c r="F85" s="3"/>
      <c r="G85">
        <v>0</v>
      </c>
      <c r="H85">
        <v>1</v>
      </c>
      <c r="I85">
        <f t="shared" ref="I85:I86" si="11">G85*H85</f>
        <v>0</v>
      </c>
      <c r="J85">
        <v>0</v>
      </c>
      <c r="K85">
        <v>0</v>
      </c>
      <c r="L85">
        <f t="shared" si="8"/>
        <v>0</v>
      </c>
      <c r="M85" t="s">
        <v>5060</v>
      </c>
    </row>
    <row r="86" spans="1:14" x14ac:dyDescent="0.25">
      <c r="A86" t="s">
        <v>5053</v>
      </c>
      <c r="B86">
        <v>3</v>
      </c>
      <c r="C86">
        <v>29</v>
      </c>
      <c r="D86" s="22">
        <v>46083</v>
      </c>
      <c r="E86" s="6" t="s">
        <v>4953</v>
      </c>
      <c r="F86" s="3"/>
      <c r="G86">
        <v>3</v>
      </c>
      <c r="H86">
        <v>50</v>
      </c>
      <c r="I86">
        <f t="shared" si="11"/>
        <v>150</v>
      </c>
      <c r="J86">
        <v>0</v>
      </c>
      <c r="K86">
        <v>0</v>
      </c>
      <c r="L86">
        <f t="shared" si="8"/>
        <v>150</v>
      </c>
      <c r="M86" t="s">
        <v>5059</v>
      </c>
    </row>
    <row r="87" spans="1:14" x14ac:dyDescent="0.25">
      <c r="A87" t="s">
        <v>5053</v>
      </c>
      <c r="B87">
        <v>3</v>
      </c>
      <c r="C87">
        <v>29</v>
      </c>
      <c r="D87" s="22">
        <v>46083</v>
      </c>
      <c r="E87" s="6" t="s">
        <v>4954</v>
      </c>
      <c r="F87" s="3"/>
      <c r="G87">
        <v>0</v>
      </c>
      <c r="H87">
        <v>1</v>
      </c>
      <c r="I87">
        <f t="shared" ref="I87:I94" si="12">G87*H87</f>
        <v>0</v>
      </c>
      <c r="J87">
        <v>0</v>
      </c>
      <c r="K87">
        <v>0</v>
      </c>
      <c r="L87">
        <f t="shared" si="8"/>
        <v>0</v>
      </c>
      <c r="M87" t="s">
        <v>5060</v>
      </c>
    </row>
    <row r="88" spans="1:14" x14ac:dyDescent="0.25">
      <c r="A88" t="s">
        <v>5053</v>
      </c>
      <c r="B88">
        <v>3</v>
      </c>
      <c r="C88">
        <v>29</v>
      </c>
      <c r="D88" s="22">
        <v>46083</v>
      </c>
      <c r="E88" s="6" t="s">
        <v>4954</v>
      </c>
      <c r="F88" s="3"/>
      <c r="G88">
        <v>0</v>
      </c>
      <c r="H88">
        <v>1</v>
      </c>
      <c r="I88">
        <f t="shared" si="12"/>
        <v>0</v>
      </c>
      <c r="J88">
        <v>0</v>
      </c>
      <c r="K88">
        <v>0</v>
      </c>
      <c r="L88">
        <f t="shared" si="8"/>
        <v>0</v>
      </c>
      <c r="M88" t="s">
        <v>5060</v>
      </c>
    </row>
    <row r="89" spans="1:14" x14ac:dyDescent="0.25">
      <c r="A89" t="s">
        <v>5053</v>
      </c>
      <c r="B89">
        <v>3</v>
      </c>
      <c r="C89">
        <v>29</v>
      </c>
      <c r="D89" s="22">
        <v>46083</v>
      </c>
      <c r="E89" s="6" t="s">
        <v>4955</v>
      </c>
      <c r="F89" s="3"/>
      <c r="G89">
        <v>0</v>
      </c>
      <c r="H89">
        <v>1</v>
      </c>
      <c r="I89">
        <f t="shared" si="12"/>
        <v>0</v>
      </c>
      <c r="J89">
        <v>0</v>
      </c>
      <c r="K89">
        <v>0</v>
      </c>
      <c r="L89">
        <f t="shared" si="8"/>
        <v>0</v>
      </c>
      <c r="M89" t="s">
        <v>5060</v>
      </c>
    </row>
    <row r="90" spans="1:14" x14ac:dyDescent="0.25">
      <c r="A90" t="s">
        <v>5053</v>
      </c>
      <c r="B90">
        <v>3</v>
      </c>
      <c r="C90">
        <v>29</v>
      </c>
      <c r="D90" s="22">
        <v>46083</v>
      </c>
      <c r="E90" s="6" t="s">
        <v>4956</v>
      </c>
      <c r="F90" s="3"/>
      <c r="G90">
        <v>0</v>
      </c>
      <c r="H90">
        <v>1</v>
      </c>
      <c r="I90">
        <f t="shared" si="12"/>
        <v>0</v>
      </c>
      <c r="J90">
        <v>0</v>
      </c>
      <c r="K90">
        <v>0</v>
      </c>
      <c r="L90">
        <f t="shared" si="8"/>
        <v>0</v>
      </c>
      <c r="M90" t="s">
        <v>5060</v>
      </c>
    </row>
    <row r="91" spans="1:14" x14ac:dyDescent="0.25">
      <c r="A91" t="s">
        <v>5053</v>
      </c>
      <c r="B91">
        <v>3</v>
      </c>
      <c r="C91">
        <v>31</v>
      </c>
      <c r="D91" s="22">
        <v>46055</v>
      </c>
      <c r="E91" s="6" t="s">
        <v>4962</v>
      </c>
      <c r="F91" s="3"/>
      <c r="G91">
        <v>37</v>
      </c>
      <c r="H91">
        <v>10</v>
      </c>
      <c r="I91">
        <f t="shared" si="12"/>
        <v>370</v>
      </c>
      <c r="J91">
        <v>0</v>
      </c>
      <c r="K91">
        <v>0</v>
      </c>
      <c r="L91">
        <f t="shared" ref="L91:L92" si="13">I91+J91+K91</f>
        <v>370</v>
      </c>
      <c r="M91" t="s">
        <v>5059</v>
      </c>
    </row>
    <row r="92" spans="1:14" x14ac:dyDescent="0.25">
      <c r="A92" t="s">
        <v>5053</v>
      </c>
      <c r="B92">
        <v>3</v>
      </c>
      <c r="C92">
        <v>31</v>
      </c>
      <c r="D92" s="22">
        <v>46055</v>
      </c>
      <c r="E92" s="6" t="s">
        <v>4963</v>
      </c>
      <c r="F92" s="3"/>
      <c r="G92">
        <v>29</v>
      </c>
      <c r="H92">
        <v>5</v>
      </c>
      <c r="I92">
        <f t="shared" si="12"/>
        <v>145</v>
      </c>
      <c r="J92">
        <v>0</v>
      </c>
      <c r="K92">
        <v>0</v>
      </c>
      <c r="L92">
        <f t="shared" si="13"/>
        <v>145</v>
      </c>
      <c r="M92" t="s">
        <v>5059</v>
      </c>
    </row>
    <row r="93" spans="1:14" x14ac:dyDescent="0.25">
      <c r="A93" t="s">
        <v>5053</v>
      </c>
      <c r="B93">
        <v>3</v>
      </c>
      <c r="C93">
        <v>31</v>
      </c>
      <c r="D93" s="22">
        <v>46055</v>
      </c>
      <c r="E93" s="6" t="s">
        <v>4964</v>
      </c>
      <c r="F93" s="3"/>
      <c r="G93">
        <v>18</v>
      </c>
      <c r="H93">
        <v>5</v>
      </c>
      <c r="I93">
        <f t="shared" si="12"/>
        <v>90</v>
      </c>
      <c r="J93">
        <v>0</v>
      </c>
      <c r="K93">
        <v>0</v>
      </c>
      <c r="L93">
        <f t="shared" ref="L93:L94" si="14">I93+J93+K93</f>
        <v>90</v>
      </c>
      <c r="M93" t="s">
        <v>5060</v>
      </c>
      <c r="N93" t="s">
        <v>4973</v>
      </c>
    </row>
    <row r="94" spans="1:14" x14ac:dyDescent="0.25">
      <c r="A94" t="s">
        <v>5053</v>
      </c>
      <c r="B94">
        <v>3</v>
      </c>
      <c r="C94">
        <v>31</v>
      </c>
      <c r="D94" s="22">
        <v>46055</v>
      </c>
      <c r="E94" s="6" t="s">
        <v>4964</v>
      </c>
      <c r="F94" s="3"/>
      <c r="G94">
        <v>4</v>
      </c>
      <c r="H94">
        <v>10</v>
      </c>
      <c r="I94">
        <f t="shared" si="12"/>
        <v>40</v>
      </c>
      <c r="J94">
        <v>0</v>
      </c>
      <c r="K94">
        <v>0</v>
      </c>
      <c r="L94">
        <f t="shared" si="14"/>
        <v>40</v>
      </c>
      <c r="M94" t="s">
        <v>5060</v>
      </c>
      <c r="N94" t="s">
        <v>4973</v>
      </c>
    </row>
    <row r="95" spans="1:14" x14ac:dyDescent="0.25">
      <c r="A95" t="s">
        <v>5053</v>
      </c>
      <c r="B95">
        <v>3</v>
      </c>
      <c r="C95">
        <v>31</v>
      </c>
      <c r="D95" s="22">
        <v>46055</v>
      </c>
      <c r="E95" s="6" t="s">
        <v>4965</v>
      </c>
      <c r="F95" s="3"/>
      <c r="G95">
        <v>11</v>
      </c>
      <c r="H95">
        <v>100</v>
      </c>
      <c r="I95">
        <f t="shared" ref="I95:I108" si="15">G95*H95</f>
        <v>1100</v>
      </c>
      <c r="J95">
        <v>0</v>
      </c>
      <c r="K95">
        <v>0</v>
      </c>
      <c r="L95">
        <f t="shared" ref="L95:L100" si="16">I95+J95+K95</f>
        <v>1100</v>
      </c>
      <c r="M95" t="s">
        <v>5059</v>
      </c>
    </row>
    <row r="96" spans="1:14" x14ac:dyDescent="0.25">
      <c r="A96" t="s">
        <v>5053</v>
      </c>
      <c r="B96">
        <v>3</v>
      </c>
      <c r="C96">
        <v>31</v>
      </c>
      <c r="D96" s="22">
        <v>46055</v>
      </c>
      <c r="E96" s="6" t="s">
        <v>4966</v>
      </c>
      <c r="F96" s="3"/>
      <c r="G96">
        <v>20</v>
      </c>
      <c r="H96">
        <v>100</v>
      </c>
      <c r="I96">
        <f t="shared" si="15"/>
        <v>2000</v>
      </c>
      <c r="J96">
        <v>0</v>
      </c>
      <c r="K96">
        <v>0</v>
      </c>
      <c r="L96">
        <f t="shared" si="16"/>
        <v>2000</v>
      </c>
      <c r="M96" t="s">
        <v>5059</v>
      </c>
    </row>
    <row r="97" spans="1:13" x14ac:dyDescent="0.25">
      <c r="A97" t="s">
        <v>5053</v>
      </c>
      <c r="B97">
        <v>3</v>
      </c>
      <c r="C97">
        <v>31</v>
      </c>
      <c r="D97" s="22">
        <v>46055</v>
      </c>
      <c r="E97" s="6" t="s">
        <v>4967</v>
      </c>
      <c r="F97" s="3"/>
      <c r="G97">
        <v>5</v>
      </c>
      <c r="H97">
        <v>100</v>
      </c>
      <c r="I97">
        <f t="shared" si="15"/>
        <v>500</v>
      </c>
      <c r="J97">
        <v>0</v>
      </c>
      <c r="K97">
        <v>0</v>
      </c>
      <c r="L97">
        <f t="shared" si="16"/>
        <v>500</v>
      </c>
      <c r="M97" t="s">
        <v>5059</v>
      </c>
    </row>
    <row r="98" spans="1:13" x14ac:dyDescent="0.25">
      <c r="A98" t="s">
        <v>5053</v>
      </c>
      <c r="B98">
        <v>3</v>
      </c>
      <c r="C98">
        <v>31</v>
      </c>
      <c r="D98" s="22">
        <v>46055</v>
      </c>
      <c r="E98" s="6" t="s">
        <v>4968</v>
      </c>
      <c r="F98" s="3"/>
      <c r="G98">
        <v>18</v>
      </c>
      <c r="H98">
        <v>100</v>
      </c>
      <c r="I98">
        <f t="shared" si="15"/>
        <v>1800</v>
      </c>
      <c r="J98">
        <v>0</v>
      </c>
      <c r="K98">
        <v>0</v>
      </c>
      <c r="L98">
        <f t="shared" si="16"/>
        <v>1800</v>
      </c>
      <c r="M98" t="s">
        <v>5059</v>
      </c>
    </row>
    <row r="99" spans="1:13" x14ac:dyDescent="0.25">
      <c r="A99" t="s">
        <v>5053</v>
      </c>
      <c r="B99">
        <v>3</v>
      </c>
      <c r="C99">
        <v>31</v>
      </c>
      <c r="D99" s="22">
        <v>46055</v>
      </c>
      <c r="E99" s="6" t="s">
        <v>4969</v>
      </c>
      <c r="F99" s="3"/>
      <c r="G99">
        <v>26</v>
      </c>
      <c r="H99">
        <v>100</v>
      </c>
      <c r="I99">
        <f t="shared" si="15"/>
        <v>2600</v>
      </c>
      <c r="J99">
        <v>0</v>
      </c>
      <c r="K99">
        <v>0</v>
      </c>
      <c r="L99">
        <f t="shared" si="16"/>
        <v>2600</v>
      </c>
      <c r="M99" t="s">
        <v>5059</v>
      </c>
    </row>
    <row r="100" spans="1:13" x14ac:dyDescent="0.25">
      <c r="A100" t="s">
        <v>5053</v>
      </c>
      <c r="B100">
        <v>3</v>
      </c>
      <c r="C100">
        <v>31</v>
      </c>
      <c r="D100" s="22">
        <v>46055</v>
      </c>
      <c r="E100" s="6" t="s">
        <v>4970</v>
      </c>
      <c r="F100" s="3"/>
      <c r="G100">
        <v>11</v>
      </c>
      <c r="H100">
        <v>100</v>
      </c>
      <c r="I100">
        <f t="shared" si="15"/>
        <v>1100</v>
      </c>
      <c r="J100">
        <v>0</v>
      </c>
      <c r="K100">
        <v>0</v>
      </c>
      <c r="L100">
        <f t="shared" si="16"/>
        <v>1100</v>
      </c>
      <c r="M100" t="s">
        <v>5059</v>
      </c>
    </row>
    <row r="101" spans="1:13" x14ac:dyDescent="0.25">
      <c r="A101" t="s">
        <v>5053</v>
      </c>
      <c r="B101">
        <v>3</v>
      </c>
      <c r="C101">
        <v>32</v>
      </c>
      <c r="D101" s="22">
        <v>46055</v>
      </c>
      <c r="E101" s="6" t="s">
        <v>4979</v>
      </c>
      <c r="F101" s="3"/>
      <c r="G101">
        <v>0</v>
      </c>
      <c r="H101">
        <v>1</v>
      </c>
      <c r="I101">
        <f t="shared" si="15"/>
        <v>0</v>
      </c>
      <c r="J101">
        <v>12</v>
      </c>
      <c r="K101">
        <v>0</v>
      </c>
      <c r="L101">
        <f t="shared" ref="L101" si="17">I101+J101+K101</f>
        <v>12</v>
      </c>
      <c r="M101" t="s">
        <v>5059</v>
      </c>
    </row>
    <row r="102" spans="1:13" x14ac:dyDescent="0.25">
      <c r="A102" t="s">
        <v>5053</v>
      </c>
      <c r="B102">
        <v>3</v>
      </c>
      <c r="C102">
        <v>32</v>
      </c>
      <c r="D102" s="22">
        <v>46055</v>
      </c>
      <c r="E102" s="6" t="s">
        <v>4980</v>
      </c>
      <c r="F102" s="3"/>
      <c r="G102">
        <v>12</v>
      </c>
      <c r="H102">
        <v>5</v>
      </c>
      <c r="I102">
        <f t="shared" si="15"/>
        <v>60</v>
      </c>
      <c r="J102">
        <v>0</v>
      </c>
      <c r="K102">
        <v>0</v>
      </c>
      <c r="L102">
        <f t="shared" ref="L102" si="18">I102+J102+K102</f>
        <v>60</v>
      </c>
      <c r="M102" t="s">
        <v>5059</v>
      </c>
    </row>
    <row r="103" spans="1:13" x14ac:dyDescent="0.25">
      <c r="A103" t="s">
        <v>5053</v>
      </c>
      <c r="B103">
        <v>3</v>
      </c>
      <c r="C103">
        <v>32</v>
      </c>
      <c r="D103" s="22">
        <v>46055</v>
      </c>
      <c r="E103" s="7">
        <v>7189</v>
      </c>
      <c r="F103" s="3"/>
      <c r="G103">
        <v>9</v>
      </c>
      <c r="H103">
        <v>8</v>
      </c>
      <c r="I103">
        <f t="shared" si="15"/>
        <v>72</v>
      </c>
      <c r="J103">
        <v>0</v>
      </c>
      <c r="K103">
        <v>0</v>
      </c>
      <c r="L103">
        <f t="shared" ref="L103:L108" si="19">I103+J103+K103</f>
        <v>72</v>
      </c>
      <c r="M103" t="s">
        <v>5059</v>
      </c>
    </row>
    <row r="104" spans="1:13" x14ac:dyDescent="0.25">
      <c r="A104" t="s">
        <v>5053</v>
      </c>
      <c r="B104">
        <v>3</v>
      </c>
      <c r="C104">
        <v>32</v>
      </c>
      <c r="D104" s="22">
        <v>46055</v>
      </c>
      <c r="E104" s="7">
        <v>7188</v>
      </c>
      <c r="F104" s="3"/>
      <c r="G104">
        <v>12</v>
      </c>
      <c r="H104">
        <v>5</v>
      </c>
      <c r="I104">
        <f t="shared" si="15"/>
        <v>60</v>
      </c>
      <c r="J104">
        <v>0</v>
      </c>
      <c r="K104">
        <v>0</v>
      </c>
      <c r="L104">
        <f t="shared" si="19"/>
        <v>60</v>
      </c>
      <c r="M104" t="s">
        <v>5059</v>
      </c>
    </row>
    <row r="105" spans="1:13" x14ac:dyDescent="0.25">
      <c r="A105" t="s">
        <v>5053</v>
      </c>
      <c r="B105">
        <v>3</v>
      </c>
      <c r="C105">
        <v>32</v>
      </c>
      <c r="D105" s="22">
        <v>46055</v>
      </c>
      <c r="E105" s="7">
        <v>7190</v>
      </c>
      <c r="F105" s="3"/>
      <c r="G105">
        <v>6</v>
      </c>
      <c r="H105">
        <v>6</v>
      </c>
      <c r="I105">
        <f t="shared" si="15"/>
        <v>36</v>
      </c>
      <c r="J105">
        <v>0</v>
      </c>
      <c r="K105">
        <v>0</v>
      </c>
      <c r="L105">
        <f t="shared" si="19"/>
        <v>36</v>
      </c>
      <c r="M105" t="s">
        <v>5059</v>
      </c>
    </row>
    <row r="106" spans="1:13" x14ac:dyDescent="0.25">
      <c r="A106" t="s">
        <v>5053</v>
      </c>
      <c r="B106">
        <v>3</v>
      </c>
      <c r="C106">
        <v>32</v>
      </c>
      <c r="D106" s="22">
        <v>46055</v>
      </c>
      <c r="E106" s="6" t="s">
        <v>4981</v>
      </c>
      <c r="F106" s="3"/>
      <c r="G106">
        <v>29</v>
      </c>
      <c r="H106">
        <v>10</v>
      </c>
      <c r="I106">
        <f t="shared" si="15"/>
        <v>290</v>
      </c>
      <c r="J106">
        <v>0</v>
      </c>
      <c r="K106">
        <v>0</v>
      </c>
      <c r="L106">
        <f t="shared" si="19"/>
        <v>290</v>
      </c>
      <c r="M106" t="s">
        <v>5059</v>
      </c>
    </row>
    <row r="107" spans="1:13" x14ac:dyDescent="0.25">
      <c r="A107" t="s">
        <v>5053</v>
      </c>
      <c r="B107">
        <v>3</v>
      </c>
      <c r="C107">
        <v>32</v>
      </c>
      <c r="D107" s="22">
        <v>46055</v>
      </c>
      <c r="E107" s="7">
        <v>3332</v>
      </c>
      <c r="F107" s="3"/>
      <c r="G107">
        <v>5</v>
      </c>
      <c r="H107">
        <v>20</v>
      </c>
      <c r="I107">
        <f t="shared" si="15"/>
        <v>100</v>
      </c>
      <c r="J107">
        <v>0</v>
      </c>
      <c r="K107">
        <v>0</v>
      </c>
      <c r="L107">
        <f t="shared" si="19"/>
        <v>100</v>
      </c>
      <c r="M107" t="s">
        <v>5059</v>
      </c>
    </row>
    <row r="108" spans="1:13" x14ac:dyDescent="0.25">
      <c r="A108" t="s">
        <v>5053</v>
      </c>
      <c r="B108">
        <v>3</v>
      </c>
      <c r="C108">
        <v>32</v>
      </c>
      <c r="D108" s="22">
        <v>46055</v>
      </c>
      <c r="E108">
        <v>1376</v>
      </c>
      <c r="F108" s="3"/>
      <c r="G108">
        <v>1</v>
      </c>
      <c r="H108">
        <v>24</v>
      </c>
      <c r="I108">
        <f t="shared" si="15"/>
        <v>24</v>
      </c>
      <c r="J108">
        <v>0</v>
      </c>
      <c r="K108">
        <v>0</v>
      </c>
      <c r="L108">
        <f t="shared" si="19"/>
        <v>24</v>
      </c>
      <c r="M108" t="s">
        <v>5059</v>
      </c>
    </row>
    <row r="109" spans="1:13" x14ac:dyDescent="0.25">
      <c r="A109" t="s">
        <v>5053</v>
      </c>
      <c r="B109">
        <v>3</v>
      </c>
      <c r="C109">
        <v>32</v>
      </c>
      <c r="D109" s="22">
        <v>46055</v>
      </c>
      <c r="E109">
        <v>1309</v>
      </c>
      <c r="F109" s="3"/>
      <c r="G109">
        <v>0</v>
      </c>
      <c r="H109">
        <v>1</v>
      </c>
      <c r="I109">
        <f t="shared" ref="I109:I111" si="20">G109*H109</f>
        <v>0</v>
      </c>
      <c r="J109">
        <v>90</v>
      </c>
      <c r="K109">
        <v>0</v>
      </c>
      <c r="L109">
        <f t="shared" ref="L109:L110" si="21">I109+J109+K109</f>
        <v>90</v>
      </c>
      <c r="M109" t="s">
        <v>5059</v>
      </c>
    </row>
    <row r="110" spans="1:13" x14ac:dyDescent="0.25">
      <c r="A110" t="s">
        <v>5053</v>
      </c>
      <c r="B110">
        <v>3</v>
      </c>
      <c r="C110">
        <v>32</v>
      </c>
      <c r="D110" s="22">
        <v>46055</v>
      </c>
      <c r="E110">
        <v>1310</v>
      </c>
      <c r="F110" s="3"/>
      <c r="G110">
        <v>0</v>
      </c>
      <c r="H110">
        <v>1</v>
      </c>
      <c r="I110">
        <f t="shared" si="20"/>
        <v>0</v>
      </c>
      <c r="J110">
        <v>295</v>
      </c>
      <c r="K110">
        <v>0</v>
      </c>
      <c r="L110">
        <f t="shared" si="21"/>
        <v>295</v>
      </c>
      <c r="M110" t="s">
        <v>5059</v>
      </c>
    </row>
    <row r="111" spans="1:13" x14ac:dyDescent="0.25">
      <c r="A111" t="s">
        <v>5053</v>
      </c>
      <c r="B111">
        <v>3</v>
      </c>
      <c r="C111">
        <v>36</v>
      </c>
      <c r="D111" s="22">
        <v>46083</v>
      </c>
      <c r="E111" s="6" t="s">
        <v>5000</v>
      </c>
      <c r="F111" s="3"/>
      <c r="G111" s="7">
        <v>26</v>
      </c>
      <c r="H111">
        <v>10</v>
      </c>
      <c r="I111">
        <f t="shared" si="20"/>
        <v>260</v>
      </c>
      <c r="J111">
        <v>0</v>
      </c>
      <c r="K111">
        <v>0</v>
      </c>
      <c r="L111">
        <f t="shared" ref="L111" si="22">I111+J111+K111</f>
        <v>260</v>
      </c>
      <c r="M111" t="s">
        <v>5059</v>
      </c>
    </row>
    <row r="112" spans="1:13" x14ac:dyDescent="0.25">
      <c r="A112" t="s">
        <v>5053</v>
      </c>
      <c r="B112">
        <v>3</v>
      </c>
      <c r="C112">
        <v>36</v>
      </c>
      <c r="D112" s="22">
        <v>46083</v>
      </c>
      <c r="E112" s="6" t="s">
        <v>5001</v>
      </c>
      <c r="F112" s="3"/>
      <c r="G112">
        <v>0</v>
      </c>
      <c r="H112">
        <v>1</v>
      </c>
      <c r="I112">
        <f t="shared" ref="I112:I120" si="23">G112*H112</f>
        <v>0</v>
      </c>
      <c r="J112" s="7">
        <v>21</v>
      </c>
      <c r="K112">
        <v>0</v>
      </c>
      <c r="L112">
        <f t="shared" ref="L112:L119" si="24">I112+J112+K112</f>
        <v>21</v>
      </c>
      <c r="M112" t="s">
        <v>5059</v>
      </c>
    </row>
    <row r="113" spans="1:13" x14ac:dyDescent="0.25">
      <c r="A113" t="s">
        <v>5053</v>
      </c>
      <c r="B113">
        <v>3</v>
      </c>
      <c r="C113">
        <v>36</v>
      </c>
      <c r="D113" s="22">
        <v>46083</v>
      </c>
      <c r="E113" s="7">
        <v>2999</v>
      </c>
      <c r="F113" s="3"/>
      <c r="G113">
        <v>0</v>
      </c>
      <c r="H113">
        <v>1</v>
      </c>
      <c r="I113">
        <f t="shared" si="23"/>
        <v>0</v>
      </c>
      <c r="J113" s="7">
        <v>7</v>
      </c>
      <c r="K113">
        <v>0</v>
      </c>
      <c r="L113">
        <f t="shared" si="24"/>
        <v>7</v>
      </c>
      <c r="M113" t="s">
        <v>5059</v>
      </c>
    </row>
    <row r="114" spans="1:13" x14ac:dyDescent="0.25">
      <c r="A114" t="s">
        <v>5053</v>
      </c>
      <c r="B114">
        <v>3</v>
      </c>
      <c r="C114">
        <v>36</v>
      </c>
      <c r="D114" s="22">
        <v>46083</v>
      </c>
      <c r="E114" s="7">
        <v>3021</v>
      </c>
      <c r="F114" s="3"/>
      <c r="G114">
        <v>0</v>
      </c>
      <c r="H114">
        <v>1</v>
      </c>
      <c r="I114">
        <f t="shared" si="23"/>
        <v>0</v>
      </c>
      <c r="J114" s="7">
        <v>11</v>
      </c>
      <c r="K114">
        <v>0</v>
      </c>
      <c r="L114">
        <f t="shared" si="24"/>
        <v>11</v>
      </c>
      <c r="M114" t="s">
        <v>5059</v>
      </c>
    </row>
    <row r="115" spans="1:13" x14ac:dyDescent="0.25">
      <c r="A115" t="s">
        <v>5053</v>
      </c>
      <c r="B115">
        <v>3</v>
      </c>
      <c r="C115">
        <v>36</v>
      </c>
      <c r="D115" s="22">
        <v>46083</v>
      </c>
      <c r="E115" s="7">
        <v>3023</v>
      </c>
      <c r="F115" s="3"/>
      <c r="G115">
        <v>0</v>
      </c>
      <c r="H115">
        <v>1</v>
      </c>
      <c r="I115">
        <f t="shared" si="23"/>
        <v>0</v>
      </c>
      <c r="J115" s="7">
        <v>1</v>
      </c>
      <c r="K115">
        <v>0</v>
      </c>
      <c r="L115">
        <f t="shared" si="24"/>
        <v>1</v>
      </c>
      <c r="M115" t="s">
        <v>5059</v>
      </c>
    </row>
    <row r="116" spans="1:13" x14ac:dyDescent="0.25">
      <c r="A116" t="s">
        <v>5053</v>
      </c>
      <c r="B116">
        <v>3</v>
      </c>
      <c r="C116">
        <v>36</v>
      </c>
      <c r="D116" s="22">
        <v>46083</v>
      </c>
      <c r="E116" s="7">
        <v>3019</v>
      </c>
      <c r="F116" s="3"/>
      <c r="G116">
        <v>0</v>
      </c>
      <c r="H116">
        <v>1</v>
      </c>
      <c r="I116">
        <f t="shared" si="23"/>
        <v>0</v>
      </c>
      <c r="J116" s="7">
        <v>6</v>
      </c>
      <c r="K116">
        <v>0</v>
      </c>
      <c r="L116">
        <f t="shared" si="24"/>
        <v>6</v>
      </c>
      <c r="M116" t="s">
        <v>5059</v>
      </c>
    </row>
    <row r="117" spans="1:13" x14ac:dyDescent="0.25">
      <c r="A117" t="s">
        <v>5053</v>
      </c>
      <c r="B117">
        <v>3</v>
      </c>
      <c r="C117">
        <v>36</v>
      </c>
      <c r="D117" s="22">
        <v>46083</v>
      </c>
      <c r="E117" s="6" t="s">
        <v>5002</v>
      </c>
      <c r="F117" s="3"/>
      <c r="G117">
        <v>0</v>
      </c>
      <c r="H117">
        <v>1</v>
      </c>
      <c r="I117">
        <f t="shared" si="23"/>
        <v>0</v>
      </c>
      <c r="J117" s="7">
        <v>75</v>
      </c>
      <c r="K117">
        <v>0</v>
      </c>
      <c r="L117">
        <f t="shared" si="24"/>
        <v>75</v>
      </c>
      <c r="M117" t="s">
        <v>5059</v>
      </c>
    </row>
    <row r="118" spans="1:13" x14ac:dyDescent="0.25">
      <c r="A118" t="s">
        <v>5053</v>
      </c>
      <c r="B118">
        <v>3</v>
      </c>
      <c r="C118">
        <v>36</v>
      </c>
      <c r="D118" s="22">
        <v>46083</v>
      </c>
      <c r="E118" s="6" t="s">
        <v>5003</v>
      </c>
      <c r="F118" s="3"/>
      <c r="G118">
        <v>0</v>
      </c>
      <c r="H118">
        <v>1</v>
      </c>
      <c r="I118">
        <f t="shared" si="23"/>
        <v>0</v>
      </c>
      <c r="J118" s="7">
        <v>44</v>
      </c>
      <c r="K118">
        <v>0</v>
      </c>
      <c r="L118">
        <f t="shared" si="24"/>
        <v>44</v>
      </c>
      <c r="M118" t="s">
        <v>5059</v>
      </c>
    </row>
    <row r="119" spans="1:13" x14ac:dyDescent="0.25">
      <c r="A119" t="s">
        <v>5053</v>
      </c>
      <c r="B119">
        <v>3</v>
      </c>
      <c r="C119">
        <v>36</v>
      </c>
      <c r="D119" s="22">
        <v>46083</v>
      </c>
      <c r="E119" s="7">
        <v>7170</v>
      </c>
      <c r="F119" s="3"/>
      <c r="G119">
        <v>0</v>
      </c>
      <c r="H119">
        <v>1</v>
      </c>
      <c r="I119">
        <f t="shared" si="23"/>
        <v>0</v>
      </c>
      <c r="J119" s="7">
        <v>11</v>
      </c>
      <c r="K119">
        <v>0</v>
      </c>
      <c r="L119">
        <f t="shared" si="24"/>
        <v>11</v>
      </c>
      <c r="M119" t="s">
        <v>5059</v>
      </c>
    </row>
    <row r="120" spans="1:13" x14ac:dyDescent="0.25">
      <c r="A120" t="s">
        <v>5053</v>
      </c>
      <c r="B120">
        <v>3</v>
      </c>
      <c r="C120">
        <v>36</v>
      </c>
      <c r="D120" s="22">
        <v>46083</v>
      </c>
      <c r="E120" s="6" t="s">
        <v>4965</v>
      </c>
      <c r="F120" s="3"/>
      <c r="G120" s="7">
        <v>40</v>
      </c>
      <c r="H120">
        <v>100</v>
      </c>
      <c r="I120">
        <f t="shared" si="23"/>
        <v>4000</v>
      </c>
      <c r="J120" s="7">
        <v>0</v>
      </c>
      <c r="K120">
        <v>0</v>
      </c>
      <c r="L120">
        <f t="shared" ref="L120" si="25">I120+J120+K120</f>
        <v>4000</v>
      </c>
      <c r="M120" t="s">
        <v>5059</v>
      </c>
    </row>
    <row r="121" spans="1:13" x14ac:dyDescent="0.25">
      <c r="A121" t="s">
        <v>5053</v>
      </c>
      <c r="B121">
        <v>3</v>
      </c>
      <c r="C121">
        <v>35</v>
      </c>
      <c r="D121" s="22">
        <v>46083</v>
      </c>
      <c r="E121" s="6" t="s">
        <v>5007</v>
      </c>
      <c r="F121" s="3"/>
      <c r="G121">
        <v>0</v>
      </c>
      <c r="H121">
        <v>1</v>
      </c>
      <c r="I121">
        <f t="shared" ref="I121:I123" si="26">G121*H121</f>
        <v>0</v>
      </c>
      <c r="J121">
        <v>250</v>
      </c>
      <c r="K121">
        <v>0</v>
      </c>
      <c r="L121">
        <f t="shared" ref="L121" si="27">I121+J121+K121</f>
        <v>250</v>
      </c>
      <c r="M121" t="s">
        <v>5059</v>
      </c>
    </row>
    <row r="122" spans="1:13" x14ac:dyDescent="0.25">
      <c r="A122" t="s">
        <v>5053</v>
      </c>
      <c r="B122">
        <v>3</v>
      </c>
      <c r="C122">
        <v>35</v>
      </c>
      <c r="D122" s="22">
        <v>46083</v>
      </c>
      <c r="E122" s="6" t="s">
        <v>5008</v>
      </c>
      <c r="F122" s="3"/>
      <c r="G122">
        <v>2</v>
      </c>
      <c r="H122">
        <v>50</v>
      </c>
      <c r="I122">
        <f t="shared" si="26"/>
        <v>100</v>
      </c>
      <c r="J122" s="7">
        <v>0</v>
      </c>
      <c r="K122">
        <v>0</v>
      </c>
      <c r="L122">
        <f t="shared" ref="L122:L123" si="28">I122+J122+K122</f>
        <v>100</v>
      </c>
      <c r="M122" t="s">
        <v>5059</v>
      </c>
    </row>
    <row r="123" spans="1:13" x14ac:dyDescent="0.25">
      <c r="A123" t="s">
        <v>5053</v>
      </c>
      <c r="B123">
        <v>3</v>
      </c>
      <c r="C123">
        <v>35</v>
      </c>
      <c r="D123" s="22">
        <v>46083</v>
      </c>
      <c r="E123" s="6" t="s">
        <v>5009</v>
      </c>
      <c r="F123" s="3"/>
      <c r="G123">
        <v>8</v>
      </c>
      <c r="H123">
        <v>50</v>
      </c>
      <c r="I123">
        <f t="shared" si="26"/>
        <v>400</v>
      </c>
      <c r="J123" s="7">
        <v>0</v>
      </c>
      <c r="K123">
        <v>0</v>
      </c>
      <c r="L123">
        <f t="shared" si="28"/>
        <v>400</v>
      </c>
      <c r="M123" t="s">
        <v>5059</v>
      </c>
    </row>
    <row r="124" spans="1:13" x14ac:dyDescent="0.25">
      <c r="A124" t="s">
        <v>5053</v>
      </c>
      <c r="B124">
        <v>3</v>
      </c>
      <c r="C124">
        <v>35</v>
      </c>
      <c r="D124" s="22">
        <v>46083</v>
      </c>
      <c r="E124" s="6" t="s">
        <v>5010</v>
      </c>
      <c r="F124" s="3"/>
      <c r="G124">
        <v>0</v>
      </c>
      <c r="H124">
        <v>1</v>
      </c>
      <c r="I124">
        <f t="shared" ref="I124:I137" si="29">G124*H124</f>
        <v>0</v>
      </c>
      <c r="J124">
        <v>500</v>
      </c>
      <c r="K124">
        <v>0</v>
      </c>
      <c r="L124">
        <f t="shared" ref="L124:L137" si="30">I124+J124+K124</f>
        <v>500</v>
      </c>
      <c r="M124" t="s">
        <v>5059</v>
      </c>
    </row>
    <row r="125" spans="1:13" x14ac:dyDescent="0.25">
      <c r="A125" t="s">
        <v>5053</v>
      </c>
      <c r="B125">
        <v>3</v>
      </c>
      <c r="C125">
        <v>35</v>
      </c>
      <c r="D125" s="22">
        <v>46083</v>
      </c>
      <c r="E125" s="7">
        <v>3248</v>
      </c>
      <c r="F125" s="3"/>
      <c r="G125">
        <v>0</v>
      </c>
      <c r="H125">
        <v>1</v>
      </c>
      <c r="I125">
        <f t="shared" si="29"/>
        <v>0</v>
      </c>
      <c r="J125">
        <v>8</v>
      </c>
      <c r="K125">
        <v>0</v>
      </c>
      <c r="L125">
        <f t="shared" si="30"/>
        <v>8</v>
      </c>
      <c r="M125" t="s">
        <v>5059</v>
      </c>
    </row>
    <row r="126" spans="1:13" x14ac:dyDescent="0.25">
      <c r="A126" t="s">
        <v>5053</v>
      </c>
      <c r="B126">
        <v>3</v>
      </c>
      <c r="C126">
        <v>35</v>
      </c>
      <c r="D126" s="22">
        <v>46083</v>
      </c>
      <c r="E126" s="7">
        <v>3247</v>
      </c>
      <c r="F126" s="3"/>
      <c r="G126">
        <v>0</v>
      </c>
      <c r="H126">
        <v>1</v>
      </c>
      <c r="I126">
        <f t="shared" si="29"/>
        <v>0</v>
      </c>
      <c r="J126">
        <v>21</v>
      </c>
      <c r="K126">
        <v>0</v>
      </c>
      <c r="L126">
        <f t="shared" si="30"/>
        <v>21</v>
      </c>
      <c r="M126" t="s">
        <v>5059</v>
      </c>
    </row>
    <row r="127" spans="1:13" x14ac:dyDescent="0.25">
      <c r="A127" t="s">
        <v>5053</v>
      </c>
      <c r="B127">
        <v>3</v>
      </c>
      <c r="C127">
        <v>35</v>
      </c>
      <c r="D127" s="22">
        <v>46083</v>
      </c>
      <c r="E127" s="7">
        <v>3246</v>
      </c>
      <c r="F127" s="3"/>
      <c r="G127">
        <v>0</v>
      </c>
      <c r="H127">
        <v>1</v>
      </c>
      <c r="I127">
        <f t="shared" si="29"/>
        <v>0</v>
      </c>
      <c r="J127">
        <v>20</v>
      </c>
      <c r="K127">
        <v>0</v>
      </c>
      <c r="L127">
        <f t="shared" si="30"/>
        <v>20</v>
      </c>
      <c r="M127" t="s">
        <v>5059</v>
      </c>
    </row>
    <row r="128" spans="1:13" x14ac:dyDescent="0.25">
      <c r="A128" t="s">
        <v>5053</v>
      </c>
      <c r="B128">
        <v>3</v>
      </c>
      <c r="C128">
        <v>35</v>
      </c>
      <c r="D128" s="22">
        <v>46083</v>
      </c>
      <c r="E128" s="6" t="s">
        <v>5011</v>
      </c>
      <c r="F128" s="3"/>
      <c r="G128">
        <v>0</v>
      </c>
      <c r="H128">
        <v>1</v>
      </c>
      <c r="I128">
        <f t="shared" si="29"/>
        <v>0</v>
      </c>
      <c r="J128">
        <v>400</v>
      </c>
      <c r="K128">
        <v>0</v>
      </c>
      <c r="L128">
        <f t="shared" si="30"/>
        <v>400</v>
      </c>
      <c r="M128" t="s">
        <v>5059</v>
      </c>
    </row>
    <row r="129" spans="1:13" x14ac:dyDescent="0.25">
      <c r="A129" t="s">
        <v>5053</v>
      </c>
      <c r="B129">
        <v>3</v>
      </c>
      <c r="C129">
        <v>35</v>
      </c>
      <c r="D129" s="22">
        <v>46083</v>
      </c>
      <c r="E129" s="7">
        <v>3250</v>
      </c>
      <c r="F129" s="3"/>
      <c r="G129">
        <v>0</v>
      </c>
      <c r="H129">
        <v>1</v>
      </c>
      <c r="I129">
        <f t="shared" si="29"/>
        <v>0</v>
      </c>
      <c r="J129">
        <v>1</v>
      </c>
      <c r="K129">
        <v>0</v>
      </c>
      <c r="L129">
        <f t="shared" si="30"/>
        <v>1</v>
      </c>
      <c r="M129" t="s">
        <v>5059</v>
      </c>
    </row>
    <row r="130" spans="1:13" x14ac:dyDescent="0.25">
      <c r="A130" t="s">
        <v>5053</v>
      </c>
      <c r="B130">
        <v>3</v>
      </c>
      <c r="C130">
        <v>35</v>
      </c>
      <c r="D130" s="22">
        <v>46083</v>
      </c>
      <c r="E130" s="6" t="s">
        <v>4943</v>
      </c>
      <c r="F130" s="3"/>
      <c r="G130">
        <v>0</v>
      </c>
      <c r="H130">
        <v>1</v>
      </c>
      <c r="I130">
        <f t="shared" si="29"/>
        <v>0</v>
      </c>
      <c r="J130">
        <v>1</v>
      </c>
      <c r="K130">
        <v>0</v>
      </c>
      <c r="L130">
        <f t="shared" si="30"/>
        <v>1</v>
      </c>
      <c r="M130" t="s">
        <v>5059</v>
      </c>
    </row>
    <row r="131" spans="1:13" x14ac:dyDescent="0.25">
      <c r="A131" t="s">
        <v>5053</v>
      </c>
      <c r="B131">
        <v>3</v>
      </c>
      <c r="C131">
        <v>13</v>
      </c>
      <c r="D131" s="22">
        <v>46083</v>
      </c>
      <c r="E131" s="6" t="s">
        <v>5016</v>
      </c>
      <c r="F131" s="3"/>
      <c r="G131">
        <v>20</v>
      </c>
      <c r="H131">
        <v>10</v>
      </c>
      <c r="I131">
        <f t="shared" si="29"/>
        <v>200</v>
      </c>
      <c r="J131">
        <v>0</v>
      </c>
      <c r="K131">
        <v>0</v>
      </c>
      <c r="L131">
        <f t="shared" si="30"/>
        <v>200</v>
      </c>
      <c r="M131" t="s">
        <v>5059</v>
      </c>
    </row>
    <row r="132" spans="1:13" x14ac:dyDescent="0.25">
      <c r="A132" t="s">
        <v>5053</v>
      </c>
      <c r="B132">
        <v>3</v>
      </c>
      <c r="C132">
        <v>13</v>
      </c>
      <c r="D132" s="22">
        <v>46083</v>
      </c>
      <c r="E132" s="6" t="s">
        <v>5017</v>
      </c>
      <c r="F132" s="3"/>
      <c r="G132">
        <v>10</v>
      </c>
      <c r="H132">
        <v>10</v>
      </c>
      <c r="I132">
        <f t="shared" si="29"/>
        <v>100</v>
      </c>
      <c r="J132">
        <v>300</v>
      </c>
      <c r="K132">
        <v>0</v>
      </c>
      <c r="L132">
        <f t="shared" si="30"/>
        <v>400</v>
      </c>
      <c r="M132" t="s">
        <v>5059</v>
      </c>
    </row>
    <row r="133" spans="1:13" x14ac:dyDescent="0.25">
      <c r="A133" t="s">
        <v>5053</v>
      </c>
      <c r="B133">
        <v>3</v>
      </c>
      <c r="C133">
        <v>13</v>
      </c>
      <c r="D133" s="22">
        <v>46083</v>
      </c>
      <c r="E133" s="6" t="s">
        <v>5018</v>
      </c>
      <c r="F133" s="3"/>
      <c r="G133">
        <v>90</v>
      </c>
      <c r="H133">
        <v>10</v>
      </c>
      <c r="I133">
        <f t="shared" si="29"/>
        <v>900</v>
      </c>
      <c r="J133">
        <v>0</v>
      </c>
      <c r="K133">
        <v>0</v>
      </c>
      <c r="L133">
        <f t="shared" si="30"/>
        <v>900</v>
      </c>
      <c r="M133" t="s">
        <v>5059</v>
      </c>
    </row>
    <row r="134" spans="1:13" x14ac:dyDescent="0.25">
      <c r="A134" t="s">
        <v>5053</v>
      </c>
      <c r="B134">
        <v>3</v>
      </c>
      <c r="C134">
        <v>13</v>
      </c>
      <c r="D134" s="22">
        <v>46083</v>
      </c>
      <c r="E134" s="6" t="s">
        <v>5019</v>
      </c>
      <c r="F134" s="3"/>
      <c r="G134">
        <v>50</v>
      </c>
      <c r="H134">
        <v>10</v>
      </c>
      <c r="I134">
        <f t="shared" si="29"/>
        <v>500</v>
      </c>
      <c r="J134">
        <v>0</v>
      </c>
      <c r="K134">
        <v>0</v>
      </c>
      <c r="L134">
        <f t="shared" si="30"/>
        <v>500</v>
      </c>
      <c r="M134" t="s">
        <v>5059</v>
      </c>
    </row>
    <row r="135" spans="1:13" x14ac:dyDescent="0.25">
      <c r="A135" t="s">
        <v>5053</v>
      </c>
      <c r="B135">
        <v>3</v>
      </c>
      <c r="C135">
        <v>17</v>
      </c>
      <c r="D135" s="22">
        <v>46083</v>
      </c>
      <c r="E135" s="6" t="s">
        <v>5019</v>
      </c>
      <c r="F135" s="3"/>
      <c r="G135">
        <v>40</v>
      </c>
      <c r="H135">
        <v>10</v>
      </c>
      <c r="I135">
        <f t="shared" si="29"/>
        <v>400</v>
      </c>
      <c r="J135">
        <v>0</v>
      </c>
      <c r="K135">
        <v>0</v>
      </c>
      <c r="L135">
        <f t="shared" si="30"/>
        <v>400</v>
      </c>
      <c r="M135" t="s">
        <v>5059</v>
      </c>
    </row>
    <row r="136" spans="1:13" x14ac:dyDescent="0.25">
      <c r="A136" t="s">
        <v>5053</v>
      </c>
      <c r="B136">
        <v>3</v>
      </c>
      <c r="C136">
        <v>17</v>
      </c>
      <c r="D136" s="22">
        <v>46083</v>
      </c>
      <c r="E136" s="6" t="s">
        <v>5025</v>
      </c>
      <c r="F136" s="3"/>
      <c r="G136">
        <v>15</v>
      </c>
      <c r="H136">
        <v>20</v>
      </c>
      <c r="I136">
        <f t="shared" si="29"/>
        <v>300</v>
      </c>
      <c r="J136">
        <v>0</v>
      </c>
      <c r="K136">
        <v>0</v>
      </c>
      <c r="L136">
        <f t="shared" si="30"/>
        <v>300</v>
      </c>
      <c r="M136" t="s">
        <v>5059</v>
      </c>
    </row>
    <row r="137" spans="1:13" x14ac:dyDescent="0.25">
      <c r="A137" t="s">
        <v>5053</v>
      </c>
      <c r="B137">
        <v>3</v>
      </c>
      <c r="C137">
        <v>17</v>
      </c>
      <c r="D137" s="22">
        <v>46083</v>
      </c>
      <c r="E137" s="6" t="s">
        <v>5026</v>
      </c>
      <c r="F137" s="3"/>
      <c r="G137">
        <v>25</v>
      </c>
      <c r="H137">
        <v>20</v>
      </c>
      <c r="I137">
        <f t="shared" si="29"/>
        <v>500</v>
      </c>
      <c r="J137">
        <v>0</v>
      </c>
      <c r="K137">
        <v>0</v>
      </c>
      <c r="L137">
        <f t="shared" si="30"/>
        <v>500</v>
      </c>
      <c r="M137" t="s">
        <v>5059</v>
      </c>
    </row>
    <row r="138" spans="1:13" x14ac:dyDescent="0.25">
      <c r="A138" t="s">
        <v>5053</v>
      </c>
      <c r="B138">
        <v>3</v>
      </c>
      <c r="C138">
        <v>17</v>
      </c>
      <c r="D138" s="22">
        <v>46083</v>
      </c>
      <c r="E138" s="6" t="s">
        <v>5027</v>
      </c>
      <c r="F138" s="3"/>
      <c r="G138">
        <v>0</v>
      </c>
      <c r="H138">
        <v>1</v>
      </c>
      <c r="I138">
        <f t="shared" ref="I138:I140" si="31">G138*H138</f>
        <v>0</v>
      </c>
      <c r="J138">
        <v>667</v>
      </c>
      <c r="K138">
        <v>0</v>
      </c>
      <c r="L138">
        <f t="shared" ref="L138" si="32">I138+J138+K138</f>
        <v>667</v>
      </c>
      <c r="M138" t="s">
        <v>5059</v>
      </c>
    </row>
    <row r="139" spans="1:13" x14ac:dyDescent="0.25">
      <c r="A139" t="s">
        <v>5053</v>
      </c>
      <c r="B139">
        <v>3</v>
      </c>
      <c r="C139">
        <v>17</v>
      </c>
      <c r="D139" s="22">
        <v>46083</v>
      </c>
      <c r="E139" s="6" t="s">
        <v>5028</v>
      </c>
      <c r="F139" s="3"/>
      <c r="G139">
        <v>6</v>
      </c>
      <c r="H139">
        <v>20</v>
      </c>
      <c r="I139">
        <f t="shared" si="31"/>
        <v>120</v>
      </c>
      <c r="J139">
        <v>0</v>
      </c>
      <c r="K139">
        <v>0</v>
      </c>
      <c r="L139">
        <f t="shared" ref="L139:L140" si="33">I139+J139+K139</f>
        <v>120</v>
      </c>
      <c r="M139" t="s">
        <v>5059</v>
      </c>
    </row>
    <row r="140" spans="1:13" x14ac:dyDescent="0.25">
      <c r="A140" t="s">
        <v>5053</v>
      </c>
      <c r="B140">
        <v>3</v>
      </c>
      <c r="C140">
        <v>17</v>
      </c>
      <c r="D140" s="22">
        <v>46083</v>
      </c>
      <c r="E140" s="6" t="s">
        <v>5029</v>
      </c>
      <c r="F140" s="3"/>
      <c r="G140">
        <v>10</v>
      </c>
      <c r="H140">
        <v>10</v>
      </c>
      <c r="I140">
        <f t="shared" si="31"/>
        <v>100</v>
      </c>
      <c r="J140">
        <v>0</v>
      </c>
      <c r="K140">
        <v>0</v>
      </c>
      <c r="L140">
        <f t="shared" si="33"/>
        <v>100</v>
      </c>
      <c r="M140" t="s">
        <v>5059</v>
      </c>
    </row>
    <row r="141" spans="1:13" x14ac:dyDescent="0.25">
      <c r="A141" t="s">
        <v>5053</v>
      </c>
      <c r="B141">
        <v>3</v>
      </c>
      <c r="C141">
        <v>21</v>
      </c>
      <c r="D141" s="22">
        <v>46083</v>
      </c>
      <c r="E141" s="6" t="s">
        <v>5035</v>
      </c>
      <c r="F141" s="3"/>
      <c r="G141">
        <v>0</v>
      </c>
      <c r="H141">
        <v>1</v>
      </c>
      <c r="I141">
        <f t="shared" ref="I141:I143" si="34">G141*H141</f>
        <v>0</v>
      </c>
      <c r="J141">
        <v>300</v>
      </c>
      <c r="K141">
        <v>0</v>
      </c>
      <c r="L141">
        <f t="shared" ref="L141:L143" si="35">I141+J141+K141</f>
        <v>300</v>
      </c>
      <c r="M141" t="s">
        <v>5059</v>
      </c>
    </row>
    <row r="142" spans="1:13" x14ac:dyDescent="0.25">
      <c r="A142" t="s">
        <v>5053</v>
      </c>
      <c r="B142">
        <v>3</v>
      </c>
      <c r="C142">
        <v>21</v>
      </c>
      <c r="D142" s="22">
        <v>46083</v>
      </c>
      <c r="E142" s="6" t="s">
        <v>5036</v>
      </c>
      <c r="F142" s="3"/>
      <c r="G142">
        <v>0</v>
      </c>
      <c r="H142">
        <v>1</v>
      </c>
      <c r="I142">
        <f t="shared" si="34"/>
        <v>0</v>
      </c>
      <c r="J142">
        <v>400</v>
      </c>
      <c r="K142">
        <v>0</v>
      </c>
      <c r="L142">
        <f t="shared" si="35"/>
        <v>400</v>
      </c>
      <c r="M142" t="s">
        <v>5059</v>
      </c>
    </row>
    <row r="143" spans="1:13" x14ac:dyDescent="0.25">
      <c r="A143" t="s">
        <v>5053</v>
      </c>
      <c r="B143">
        <v>3</v>
      </c>
      <c r="C143">
        <v>21</v>
      </c>
      <c r="D143" s="22">
        <v>46083</v>
      </c>
      <c r="E143" s="6" t="s">
        <v>5037</v>
      </c>
      <c r="F143" s="3"/>
      <c r="G143">
        <v>0</v>
      </c>
      <c r="H143">
        <v>1</v>
      </c>
      <c r="I143">
        <f t="shared" si="34"/>
        <v>0</v>
      </c>
      <c r="J143">
        <v>180</v>
      </c>
      <c r="K143">
        <v>0</v>
      </c>
      <c r="L143">
        <f t="shared" si="35"/>
        <v>180</v>
      </c>
      <c r="M143" t="s">
        <v>5059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623D-EA01-4BF2-BFD9-589ABE4A86AA}">
  <dimension ref="A1:M96"/>
  <sheetViews>
    <sheetView topLeftCell="A60" workbookViewId="0">
      <selection activeCell="A96" sqref="A96:XFD96"/>
    </sheetView>
  </sheetViews>
  <sheetFormatPr defaultColWidth="11.42578125" defaultRowHeight="15" x14ac:dyDescent="0.25"/>
  <cols>
    <col min="1" max="1" width="16.7109375" bestFit="1" customWidth="1"/>
    <col min="2" max="2" width="12.7109375" bestFit="1" customWidth="1"/>
    <col min="3" max="3" width="10" bestFit="1" customWidth="1"/>
    <col min="4" max="4" width="13.5703125" bestFit="1" customWidth="1"/>
    <col min="5" max="5" width="12.140625" bestFit="1" customWidth="1"/>
    <col min="6" max="6" width="33.5703125" bestFit="1" customWidth="1"/>
    <col min="7" max="7" width="9.42578125" bestFit="1" customWidth="1"/>
    <col min="8" max="8" width="13" bestFit="1" customWidth="1"/>
    <col min="9" max="9" width="14.42578125" bestFit="1" customWidth="1"/>
    <col min="10" max="10" width="11.7109375" bestFit="1" customWidth="1"/>
    <col min="11" max="11" width="9.42578125" bestFit="1" customWidth="1"/>
    <col min="12" max="12" width="7.5703125" bestFit="1" customWidth="1"/>
    <col min="13" max="13" width="18.140625" bestFit="1" customWidth="1"/>
  </cols>
  <sheetData>
    <row r="1" spans="1:13" ht="15.75" x14ac:dyDescent="0.25">
      <c r="A1" s="28" t="s">
        <v>5044</v>
      </c>
      <c r="B1" s="28" t="s">
        <v>5054</v>
      </c>
      <c r="C1" s="28" t="s">
        <v>5055</v>
      </c>
      <c r="D1" s="28" t="s">
        <v>5045</v>
      </c>
      <c r="E1" s="28" t="s">
        <v>5046</v>
      </c>
      <c r="F1" s="28" t="s">
        <v>4434</v>
      </c>
      <c r="G1" s="28" t="s">
        <v>5047</v>
      </c>
      <c r="H1" s="28" t="s">
        <v>5048</v>
      </c>
      <c r="I1" s="28" t="s">
        <v>5049</v>
      </c>
      <c r="J1" s="28" t="s">
        <v>5050</v>
      </c>
      <c r="K1" s="28" t="s">
        <v>5051</v>
      </c>
      <c r="L1" s="28" t="s">
        <v>5052</v>
      </c>
      <c r="M1" s="28" t="s">
        <v>5058</v>
      </c>
    </row>
    <row r="2" spans="1:13" x14ac:dyDescent="0.25">
      <c r="A2" t="s">
        <v>5057</v>
      </c>
      <c r="B2">
        <v>1</v>
      </c>
      <c r="C2">
        <v>1</v>
      </c>
      <c r="D2" t="s">
        <v>4502</v>
      </c>
      <c r="E2">
        <v>3229</v>
      </c>
      <c r="F2" s="3"/>
      <c r="G2">
        <v>81</v>
      </c>
      <c r="H2">
        <v>1</v>
      </c>
      <c r="I2">
        <f>G2*H2</f>
        <v>81</v>
      </c>
      <c r="J2">
        <v>0</v>
      </c>
      <c r="K2">
        <v>0</v>
      </c>
      <c r="L2">
        <f>I2+J2+K2</f>
        <v>81</v>
      </c>
      <c r="M2" t="s">
        <v>5065</v>
      </c>
    </row>
    <row r="3" spans="1:13" x14ac:dyDescent="0.25">
      <c r="A3" t="s">
        <v>5057</v>
      </c>
      <c r="B3">
        <v>1</v>
      </c>
      <c r="C3">
        <v>2</v>
      </c>
      <c r="D3" t="s">
        <v>4502</v>
      </c>
      <c r="E3" s="6" t="s">
        <v>4519</v>
      </c>
      <c r="F3" s="3"/>
      <c r="G3">
        <v>489</v>
      </c>
      <c r="H3">
        <v>1</v>
      </c>
      <c r="I3">
        <f t="shared" ref="I3:I6" si="0">G3*H3</f>
        <v>489</v>
      </c>
      <c r="J3">
        <v>0</v>
      </c>
      <c r="K3">
        <v>0</v>
      </c>
      <c r="L3">
        <f t="shared" ref="L3:L6" si="1">I3+J3+K3</f>
        <v>489</v>
      </c>
      <c r="M3" t="s">
        <v>5065</v>
      </c>
    </row>
    <row r="4" spans="1:13" x14ac:dyDescent="0.25">
      <c r="A4" t="s">
        <v>5057</v>
      </c>
      <c r="B4">
        <v>1</v>
      </c>
      <c r="C4">
        <v>3</v>
      </c>
      <c r="D4" t="s">
        <v>4502</v>
      </c>
      <c r="E4" s="6" t="s">
        <v>4520</v>
      </c>
      <c r="F4" s="3"/>
      <c r="G4">
        <v>291</v>
      </c>
      <c r="H4">
        <v>1</v>
      </c>
      <c r="I4">
        <f t="shared" si="0"/>
        <v>291</v>
      </c>
      <c r="J4">
        <v>0</v>
      </c>
      <c r="K4">
        <v>0</v>
      </c>
      <c r="L4">
        <f t="shared" si="1"/>
        <v>291</v>
      </c>
      <c r="M4" t="s">
        <v>5065</v>
      </c>
    </row>
    <row r="5" spans="1:13" x14ac:dyDescent="0.25">
      <c r="A5" t="s">
        <v>5057</v>
      </c>
      <c r="B5">
        <v>1</v>
      </c>
      <c r="C5">
        <v>3</v>
      </c>
      <c r="D5" t="s">
        <v>4502</v>
      </c>
      <c r="E5" s="21">
        <v>3230</v>
      </c>
      <c r="F5" s="3"/>
      <c r="G5">
        <v>0</v>
      </c>
      <c r="H5">
        <v>1</v>
      </c>
      <c r="I5">
        <f t="shared" ref="I5" si="2">G5*H5</f>
        <v>0</v>
      </c>
      <c r="J5">
        <v>21</v>
      </c>
      <c r="K5">
        <v>0</v>
      </c>
      <c r="L5">
        <f t="shared" ref="L5" si="3">I5+J5+K5</f>
        <v>21</v>
      </c>
      <c r="M5" t="s">
        <v>5065</v>
      </c>
    </row>
    <row r="6" spans="1:13" x14ac:dyDescent="0.25">
      <c r="A6" t="s">
        <v>5057</v>
      </c>
      <c r="B6">
        <v>1</v>
      </c>
      <c r="C6">
        <v>4</v>
      </c>
      <c r="D6" t="s">
        <v>4502</v>
      </c>
      <c r="E6">
        <v>3231</v>
      </c>
      <c r="F6" s="3"/>
      <c r="G6">
        <v>59</v>
      </c>
      <c r="H6">
        <v>1</v>
      </c>
      <c r="I6">
        <f t="shared" si="0"/>
        <v>59</v>
      </c>
      <c r="J6">
        <v>0</v>
      </c>
      <c r="K6">
        <v>0</v>
      </c>
      <c r="L6">
        <f t="shared" si="1"/>
        <v>59</v>
      </c>
      <c r="M6" t="s">
        <v>5065</v>
      </c>
    </row>
    <row r="7" spans="1:13" x14ac:dyDescent="0.25">
      <c r="A7" s="8" t="s">
        <v>5057</v>
      </c>
      <c r="B7" s="8">
        <v>1</v>
      </c>
      <c r="C7" s="8">
        <v>5</v>
      </c>
      <c r="D7" s="8" t="s">
        <v>4502</v>
      </c>
      <c r="E7" s="8">
        <v>3258</v>
      </c>
      <c r="F7" s="12"/>
      <c r="G7" s="8">
        <v>6</v>
      </c>
      <c r="H7" s="8">
        <v>1</v>
      </c>
      <c r="I7" s="8">
        <f t="shared" ref="I7:I8" si="4">G7*H7</f>
        <v>6</v>
      </c>
      <c r="J7" s="8">
        <v>11</v>
      </c>
      <c r="K7" s="8">
        <v>0</v>
      </c>
      <c r="L7" s="8">
        <f t="shared" ref="L7:L20" si="5">I7+J7+K7</f>
        <v>17</v>
      </c>
      <c r="M7" t="s">
        <v>5067</v>
      </c>
    </row>
    <row r="8" spans="1:13" x14ac:dyDescent="0.25">
      <c r="A8" s="8" t="s">
        <v>5057</v>
      </c>
      <c r="B8" s="8">
        <v>1</v>
      </c>
      <c r="C8" s="8">
        <v>5</v>
      </c>
      <c r="D8" s="8" t="s">
        <v>4502</v>
      </c>
      <c r="E8" s="8">
        <v>3225</v>
      </c>
      <c r="F8" s="12"/>
      <c r="G8" s="8">
        <v>0</v>
      </c>
      <c r="H8" s="8">
        <v>1</v>
      </c>
      <c r="I8" s="8">
        <f t="shared" si="4"/>
        <v>0</v>
      </c>
      <c r="J8" s="8">
        <v>2</v>
      </c>
      <c r="K8" s="8">
        <v>0</v>
      </c>
      <c r="L8" s="8">
        <f t="shared" si="5"/>
        <v>2</v>
      </c>
      <c r="M8" t="s">
        <v>5067</v>
      </c>
    </row>
    <row r="9" spans="1:13" x14ac:dyDescent="0.25">
      <c r="A9" s="8" t="s">
        <v>5057</v>
      </c>
      <c r="B9" s="8">
        <v>1</v>
      </c>
      <c r="C9" s="8">
        <v>5</v>
      </c>
      <c r="D9" s="8" t="s">
        <v>4502</v>
      </c>
      <c r="E9" s="8">
        <v>3275</v>
      </c>
      <c r="F9" s="12"/>
      <c r="G9" s="8">
        <v>0</v>
      </c>
      <c r="H9" s="8">
        <v>1</v>
      </c>
      <c r="I9" s="8">
        <f t="shared" ref="I9:I15" si="6">G9*H9</f>
        <v>0</v>
      </c>
      <c r="J9" s="8">
        <v>2</v>
      </c>
      <c r="K9" s="8">
        <v>0</v>
      </c>
      <c r="L9" s="8">
        <f t="shared" si="5"/>
        <v>2</v>
      </c>
      <c r="M9" t="s">
        <v>5067</v>
      </c>
    </row>
    <row r="10" spans="1:13" x14ac:dyDescent="0.25">
      <c r="A10" s="8" t="s">
        <v>5057</v>
      </c>
      <c r="B10" s="8">
        <v>1</v>
      </c>
      <c r="C10" s="8">
        <v>5</v>
      </c>
      <c r="D10" s="8" t="s">
        <v>4502</v>
      </c>
      <c r="E10" s="8">
        <v>3256</v>
      </c>
      <c r="F10" s="12"/>
      <c r="G10" s="8">
        <v>0</v>
      </c>
      <c r="H10" s="8">
        <v>1</v>
      </c>
      <c r="I10" s="8">
        <f t="shared" si="6"/>
        <v>0</v>
      </c>
      <c r="J10" s="8">
        <v>1</v>
      </c>
      <c r="K10" s="8">
        <v>0</v>
      </c>
      <c r="L10" s="8">
        <f t="shared" si="5"/>
        <v>1</v>
      </c>
      <c r="M10" t="s">
        <v>5067</v>
      </c>
    </row>
    <row r="11" spans="1:13" x14ac:dyDescent="0.25">
      <c r="A11" s="8" t="s">
        <v>5057</v>
      </c>
      <c r="B11" s="8">
        <v>1</v>
      </c>
      <c r="C11" s="8">
        <v>5</v>
      </c>
      <c r="D11" s="8" t="s">
        <v>4502</v>
      </c>
      <c r="E11" s="8">
        <v>3231</v>
      </c>
      <c r="F11" s="12"/>
      <c r="G11" s="8">
        <v>0</v>
      </c>
      <c r="H11" s="8">
        <v>1</v>
      </c>
      <c r="I11" s="8">
        <f t="shared" si="6"/>
        <v>0</v>
      </c>
      <c r="J11" s="8">
        <v>43</v>
      </c>
      <c r="K11" s="8">
        <v>0</v>
      </c>
      <c r="L11" s="8">
        <f t="shared" si="5"/>
        <v>43</v>
      </c>
      <c r="M11" t="s">
        <v>5067</v>
      </c>
    </row>
    <row r="12" spans="1:13" x14ac:dyDescent="0.25">
      <c r="A12" s="8" t="s">
        <v>5057</v>
      </c>
      <c r="B12" s="8">
        <v>1</v>
      </c>
      <c r="C12" s="8">
        <v>5</v>
      </c>
      <c r="D12" s="8" t="s">
        <v>4502</v>
      </c>
      <c r="E12" s="8">
        <v>3350</v>
      </c>
      <c r="F12" s="12"/>
      <c r="G12" s="8">
        <v>0</v>
      </c>
      <c r="H12" s="8">
        <v>1</v>
      </c>
      <c r="I12" s="8">
        <f t="shared" si="6"/>
        <v>0</v>
      </c>
      <c r="J12" s="8">
        <v>15</v>
      </c>
      <c r="K12" s="8">
        <v>0</v>
      </c>
      <c r="L12" s="8">
        <f t="shared" si="5"/>
        <v>15</v>
      </c>
      <c r="M12" t="s">
        <v>5067</v>
      </c>
    </row>
    <row r="13" spans="1:13" x14ac:dyDescent="0.25">
      <c r="A13" s="51" t="s">
        <v>5057</v>
      </c>
      <c r="B13" s="51">
        <v>1</v>
      </c>
      <c r="C13" s="51">
        <v>6</v>
      </c>
      <c r="D13" s="51" t="s">
        <v>4502</v>
      </c>
      <c r="E13" s="56" t="s">
        <v>4521</v>
      </c>
      <c r="F13" s="51"/>
      <c r="G13" s="51">
        <v>0</v>
      </c>
      <c r="H13" s="51">
        <v>1</v>
      </c>
      <c r="I13" s="51">
        <f t="shared" si="6"/>
        <v>0</v>
      </c>
      <c r="J13" s="51">
        <v>280</v>
      </c>
      <c r="K13" s="51">
        <v>0</v>
      </c>
      <c r="L13" s="51">
        <f t="shared" si="5"/>
        <v>280</v>
      </c>
      <c r="M13" s="51" t="s">
        <v>5067</v>
      </c>
    </row>
    <row r="14" spans="1:13" x14ac:dyDescent="0.25">
      <c r="A14" t="s">
        <v>5057</v>
      </c>
      <c r="B14">
        <v>1</v>
      </c>
      <c r="C14">
        <v>14</v>
      </c>
      <c r="D14" t="s">
        <v>4485</v>
      </c>
      <c r="E14">
        <v>3210</v>
      </c>
      <c r="F14" s="3"/>
      <c r="G14">
        <v>10</v>
      </c>
      <c r="H14">
        <v>6</v>
      </c>
      <c r="I14">
        <f t="shared" si="6"/>
        <v>60</v>
      </c>
      <c r="J14">
        <v>3</v>
      </c>
      <c r="K14">
        <v>0</v>
      </c>
      <c r="L14">
        <f t="shared" si="5"/>
        <v>63</v>
      </c>
      <c r="M14" t="s">
        <v>5065</v>
      </c>
    </row>
    <row r="15" spans="1:13" x14ac:dyDescent="0.25">
      <c r="A15" t="s">
        <v>5057</v>
      </c>
      <c r="B15">
        <v>1</v>
      </c>
      <c r="C15">
        <v>14</v>
      </c>
      <c r="D15" t="s">
        <v>4485</v>
      </c>
      <c r="E15">
        <v>3230</v>
      </c>
      <c r="F15" s="3"/>
      <c r="G15" s="7">
        <v>0</v>
      </c>
      <c r="H15">
        <v>1</v>
      </c>
      <c r="I15">
        <f t="shared" si="6"/>
        <v>0</v>
      </c>
      <c r="J15">
        <v>90</v>
      </c>
      <c r="K15">
        <v>0</v>
      </c>
      <c r="L15">
        <f t="shared" si="5"/>
        <v>90</v>
      </c>
      <c r="M15" t="s">
        <v>5065</v>
      </c>
    </row>
    <row r="16" spans="1:13" x14ac:dyDescent="0.25">
      <c r="A16" s="8" t="s">
        <v>5057</v>
      </c>
      <c r="B16" s="8">
        <v>1</v>
      </c>
      <c r="C16" s="8">
        <v>14</v>
      </c>
      <c r="D16" s="8" t="s">
        <v>4485</v>
      </c>
      <c r="E16" s="8">
        <v>3224</v>
      </c>
      <c r="F16" s="12"/>
      <c r="G16" s="8">
        <v>11</v>
      </c>
      <c r="H16" s="8">
        <v>1</v>
      </c>
      <c r="I16" s="8">
        <f t="shared" ref="I16:I30" si="7">G16*H16</f>
        <v>11</v>
      </c>
      <c r="J16" s="8">
        <v>4</v>
      </c>
      <c r="K16" s="8">
        <v>0</v>
      </c>
      <c r="L16" s="8">
        <f t="shared" si="5"/>
        <v>15</v>
      </c>
      <c r="M16" s="8" t="s">
        <v>5067</v>
      </c>
    </row>
    <row r="17" spans="1:13" x14ac:dyDescent="0.25">
      <c r="A17" s="51" t="s">
        <v>5057</v>
      </c>
      <c r="B17" s="51">
        <v>1</v>
      </c>
      <c r="C17" s="51">
        <v>14</v>
      </c>
      <c r="D17" s="51" t="s">
        <v>4502</v>
      </c>
      <c r="E17" s="51"/>
      <c r="F17" s="52" t="s">
        <v>5070</v>
      </c>
      <c r="G17" s="51">
        <v>1</v>
      </c>
      <c r="H17" s="51">
        <v>4</v>
      </c>
      <c r="I17" s="51">
        <f t="shared" si="7"/>
        <v>4</v>
      </c>
      <c r="J17" s="51">
        <v>0</v>
      </c>
      <c r="K17" s="51">
        <v>0</v>
      </c>
      <c r="L17" s="51">
        <f t="shared" si="5"/>
        <v>4</v>
      </c>
      <c r="M17" s="51" t="s">
        <v>5067</v>
      </c>
    </row>
    <row r="18" spans="1:13" x14ac:dyDescent="0.25">
      <c r="A18" t="s">
        <v>5057</v>
      </c>
      <c r="B18">
        <v>1</v>
      </c>
      <c r="C18">
        <v>15</v>
      </c>
      <c r="D18" t="s">
        <v>4485</v>
      </c>
      <c r="E18" s="6" t="s">
        <v>4495</v>
      </c>
      <c r="F18" s="3"/>
      <c r="G18">
        <v>0</v>
      </c>
      <c r="H18">
        <v>1</v>
      </c>
      <c r="I18">
        <f t="shared" si="7"/>
        <v>0</v>
      </c>
      <c r="J18">
        <v>426</v>
      </c>
      <c r="K18">
        <v>0</v>
      </c>
      <c r="L18">
        <f t="shared" si="5"/>
        <v>426</v>
      </c>
      <c r="M18" t="s">
        <v>5065</v>
      </c>
    </row>
    <row r="19" spans="1:13" x14ac:dyDescent="0.25">
      <c r="A19" t="s">
        <v>5057</v>
      </c>
      <c r="B19">
        <v>1</v>
      </c>
      <c r="C19">
        <v>15</v>
      </c>
      <c r="D19" t="s">
        <v>4485</v>
      </c>
      <c r="E19">
        <v>3212</v>
      </c>
      <c r="F19" s="3"/>
      <c r="G19">
        <v>7</v>
      </c>
      <c r="H19">
        <v>9</v>
      </c>
      <c r="I19">
        <f t="shared" si="7"/>
        <v>63</v>
      </c>
      <c r="J19">
        <v>8</v>
      </c>
      <c r="K19">
        <v>0</v>
      </c>
      <c r="L19">
        <f t="shared" si="5"/>
        <v>71</v>
      </c>
      <c r="M19" t="s">
        <v>5065</v>
      </c>
    </row>
    <row r="20" spans="1:13" x14ac:dyDescent="0.25">
      <c r="A20" t="s">
        <v>5057</v>
      </c>
      <c r="B20">
        <v>1</v>
      </c>
      <c r="C20">
        <v>15</v>
      </c>
      <c r="D20" t="s">
        <v>4485</v>
      </c>
      <c r="E20" s="18">
        <v>4142</v>
      </c>
      <c r="F20" s="3"/>
      <c r="G20">
        <v>19</v>
      </c>
      <c r="H20">
        <v>2</v>
      </c>
      <c r="I20">
        <f t="shared" si="7"/>
        <v>38</v>
      </c>
      <c r="J20">
        <v>0</v>
      </c>
      <c r="K20">
        <v>0</v>
      </c>
      <c r="L20">
        <f t="shared" si="5"/>
        <v>38</v>
      </c>
      <c r="M20" t="s">
        <v>5068</v>
      </c>
    </row>
    <row r="21" spans="1:13" x14ac:dyDescent="0.25">
      <c r="A21" t="s">
        <v>5057</v>
      </c>
      <c r="B21">
        <v>1</v>
      </c>
      <c r="C21">
        <v>15</v>
      </c>
      <c r="D21" t="s">
        <v>4485</v>
      </c>
      <c r="E21" s="17">
        <v>4144</v>
      </c>
      <c r="F21" s="3"/>
      <c r="G21">
        <v>17</v>
      </c>
      <c r="H21">
        <v>2</v>
      </c>
      <c r="I21">
        <f t="shared" si="7"/>
        <v>34</v>
      </c>
      <c r="J21">
        <v>0</v>
      </c>
      <c r="K21">
        <v>0</v>
      </c>
      <c r="L21">
        <f t="shared" ref="L21" si="8">I21+J21+K21</f>
        <v>34</v>
      </c>
      <c r="M21" t="s">
        <v>5068</v>
      </c>
    </row>
    <row r="22" spans="1:13" x14ac:dyDescent="0.25">
      <c r="A22" t="s">
        <v>5057</v>
      </c>
      <c r="B22">
        <v>1</v>
      </c>
      <c r="C22">
        <v>15</v>
      </c>
      <c r="D22" t="s">
        <v>4485</v>
      </c>
      <c r="E22" s="17">
        <v>4154</v>
      </c>
      <c r="F22" s="3"/>
      <c r="G22" s="7">
        <v>43</v>
      </c>
      <c r="H22" s="7">
        <v>2</v>
      </c>
      <c r="I22" s="7">
        <f t="shared" si="7"/>
        <v>86</v>
      </c>
      <c r="J22" s="7">
        <v>0</v>
      </c>
      <c r="K22" s="7">
        <v>0</v>
      </c>
      <c r="L22">
        <f t="shared" ref="L22" si="9">I22+J22+K22</f>
        <v>86</v>
      </c>
      <c r="M22" t="s">
        <v>5068</v>
      </c>
    </row>
    <row r="23" spans="1:13" x14ac:dyDescent="0.25">
      <c r="A23" t="s">
        <v>5057</v>
      </c>
      <c r="B23">
        <v>1</v>
      </c>
      <c r="C23">
        <v>15</v>
      </c>
      <c r="D23" t="s">
        <v>4485</v>
      </c>
      <c r="E23" s="17">
        <v>4151</v>
      </c>
      <c r="F23" s="3"/>
      <c r="G23" s="7">
        <v>1</v>
      </c>
      <c r="H23" s="7">
        <v>2</v>
      </c>
      <c r="I23" s="7">
        <f t="shared" si="7"/>
        <v>2</v>
      </c>
      <c r="J23" s="7">
        <v>0</v>
      </c>
      <c r="K23" s="7">
        <v>0</v>
      </c>
      <c r="L23">
        <f t="shared" ref="L23" si="10">I23+J23+K23</f>
        <v>2</v>
      </c>
      <c r="M23" t="s">
        <v>5068</v>
      </c>
    </row>
    <row r="24" spans="1:13" x14ac:dyDescent="0.25">
      <c r="A24" t="s">
        <v>5057</v>
      </c>
      <c r="B24">
        <v>1</v>
      </c>
      <c r="C24">
        <v>15</v>
      </c>
      <c r="D24" t="s">
        <v>4485</v>
      </c>
      <c r="E24" s="17">
        <v>4141</v>
      </c>
      <c r="F24" s="3"/>
      <c r="G24" s="7">
        <v>9</v>
      </c>
      <c r="H24" s="7">
        <v>5</v>
      </c>
      <c r="I24" s="7">
        <f t="shared" si="7"/>
        <v>45</v>
      </c>
      <c r="J24" s="7">
        <v>0</v>
      </c>
      <c r="K24" s="7">
        <v>0</v>
      </c>
      <c r="L24">
        <f t="shared" ref="L24" si="11">I24+J24+K24</f>
        <v>45</v>
      </c>
      <c r="M24" t="s">
        <v>5068</v>
      </c>
    </row>
    <row r="25" spans="1:13" x14ac:dyDescent="0.25">
      <c r="A25" t="s">
        <v>5057</v>
      </c>
      <c r="B25">
        <v>1</v>
      </c>
      <c r="C25">
        <v>15</v>
      </c>
      <c r="D25" t="s">
        <v>4485</v>
      </c>
      <c r="E25" s="17">
        <v>4140</v>
      </c>
      <c r="F25" s="3"/>
      <c r="G25" s="7">
        <v>26</v>
      </c>
      <c r="H25" s="7">
        <v>5</v>
      </c>
      <c r="I25" s="7">
        <f t="shared" si="7"/>
        <v>130</v>
      </c>
      <c r="J25" s="7">
        <v>1</v>
      </c>
      <c r="K25" s="7">
        <v>0</v>
      </c>
      <c r="L25">
        <f t="shared" ref="L25" si="12">I25+J25+K25</f>
        <v>131</v>
      </c>
      <c r="M25" t="s">
        <v>5068</v>
      </c>
    </row>
    <row r="26" spans="1:13" x14ac:dyDescent="0.25">
      <c r="A26" s="8" t="s">
        <v>5057</v>
      </c>
      <c r="B26" s="8">
        <v>1</v>
      </c>
      <c r="C26" s="8">
        <v>15</v>
      </c>
      <c r="D26" s="8" t="s">
        <v>4485</v>
      </c>
      <c r="E26" s="53">
        <v>4143</v>
      </c>
      <c r="F26" s="12"/>
      <c r="G26" s="15">
        <v>45</v>
      </c>
      <c r="H26" s="15">
        <v>1</v>
      </c>
      <c r="I26" s="15">
        <f t="shared" si="7"/>
        <v>45</v>
      </c>
      <c r="J26" s="15">
        <v>0</v>
      </c>
      <c r="K26" s="15">
        <v>0</v>
      </c>
      <c r="L26" s="8">
        <f t="shared" ref="L26:L30" si="13">I26+J26+K26</f>
        <v>45</v>
      </c>
      <c r="M26" t="s">
        <v>5071</v>
      </c>
    </row>
    <row r="27" spans="1:13" x14ac:dyDescent="0.25">
      <c r="A27" s="8" t="s">
        <v>5057</v>
      </c>
      <c r="B27" s="8">
        <v>1</v>
      </c>
      <c r="C27" s="8">
        <v>15</v>
      </c>
      <c r="D27" s="8" t="s">
        <v>4485</v>
      </c>
      <c r="E27" s="54">
        <v>1920</v>
      </c>
      <c r="F27" s="12"/>
      <c r="G27" s="15">
        <v>29</v>
      </c>
      <c r="H27" s="15">
        <v>1</v>
      </c>
      <c r="I27" s="15">
        <f t="shared" si="7"/>
        <v>29</v>
      </c>
      <c r="J27" s="15">
        <v>0</v>
      </c>
      <c r="K27" s="15">
        <v>0</v>
      </c>
      <c r="L27" s="8">
        <f t="shared" si="13"/>
        <v>29</v>
      </c>
      <c r="M27" t="s">
        <v>5072</v>
      </c>
    </row>
    <row r="28" spans="1:13" x14ac:dyDescent="0.25">
      <c r="A28" s="8" t="s">
        <v>5057</v>
      </c>
      <c r="B28" s="8">
        <v>1</v>
      </c>
      <c r="C28" s="8">
        <v>15</v>
      </c>
      <c r="D28" s="8" t="s">
        <v>4485</v>
      </c>
      <c r="E28" s="29">
        <v>19201</v>
      </c>
      <c r="F28" s="12"/>
      <c r="G28" s="15">
        <v>0</v>
      </c>
      <c r="H28" s="15">
        <v>1</v>
      </c>
      <c r="I28" s="15">
        <f t="shared" si="7"/>
        <v>0</v>
      </c>
      <c r="J28" s="15">
        <v>0</v>
      </c>
      <c r="K28" s="15">
        <v>0</v>
      </c>
      <c r="L28" s="8">
        <f t="shared" si="13"/>
        <v>0</v>
      </c>
      <c r="M28" t="s">
        <v>5072</v>
      </c>
    </row>
    <row r="29" spans="1:13" x14ac:dyDescent="0.25">
      <c r="A29" t="s">
        <v>5057</v>
      </c>
      <c r="B29">
        <v>1</v>
      </c>
      <c r="C29">
        <v>15</v>
      </c>
      <c r="D29" t="s">
        <v>4502</v>
      </c>
      <c r="E29" s="16">
        <v>4117</v>
      </c>
      <c r="F29" s="3"/>
      <c r="G29" s="7">
        <v>0</v>
      </c>
      <c r="H29" s="7">
        <v>1</v>
      </c>
      <c r="I29" s="7">
        <f t="shared" si="7"/>
        <v>0</v>
      </c>
      <c r="J29" s="7">
        <v>0</v>
      </c>
      <c r="K29" s="7">
        <v>0</v>
      </c>
      <c r="L29">
        <f t="shared" si="13"/>
        <v>0</v>
      </c>
      <c r="M29" t="s">
        <v>5065</v>
      </c>
    </row>
    <row r="30" spans="1:13" x14ac:dyDescent="0.25">
      <c r="A30" t="s">
        <v>5057</v>
      </c>
      <c r="B30">
        <v>1</v>
      </c>
      <c r="C30">
        <v>15</v>
      </c>
      <c r="D30" t="s">
        <v>4502</v>
      </c>
      <c r="E30" s="18">
        <v>4155</v>
      </c>
      <c r="F30" s="3"/>
      <c r="G30" s="7">
        <v>18</v>
      </c>
      <c r="H30" s="7">
        <v>2</v>
      </c>
      <c r="I30" s="7">
        <f t="shared" si="7"/>
        <v>36</v>
      </c>
      <c r="J30" s="7">
        <v>0</v>
      </c>
      <c r="K30" s="7">
        <v>0</v>
      </c>
      <c r="L30">
        <f t="shared" si="13"/>
        <v>36</v>
      </c>
      <c r="M30" t="s">
        <v>5065</v>
      </c>
    </row>
    <row r="31" spans="1:13" x14ac:dyDescent="0.25">
      <c r="A31" s="8" t="s">
        <v>5057</v>
      </c>
      <c r="B31" s="8">
        <v>1</v>
      </c>
      <c r="C31" s="8">
        <v>15</v>
      </c>
      <c r="D31" s="8" t="s">
        <v>4502</v>
      </c>
      <c r="E31" s="54">
        <v>4106</v>
      </c>
      <c r="F31" s="12"/>
      <c r="G31" s="15"/>
      <c r="H31" s="15">
        <v>1</v>
      </c>
      <c r="I31" s="15">
        <f t="shared" ref="I31:I32" si="14">G31*H31</f>
        <v>0</v>
      </c>
      <c r="J31" s="15">
        <v>0</v>
      </c>
      <c r="K31" s="15">
        <v>0</v>
      </c>
      <c r="L31" s="8">
        <f t="shared" ref="L31:L32" si="15">I31+J31+K31</f>
        <v>0</v>
      </c>
      <c r="M31" t="s">
        <v>5072</v>
      </c>
    </row>
    <row r="32" spans="1:13" x14ac:dyDescent="0.25">
      <c r="A32" s="8" t="s">
        <v>5057</v>
      </c>
      <c r="B32" s="8">
        <v>1</v>
      </c>
      <c r="C32" s="8">
        <v>15</v>
      </c>
      <c r="D32" s="8" t="s">
        <v>4502</v>
      </c>
      <c r="E32" s="29">
        <v>4145</v>
      </c>
      <c r="F32" s="12"/>
      <c r="G32" s="15">
        <v>25</v>
      </c>
      <c r="H32" s="15">
        <v>1</v>
      </c>
      <c r="I32" s="15">
        <f t="shared" si="14"/>
        <v>25</v>
      </c>
      <c r="J32" s="15">
        <v>0</v>
      </c>
      <c r="K32" s="15">
        <v>0</v>
      </c>
      <c r="L32" s="8">
        <f t="shared" si="15"/>
        <v>25</v>
      </c>
      <c r="M32" t="s">
        <v>5072</v>
      </c>
    </row>
    <row r="33" spans="1:13" x14ac:dyDescent="0.25">
      <c r="A33" t="s">
        <v>5057</v>
      </c>
      <c r="B33">
        <v>1</v>
      </c>
      <c r="C33">
        <v>15</v>
      </c>
      <c r="D33" t="s">
        <v>4502</v>
      </c>
      <c r="E33" s="17">
        <v>4150</v>
      </c>
      <c r="F33" s="3"/>
      <c r="G33" s="7">
        <v>12</v>
      </c>
      <c r="H33" s="7">
        <v>5</v>
      </c>
      <c r="I33" s="7">
        <f t="shared" ref="I33:I34" si="16">G33*H33</f>
        <v>60</v>
      </c>
      <c r="J33" s="7">
        <v>4</v>
      </c>
      <c r="K33" s="55">
        <v>0</v>
      </c>
      <c r="L33">
        <f t="shared" ref="L33:L34" si="17">I33+J33+K33</f>
        <v>64</v>
      </c>
      <c r="M33" t="s">
        <v>5065</v>
      </c>
    </row>
    <row r="34" spans="1:13" x14ac:dyDescent="0.25">
      <c r="A34" t="s">
        <v>5057</v>
      </c>
      <c r="B34">
        <v>1</v>
      </c>
      <c r="C34">
        <v>15</v>
      </c>
      <c r="D34" t="s">
        <v>4502</v>
      </c>
      <c r="E34" s="18">
        <v>4156</v>
      </c>
      <c r="F34" s="3"/>
      <c r="G34" s="7">
        <v>25</v>
      </c>
      <c r="H34" s="7">
        <v>1</v>
      </c>
      <c r="I34" s="7">
        <f t="shared" si="16"/>
        <v>25</v>
      </c>
      <c r="J34" s="7">
        <v>0</v>
      </c>
      <c r="K34" s="55">
        <v>0</v>
      </c>
      <c r="L34">
        <f t="shared" si="17"/>
        <v>25</v>
      </c>
      <c r="M34" t="s">
        <v>5065</v>
      </c>
    </row>
    <row r="35" spans="1:13" x14ac:dyDescent="0.25">
      <c r="A35" t="s">
        <v>5057</v>
      </c>
      <c r="B35">
        <v>1</v>
      </c>
      <c r="C35">
        <v>13</v>
      </c>
      <c r="D35" t="s">
        <v>4502</v>
      </c>
      <c r="E35">
        <v>3229</v>
      </c>
      <c r="F35" s="3"/>
      <c r="G35">
        <v>20</v>
      </c>
      <c r="H35">
        <v>1</v>
      </c>
      <c r="I35">
        <f>G35*H35</f>
        <v>20</v>
      </c>
      <c r="J35">
        <v>0</v>
      </c>
      <c r="K35">
        <v>0</v>
      </c>
      <c r="L35">
        <f>I35+J35+K35</f>
        <v>20</v>
      </c>
      <c r="M35" t="s">
        <v>5065</v>
      </c>
    </row>
    <row r="36" spans="1:13" x14ac:dyDescent="0.25">
      <c r="A36" t="s">
        <v>5057</v>
      </c>
      <c r="B36">
        <v>1</v>
      </c>
      <c r="C36">
        <v>13</v>
      </c>
      <c r="D36" t="s">
        <v>4502</v>
      </c>
      <c r="E36">
        <v>3210</v>
      </c>
      <c r="F36" s="3"/>
      <c r="G36">
        <v>6</v>
      </c>
      <c r="H36">
        <v>1</v>
      </c>
      <c r="I36">
        <f t="shared" ref="I36:I38" si="18">G36*H36</f>
        <v>6</v>
      </c>
      <c r="J36">
        <v>0</v>
      </c>
      <c r="K36">
        <v>0</v>
      </c>
      <c r="L36">
        <f t="shared" ref="L36:L38" si="19">I36+J36+K36</f>
        <v>6</v>
      </c>
      <c r="M36" t="s">
        <v>5065</v>
      </c>
    </row>
    <row r="37" spans="1:13" x14ac:dyDescent="0.25">
      <c r="A37" s="8" t="s">
        <v>5057</v>
      </c>
      <c r="B37" s="8">
        <v>1</v>
      </c>
      <c r="C37" s="8">
        <v>13</v>
      </c>
      <c r="D37" s="8" t="s">
        <v>4502</v>
      </c>
      <c r="E37" s="8">
        <v>3223</v>
      </c>
      <c r="F37" s="12"/>
      <c r="G37" s="8">
        <v>8</v>
      </c>
      <c r="H37" s="8">
        <v>1</v>
      </c>
      <c r="I37" s="8">
        <f t="shared" si="18"/>
        <v>8</v>
      </c>
      <c r="J37" s="8">
        <v>4</v>
      </c>
      <c r="K37" s="8">
        <v>0</v>
      </c>
      <c r="L37" s="8">
        <f t="shared" si="19"/>
        <v>12</v>
      </c>
      <c r="M37" t="s">
        <v>5065</v>
      </c>
    </row>
    <row r="38" spans="1:13" x14ac:dyDescent="0.25">
      <c r="A38" t="s">
        <v>5057</v>
      </c>
      <c r="B38">
        <v>1</v>
      </c>
      <c r="C38">
        <v>13</v>
      </c>
      <c r="D38" t="s">
        <v>4502</v>
      </c>
      <c r="E38">
        <v>3253</v>
      </c>
      <c r="F38" s="3"/>
      <c r="G38">
        <v>11</v>
      </c>
      <c r="H38">
        <v>1</v>
      </c>
      <c r="I38">
        <f t="shared" si="18"/>
        <v>11</v>
      </c>
      <c r="J38">
        <v>0</v>
      </c>
      <c r="K38">
        <v>0</v>
      </c>
      <c r="L38">
        <f t="shared" si="19"/>
        <v>11</v>
      </c>
      <c r="M38" t="s">
        <v>5065</v>
      </c>
    </row>
    <row r="39" spans="1:13" x14ac:dyDescent="0.25">
      <c r="A39" t="s">
        <v>5057</v>
      </c>
      <c r="B39">
        <v>1</v>
      </c>
      <c r="C39">
        <v>18</v>
      </c>
      <c r="D39" t="s">
        <v>4485</v>
      </c>
      <c r="E39">
        <v>4146</v>
      </c>
      <c r="F39" s="3"/>
      <c r="G39" s="7">
        <v>144</v>
      </c>
      <c r="H39">
        <v>1</v>
      </c>
      <c r="I39">
        <f>G39*H39</f>
        <v>144</v>
      </c>
      <c r="J39">
        <v>0</v>
      </c>
      <c r="K39">
        <v>0</v>
      </c>
      <c r="L39">
        <f>I39+J39+K39</f>
        <v>144</v>
      </c>
      <c r="M39" t="s">
        <v>5065</v>
      </c>
    </row>
    <row r="40" spans="1:13" x14ac:dyDescent="0.25">
      <c r="A40" t="s">
        <v>5057</v>
      </c>
      <c r="B40">
        <v>1</v>
      </c>
      <c r="C40">
        <v>18</v>
      </c>
      <c r="D40" t="s">
        <v>4485</v>
      </c>
      <c r="E40">
        <v>4247</v>
      </c>
      <c r="F40" s="3"/>
      <c r="G40">
        <v>6</v>
      </c>
      <c r="H40">
        <v>4</v>
      </c>
      <c r="I40">
        <f>G40*H40</f>
        <v>24</v>
      </c>
      <c r="J40">
        <v>3</v>
      </c>
      <c r="K40">
        <v>0</v>
      </c>
      <c r="L40">
        <f>I40+J40+K40</f>
        <v>27</v>
      </c>
      <c r="M40" t="s">
        <v>5065</v>
      </c>
    </row>
    <row r="41" spans="1:13" x14ac:dyDescent="0.25">
      <c r="A41" t="s">
        <v>5057</v>
      </c>
      <c r="B41">
        <v>1</v>
      </c>
      <c r="C41">
        <v>18</v>
      </c>
      <c r="D41" t="s">
        <v>4485</v>
      </c>
      <c r="E41">
        <v>4285</v>
      </c>
      <c r="F41" s="3"/>
      <c r="G41">
        <v>6</v>
      </c>
      <c r="H41">
        <v>4</v>
      </c>
      <c r="I41">
        <f t="shared" ref="I41:I81" si="20">G41*H41</f>
        <v>24</v>
      </c>
      <c r="J41">
        <v>0</v>
      </c>
      <c r="K41">
        <v>0</v>
      </c>
      <c r="L41">
        <f t="shared" ref="L41:L81" si="21">I41+J41+K41</f>
        <v>24</v>
      </c>
      <c r="M41" t="s">
        <v>5065</v>
      </c>
    </row>
    <row r="42" spans="1:13" x14ac:dyDescent="0.25">
      <c r="A42" t="s">
        <v>5057</v>
      </c>
      <c r="B42">
        <v>1</v>
      </c>
      <c r="C42">
        <v>18</v>
      </c>
      <c r="D42" t="s">
        <v>4485</v>
      </c>
      <c r="E42">
        <v>4224</v>
      </c>
      <c r="F42" s="3"/>
      <c r="G42" s="7">
        <v>6</v>
      </c>
      <c r="H42" s="7">
        <v>4</v>
      </c>
      <c r="I42">
        <f t="shared" si="20"/>
        <v>24</v>
      </c>
      <c r="J42">
        <v>1</v>
      </c>
      <c r="K42">
        <v>0</v>
      </c>
      <c r="L42">
        <f t="shared" si="21"/>
        <v>25</v>
      </c>
      <c r="M42" t="s">
        <v>5065</v>
      </c>
    </row>
    <row r="43" spans="1:13" x14ac:dyDescent="0.25">
      <c r="A43" t="s">
        <v>5057</v>
      </c>
      <c r="B43">
        <v>1</v>
      </c>
      <c r="C43">
        <v>18</v>
      </c>
      <c r="D43" t="s">
        <v>4485</v>
      </c>
      <c r="E43">
        <v>4280</v>
      </c>
      <c r="F43" s="3"/>
      <c r="G43">
        <v>2</v>
      </c>
      <c r="H43">
        <v>1</v>
      </c>
      <c r="I43">
        <f t="shared" si="20"/>
        <v>2</v>
      </c>
      <c r="J43">
        <v>0</v>
      </c>
      <c r="K43">
        <v>0</v>
      </c>
      <c r="L43">
        <f t="shared" si="21"/>
        <v>2</v>
      </c>
      <c r="M43" t="s">
        <v>5065</v>
      </c>
    </row>
    <row r="44" spans="1:13" x14ac:dyDescent="0.25">
      <c r="A44" t="s">
        <v>5057</v>
      </c>
      <c r="B44">
        <v>1</v>
      </c>
      <c r="C44">
        <v>18</v>
      </c>
      <c r="D44" t="s">
        <v>4485</v>
      </c>
      <c r="E44">
        <v>4225</v>
      </c>
      <c r="F44" s="3"/>
      <c r="G44">
        <v>0</v>
      </c>
      <c r="H44">
        <v>1</v>
      </c>
      <c r="I44">
        <f t="shared" si="20"/>
        <v>0</v>
      </c>
      <c r="J44">
        <v>2</v>
      </c>
      <c r="K44">
        <v>0</v>
      </c>
      <c r="L44">
        <f t="shared" si="21"/>
        <v>2</v>
      </c>
      <c r="M44" t="s">
        <v>5065</v>
      </c>
    </row>
    <row r="45" spans="1:13" x14ac:dyDescent="0.25">
      <c r="A45" t="s">
        <v>5057</v>
      </c>
      <c r="B45">
        <v>1</v>
      </c>
      <c r="C45">
        <v>18</v>
      </c>
      <c r="D45" t="s">
        <v>4485</v>
      </c>
      <c r="E45">
        <v>4231</v>
      </c>
      <c r="F45" s="3"/>
      <c r="G45">
        <v>2</v>
      </c>
      <c r="H45">
        <v>10</v>
      </c>
      <c r="I45">
        <f t="shared" si="20"/>
        <v>20</v>
      </c>
      <c r="J45">
        <v>7</v>
      </c>
      <c r="K45">
        <v>0</v>
      </c>
      <c r="L45">
        <f t="shared" si="21"/>
        <v>27</v>
      </c>
      <c r="M45" t="s">
        <v>5065</v>
      </c>
    </row>
    <row r="46" spans="1:13" x14ac:dyDescent="0.25">
      <c r="A46" t="s">
        <v>5057</v>
      </c>
      <c r="B46">
        <v>1</v>
      </c>
      <c r="C46">
        <v>18</v>
      </c>
      <c r="D46" t="s">
        <v>4485</v>
      </c>
      <c r="E46">
        <v>4218</v>
      </c>
      <c r="F46" s="3"/>
      <c r="G46">
        <v>2</v>
      </c>
      <c r="H46">
        <v>20</v>
      </c>
      <c r="I46">
        <f t="shared" si="20"/>
        <v>40</v>
      </c>
      <c r="J46">
        <v>0</v>
      </c>
      <c r="K46">
        <v>0</v>
      </c>
      <c r="L46">
        <f t="shared" si="21"/>
        <v>40</v>
      </c>
      <c r="M46" t="s">
        <v>5065</v>
      </c>
    </row>
    <row r="47" spans="1:13" x14ac:dyDescent="0.25">
      <c r="A47" t="s">
        <v>5057</v>
      </c>
      <c r="B47">
        <v>1</v>
      </c>
      <c r="C47">
        <v>18</v>
      </c>
      <c r="D47" t="s">
        <v>4485</v>
      </c>
      <c r="E47">
        <v>4260</v>
      </c>
      <c r="F47" s="3"/>
      <c r="G47">
        <v>0</v>
      </c>
      <c r="H47">
        <v>1</v>
      </c>
      <c r="I47">
        <f t="shared" si="20"/>
        <v>0</v>
      </c>
      <c r="J47">
        <v>3</v>
      </c>
      <c r="K47">
        <v>0</v>
      </c>
      <c r="L47">
        <f t="shared" si="21"/>
        <v>3</v>
      </c>
      <c r="M47" t="s">
        <v>5065</v>
      </c>
    </row>
    <row r="48" spans="1:13" x14ac:dyDescent="0.25">
      <c r="A48" t="s">
        <v>5057</v>
      </c>
      <c r="B48">
        <v>1</v>
      </c>
      <c r="C48">
        <v>18</v>
      </c>
      <c r="D48" t="s">
        <v>4485</v>
      </c>
      <c r="E48">
        <v>4240</v>
      </c>
      <c r="F48" s="3"/>
      <c r="G48">
        <v>2</v>
      </c>
      <c r="H48">
        <v>20</v>
      </c>
      <c r="I48">
        <f t="shared" si="20"/>
        <v>40</v>
      </c>
      <c r="J48">
        <v>13</v>
      </c>
      <c r="K48">
        <v>0</v>
      </c>
      <c r="L48">
        <f t="shared" si="21"/>
        <v>53</v>
      </c>
      <c r="M48" t="s">
        <v>5065</v>
      </c>
    </row>
    <row r="49" spans="1:13" x14ac:dyDescent="0.25">
      <c r="A49" t="s">
        <v>5057</v>
      </c>
      <c r="B49">
        <v>1</v>
      </c>
      <c r="C49">
        <v>18</v>
      </c>
      <c r="D49" t="s">
        <v>4485</v>
      </c>
      <c r="E49">
        <v>4230</v>
      </c>
      <c r="F49" s="3"/>
      <c r="G49">
        <v>2</v>
      </c>
      <c r="H49">
        <v>20</v>
      </c>
      <c r="I49">
        <f t="shared" si="20"/>
        <v>40</v>
      </c>
      <c r="J49">
        <v>0</v>
      </c>
      <c r="K49">
        <v>0</v>
      </c>
      <c r="L49">
        <f t="shared" si="21"/>
        <v>40</v>
      </c>
      <c r="M49" t="s">
        <v>5065</v>
      </c>
    </row>
    <row r="50" spans="1:13" x14ac:dyDescent="0.25">
      <c r="A50" t="s">
        <v>5057</v>
      </c>
      <c r="B50">
        <v>1</v>
      </c>
      <c r="C50">
        <v>18</v>
      </c>
      <c r="D50" t="s">
        <v>4485</v>
      </c>
      <c r="E50">
        <v>4241</v>
      </c>
      <c r="F50" s="3"/>
      <c r="G50">
        <v>2</v>
      </c>
      <c r="H50">
        <v>20</v>
      </c>
      <c r="I50">
        <f t="shared" si="20"/>
        <v>40</v>
      </c>
      <c r="J50">
        <v>8</v>
      </c>
      <c r="K50">
        <v>0</v>
      </c>
      <c r="L50">
        <f t="shared" si="21"/>
        <v>48</v>
      </c>
      <c r="M50" t="s">
        <v>5065</v>
      </c>
    </row>
    <row r="51" spans="1:13" x14ac:dyDescent="0.25">
      <c r="A51" t="s">
        <v>5057</v>
      </c>
      <c r="B51">
        <v>1</v>
      </c>
      <c r="C51">
        <v>18</v>
      </c>
      <c r="D51" t="s">
        <v>4485</v>
      </c>
      <c r="E51">
        <v>4284</v>
      </c>
      <c r="F51" s="3"/>
      <c r="G51">
        <v>7</v>
      </c>
      <c r="H51">
        <v>4</v>
      </c>
      <c r="I51">
        <f t="shared" si="20"/>
        <v>28</v>
      </c>
      <c r="J51">
        <v>0</v>
      </c>
      <c r="K51">
        <v>0</v>
      </c>
      <c r="L51">
        <f t="shared" si="21"/>
        <v>28</v>
      </c>
      <c r="M51" t="s">
        <v>5065</v>
      </c>
    </row>
    <row r="52" spans="1:13" x14ac:dyDescent="0.25">
      <c r="A52" t="s">
        <v>5057</v>
      </c>
      <c r="B52">
        <v>1</v>
      </c>
      <c r="C52">
        <v>18</v>
      </c>
      <c r="D52" t="s">
        <v>4485</v>
      </c>
      <c r="E52">
        <v>4234</v>
      </c>
      <c r="F52" s="3"/>
      <c r="G52">
        <v>2</v>
      </c>
      <c r="H52">
        <v>10</v>
      </c>
      <c r="I52">
        <f t="shared" si="20"/>
        <v>20</v>
      </c>
      <c r="J52">
        <v>4</v>
      </c>
      <c r="K52">
        <v>0</v>
      </c>
      <c r="L52">
        <f t="shared" si="21"/>
        <v>24</v>
      </c>
      <c r="M52" t="s">
        <v>5065</v>
      </c>
    </row>
    <row r="53" spans="1:13" x14ac:dyDescent="0.25">
      <c r="A53" t="s">
        <v>5057</v>
      </c>
      <c r="B53">
        <v>1</v>
      </c>
      <c r="C53">
        <v>18</v>
      </c>
      <c r="D53" t="s">
        <v>4485</v>
      </c>
      <c r="E53">
        <v>4258</v>
      </c>
      <c r="F53" s="3"/>
      <c r="G53">
        <v>1</v>
      </c>
      <c r="H53">
        <v>3</v>
      </c>
      <c r="I53">
        <f t="shared" si="20"/>
        <v>3</v>
      </c>
      <c r="J53">
        <v>0</v>
      </c>
      <c r="K53">
        <v>0</v>
      </c>
      <c r="L53">
        <f t="shared" si="21"/>
        <v>3</v>
      </c>
      <c r="M53" t="s">
        <v>5065</v>
      </c>
    </row>
    <row r="54" spans="1:13" x14ac:dyDescent="0.25">
      <c r="A54" t="s">
        <v>5057</v>
      </c>
      <c r="B54">
        <v>1</v>
      </c>
      <c r="C54">
        <v>18</v>
      </c>
      <c r="D54" t="s">
        <v>4485</v>
      </c>
      <c r="E54">
        <v>4274</v>
      </c>
      <c r="F54" s="3"/>
      <c r="G54" s="7">
        <v>2</v>
      </c>
      <c r="H54" s="7">
        <v>4</v>
      </c>
      <c r="I54">
        <f t="shared" si="20"/>
        <v>8</v>
      </c>
      <c r="J54">
        <v>3</v>
      </c>
      <c r="K54">
        <v>0</v>
      </c>
      <c r="L54">
        <f t="shared" si="21"/>
        <v>11</v>
      </c>
      <c r="M54" t="s">
        <v>5065</v>
      </c>
    </row>
    <row r="55" spans="1:13" x14ac:dyDescent="0.25">
      <c r="A55" t="s">
        <v>5057</v>
      </c>
      <c r="B55">
        <v>1</v>
      </c>
      <c r="C55">
        <v>18</v>
      </c>
      <c r="D55" t="s">
        <v>4485</v>
      </c>
      <c r="E55">
        <v>4144</v>
      </c>
      <c r="F55" s="3"/>
      <c r="G55" s="7">
        <v>5</v>
      </c>
      <c r="H55" s="7">
        <v>2</v>
      </c>
      <c r="I55">
        <f t="shared" si="20"/>
        <v>10</v>
      </c>
      <c r="J55">
        <v>0</v>
      </c>
      <c r="K55">
        <v>0</v>
      </c>
      <c r="L55">
        <f t="shared" si="21"/>
        <v>10</v>
      </c>
      <c r="M55" t="s">
        <v>5065</v>
      </c>
    </row>
    <row r="56" spans="1:13" x14ac:dyDescent="0.25">
      <c r="A56" t="s">
        <v>5057</v>
      </c>
      <c r="B56">
        <v>1</v>
      </c>
      <c r="C56">
        <v>18</v>
      </c>
      <c r="D56" t="s">
        <v>4485</v>
      </c>
      <c r="E56">
        <v>3228</v>
      </c>
      <c r="F56" s="3"/>
      <c r="G56">
        <v>136</v>
      </c>
      <c r="H56">
        <v>1</v>
      </c>
      <c r="I56">
        <f t="shared" si="20"/>
        <v>136</v>
      </c>
      <c r="J56">
        <v>0</v>
      </c>
      <c r="K56">
        <v>0</v>
      </c>
      <c r="L56">
        <f t="shared" si="21"/>
        <v>136</v>
      </c>
      <c r="M56" t="s">
        <v>5065</v>
      </c>
    </row>
    <row r="57" spans="1:13" x14ac:dyDescent="0.25">
      <c r="A57" t="s">
        <v>5057</v>
      </c>
      <c r="B57">
        <v>1</v>
      </c>
      <c r="C57">
        <v>18</v>
      </c>
      <c r="D57" t="s">
        <v>4485</v>
      </c>
      <c r="E57">
        <v>3230</v>
      </c>
      <c r="F57" s="3"/>
      <c r="G57">
        <v>21</v>
      </c>
      <c r="H57">
        <v>1</v>
      </c>
      <c r="I57">
        <f t="shared" si="20"/>
        <v>21</v>
      </c>
      <c r="J57">
        <v>0</v>
      </c>
      <c r="K57">
        <v>0</v>
      </c>
      <c r="L57">
        <f t="shared" si="21"/>
        <v>21</v>
      </c>
      <c r="M57" t="s">
        <v>5065</v>
      </c>
    </row>
    <row r="58" spans="1:13" x14ac:dyDescent="0.25">
      <c r="A58" t="s">
        <v>5057</v>
      </c>
      <c r="B58">
        <v>1</v>
      </c>
      <c r="C58">
        <v>18</v>
      </c>
      <c r="D58" t="s">
        <v>4485</v>
      </c>
      <c r="E58" s="17">
        <v>4149</v>
      </c>
      <c r="F58" s="3"/>
      <c r="G58" s="49">
        <v>78</v>
      </c>
      <c r="H58" s="49">
        <v>2</v>
      </c>
      <c r="I58">
        <f t="shared" si="20"/>
        <v>156</v>
      </c>
      <c r="J58">
        <v>0</v>
      </c>
      <c r="K58">
        <v>0</v>
      </c>
      <c r="L58">
        <f t="shared" si="21"/>
        <v>156</v>
      </c>
      <c r="M58" t="s">
        <v>5065</v>
      </c>
    </row>
    <row r="59" spans="1:13" x14ac:dyDescent="0.25">
      <c r="A59" t="s">
        <v>5057</v>
      </c>
      <c r="B59">
        <v>1</v>
      </c>
      <c r="C59">
        <v>18</v>
      </c>
      <c r="D59" t="s">
        <v>4485</v>
      </c>
      <c r="E59" s="18">
        <v>4148</v>
      </c>
      <c r="F59" s="3"/>
      <c r="G59">
        <v>36</v>
      </c>
      <c r="H59" s="49">
        <v>2</v>
      </c>
      <c r="I59">
        <f t="shared" si="20"/>
        <v>72</v>
      </c>
      <c r="J59">
        <v>0</v>
      </c>
      <c r="K59">
        <v>0</v>
      </c>
      <c r="L59">
        <f t="shared" si="21"/>
        <v>72</v>
      </c>
      <c r="M59" t="s">
        <v>5065</v>
      </c>
    </row>
    <row r="60" spans="1:13" x14ac:dyDescent="0.25">
      <c r="A60" s="8" t="s">
        <v>5057</v>
      </c>
      <c r="B60" s="8">
        <v>1</v>
      </c>
      <c r="C60" s="8">
        <v>18</v>
      </c>
      <c r="D60" s="8" t="s">
        <v>4485</v>
      </c>
      <c r="E60" s="29">
        <v>4157</v>
      </c>
      <c r="F60" s="12"/>
      <c r="G60" s="8">
        <v>14</v>
      </c>
      <c r="H60" s="50">
        <v>1</v>
      </c>
      <c r="I60" s="8">
        <f t="shared" si="20"/>
        <v>14</v>
      </c>
      <c r="J60" s="8">
        <v>0</v>
      </c>
      <c r="K60" s="8">
        <v>0</v>
      </c>
      <c r="L60" s="8">
        <f t="shared" si="21"/>
        <v>14</v>
      </c>
      <c r="M60" t="s">
        <v>5067</v>
      </c>
    </row>
    <row r="61" spans="1:13" x14ac:dyDescent="0.25">
      <c r="A61" t="s">
        <v>5057</v>
      </c>
      <c r="B61">
        <v>1</v>
      </c>
      <c r="C61">
        <v>18</v>
      </c>
      <c r="D61" t="s">
        <v>4485</v>
      </c>
      <c r="E61" s="18">
        <v>4146</v>
      </c>
      <c r="F61" s="3"/>
      <c r="G61">
        <v>180</v>
      </c>
      <c r="H61" s="49">
        <v>2</v>
      </c>
      <c r="I61">
        <f t="shared" si="20"/>
        <v>360</v>
      </c>
      <c r="J61">
        <v>0</v>
      </c>
      <c r="K61">
        <v>0</v>
      </c>
      <c r="L61">
        <f t="shared" si="21"/>
        <v>360</v>
      </c>
      <c r="M61" t="s">
        <v>5065</v>
      </c>
    </row>
    <row r="62" spans="1:13" x14ac:dyDescent="0.25">
      <c r="A62" t="s">
        <v>5057</v>
      </c>
      <c r="B62">
        <v>1</v>
      </c>
      <c r="C62">
        <v>18</v>
      </c>
      <c r="D62" t="s">
        <v>4485</v>
      </c>
      <c r="E62">
        <v>4250</v>
      </c>
      <c r="F62" s="3"/>
      <c r="G62">
        <v>3</v>
      </c>
      <c r="H62">
        <v>4</v>
      </c>
      <c r="I62">
        <f t="shared" si="20"/>
        <v>12</v>
      </c>
      <c r="J62">
        <v>3</v>
      </c>
      <c r="K62">
        <v>0</v>
      </c>
      <c r="L62">
        <f t="shared" si="21"/>
        <v>15</v>
      </c>
      <c r="M62" t="s">
        <v>5065</v>
      </c>
    </row>
    <row r="63" spans="1:13" x14ac:dyDescent="0.25">
      <c r="A63" t="s">
        <v>5057</v>
      </c>
      <c r="B63">
        <v>1</v>
      </c>
      <c r="C63">
        <v>18</v>
      </c>
      <c r="D63" t="s">
        <v>4485</v>
      </c>
      <c r="E63">
        <v>4248</v>
      </c>
      <c r="F63" s="3"/>
      <c r="G63">
        <v>0</v>
      </c>
      <c r="H63">
        <v>1</v>
      </c>
      <c r="I63">
        <f t="shared" si="20"/>
        <v>0</v>
      </c>
      <c r="J63">
        <v>2</v>
      </c>
      <c r="K63">
        <v>0</v>
      </c>
      <c r="L63">
        <f t="shared" si="21"/>
        <v>2</v>
      </c>
      <c r="M63" t="s">
        <v>5065</v>
      </c>
    </row>
    <row r="64" spans="1:13" x14ac:dyDescent="0.25">
      <c r="A64" t="s">
        <v>5057</v>
      </c>
      <c r="B64">
        <v>1</v>
      </c>
      <c r="C64">
        <v>18</v>
      </c>
      <c r="D64" t="s">
        <v>4485</v>
      </c>
      <c r="E64">
        <v>4283</v>
      </c>
      <c r="F64" s="3"/>
      <c r="G64">
        <v>7</v>
      </c>
      <c r="H64">
        <v>4</v>
      </c>
      <c r="I64">
        <f t="shared" si="20"/>
        <v>28</v>
      </c>
      <c r="J64">
        <v>0</v>
      </c>
      <c r="K64">
        <v>0</v>
      </c>
      <c r="L64">
        <f t="shared" si="21"/>
        <v>28</v>
      </c>
      <c r="M64" t="s">
        <v>5065</v>
      </c>
    </row>
    <row r="65" spans="1:13" x14ac:dyDescent="0.25">
      <c r="A65" t="s">
        <v>5057</v>
      </c>
      <c r="B65">
        <v>1</v>
      </c>
      <c r="C65">
        <v>18</v>
      </c>
      <c r="D65" t="s">
        <v>4485</v>
      </c>
      <c r="E65" s="17">
        <v>4153</v>
      </c>
      <c r="F65" s="3"/>
      <c r="G65" s="49">
        <v>20</v>
      </c>
      <c r="H65" s="49">
        <v>2</v>
      </c>
      <c r="I65">
        <f t="shared" si="20"/>
        <v>40</v>
      </c>
      <c r="J65">
        <v>0</v>
      </c>
      <c r="K65">
        <v>0</v>
      </c>
      <c r="L65">
        <f t="shared" si="21"/>
        <v>40</v>
      </c>
      <c r="M65" t="s">
        <v>5065</v>
      </c>
    </row>
    <row r="66" spans="1:13" x14ac:dyDescent="0.25">
      <c r="A66" t="s">
        <v>5057</v>
      </c>
      <c r="B66">
        <v>1</v>
      </c>
      <c r="C66">
        <v>18</v>
      </c>
      <c r="D66" t="s">
        <v>4485</v>
      </c>
      <c r="E66" s="17">
        <v>4147</v>
      </c>
      <c r="F66" s="3"/>
      <c r="G66" s="49">
        <v>28</v>
      </c>
      <c r="H66" s="49">
        <v>5</v>
      </c>
      <c r="I66">
        <f t="shared" si="20"/>
        <v>140</v>
      </c>
      <c r="J66">
        <v>0</v>
      </c>
      <c r="K66">
        <v>0</v>
      </c>
      <c r="L66">
        <f t="shared" si="21"/>
        <v>140</v>
      </c>
      <c r="M66" t="s">
        <v>5065</v>
      </c>
    </row>
    <row r="67" spans="1:13" x14ac:dyDescent="0.25">
      <c r="A67" t="s">
        <v>5057</v>
      </c>
      <c r="B67">
        <v>1</v>
      </c>
      <c r="C67">
        <v>18</v>
      </c>
      <c r="D67" t="s">
        <v>4485</v>
      </c>
      <c r="E67">
        <v>4239</v>
      </c>
      <c r="F67" s="3"/>
      <c r="G67">
        <v>1</v>
      </c>
      <c r="H67">
        <v>1</v>
      </c>
      <c r="I67">
        <f t="shared" si="20"/>
        <v>1</v>
      </c>
      <c r="J67">
        <v>5</v>
      </c>
      <c r="K67">
        <v>0</v>
      </c>
      <c r="L67">
        <f t="shared" si="21"/>
        <v>6</v>
      </c>
      <c r="M67" t="s">
        <v>5065</v>
      </c>
    </row>
    <row r="68" spans="1:13" x14ac:dyDescent="0.25">
      <c r="A68" s="8" t="s">
        <v>5057</v>
      </c>
      <c r="B68" s="8">
        <v>1</v>
      </c>
      <c r="C68" s="8">
        <v>18</v>
      </c>
      <c r="D68" s="8" t="s">
        <v>4485</v>
      </c>
      <c r="E68" s="8">
        <v>4261</v>
      </c>
      <c r="F68" s="12"/>
      <c r="G68" s="8">
        <v>0</v>
      </c>
      <c r="H68" s="8">
        <v>1</v>
      </c>
      <c r="I68" s="8">
        <f t="shared" si="20"/>
        <v>0</v>
      </c>
      <c r="J68" s="8">
        <v>0</v>
      </c>
      <c r="K68" s="8">
        <v>0</v>
      </c>
      <c r="L68" s="8">
        <f t="shared" si="21"/>
        <v>0</v>
      </c>
      <c r="M68" t="s">
        <v>5067</v>
      </c>
    </row>
    <row r="69" spans="1:13" x14ac:dyDescent="0.25">
      <c r="A69" s="8" t="s">
        <v>5057</v>
      </c>
      <c r="B69" s="8">
        <v>1</v>
      </c>
      <c r="C69" s="8">
        <v>18</v>
      </c>
      <c r="D69" s="8" t="s">
        <v>4485</v>
      </c>
      <c r="E69" s="8">
        <v>4252</v>
      </c>
      <c r="F69" s="12"/>
      <c r="G69" s="8">
        <v>2</v>
      </c>
      <c r="H69" s="8">
        <v>1</v>
      </c>
      <c r="I69" s="8">
        <f t="shared" si="20"/>
        <v>2</v>
      </c>
      <c r="J69" s="8">
        <v>7</v>
      </c>
      <c r="K69" s="8">
        <v>0</v>
      </c>
      <c r="L69" s="8">
        <f t="shared" si="21"/>
        <v>9</v>
      </c>
      <c r="M69" t="s">
        <v>5067</v>
      </c>
    </row>
    <row r="70" spans="1:13" x14ac:dyDescent="0.25">
      <c r="A70" t="s">
        <v>5057</v>
      </c>
      <c r="B70">
        <v>1</v>
      </c>
      <c r="C70">
        <v>18</v>
      </c>
      <c r="D70" t="s">
        <v>4485</v>
      </c>
      <c r="E70">
        <v>4265</v>
      </c>
      <c r="F70" s="3"/>
      <c r="G70">
        <v>3</v>
      </c>
      <c r="H70">
        <v>20</v>
      </c>
      <c r="I70">
        <f t="shared" si="20"/>
        <v>60</v>
      </c>
      <c r="J70">
        <v>0</v>
      </c>
      <c r="K70">
        <v>0</v>
      </c>
      <c r="L70">
        <f t="shared" si="21"/>
        <v>60</v>
      </c>
      <c r="M70" t="s">
        <v>5065</v>
      </c>
    </row>
    <row r="71" spans="1:13" x14ac:dyDescent="0.25">
      <c r="A71" t="s">
        <v>5057</v>
      </c>
      <c r="B71">
        <v>1</v>
      </c>
      <c r="C71">
        <v>18</v>
      </c>
      <c r="D71" t="s">
        <v>4485</v>
      </c>
      <c r="E71">
        <v>4221</v>
      </c>
      <c r="F71" s="3"/>
      <c r="G71">
        <v>3</v>
      </c>
      <c r="H71">
        <v>10</v>
      </c>
      <c r="I71">
        <f t="shared" si="20"/>
        <v>30</v>
      </c>
      <c r="J71">
        <v>0</v>
      </c>
      <c r="K71">
        <v>0</v>
      </c>
      <c r="L71">
        <f t="shared" si="21"/>
        <v>30</v>
      </c>
      <c r="M71" t="s">
        <v>5065</v>
      </c>
    </row>
    <row r="72" spans="1:13" x14ac:dyDescent="0.25">
      <c r="A72" t="s">
        <v>5057</v>
      </c>
      <c r="B72">
        <v>1</v>
      </c>
      <c r="C72">
        <v>18</v>
      </c>
      <c r="D72" t="s">
        <v>4485</v>
      </c>
      <c r="E72">
        <v>4264</v>
      </c>
      <c r="F72" s="3"/>
      <c r="G72">
        <v>2</v>
      </c>
      <c r="H72">
        <v>20</v>
      </c>
      <c r="I72">
        <f t="shared" si="20"/>
        <v>40</v>
      </c>
      <c r="J72">
        <v>11</v>
      </c>
      <c r="K72">
        <v>0</v>
      </c>
      <c r="L72">
        <f t="shared" si="21"/>
        <v>51</v>
      </c>
      <c r="M72" t="s">
        <v>5065</v>
      </c>
    </row>
    <row r="73" spans="1:13" x14ac:dyDescent="0.25">
      <c r="A73" t="s">
        <v>5057</v>
      </c>
      <c r="B73">
        <v>1</v>
      </c>
      <c r="C73">
        <v>18</v>
      </c>
      <c r="D73" t="s">
        <v>4485</v>
      </c>
      <c r="E73">
        <v>4253</v>
      </c>
      <c r="F73" s="3"/>
      <c r="G73">
        <v>2</v>
      </c>
      <c r="H73">
        <v>20</v>
      </c>
      <c r="I73">
        <f t="shared" si="20"/>
        <v>40</v>
      </c>
      <c r="J73">
        <v>15</v>
      </c>
      <c r="K73">
        <v>0</v>
      </c>
      <c r="L73">
        <f t="shared" si="21"/>
        <v>55</v>
      </c>
      <c r="M73" t="s">
        <v>5065</v>
      </c>
    </row>
    <row r="74" spans="1:13" x14ac:dyDescent="0.25">
      <c r="A74" t="s">
        <v>5057</v>
      </c>
      <c r="B74">
        <v>1</v>
      </c>
      <c r="C74">
        <v>18</v>
      </c>
      <c r="D74" t="s">
        <v>4485</v>
      </c>
      <c r="E74">
        <v>4254</v>
      </c>
      <c r="F74" s="3"/>
      <c r="G74">
        <v>3</v>
      </c>
      <c r="H74">
        <v>20</v>
      </c>
      <c r="I74">
        <f t="shared" si="20"/>
        <v>60</v>
      </c>
      <c r="J74">
        <v>0</v>
      </c>
      <c r="K74">
        <v>0</v>
      </c>
      <c r="L74">
        <f t="shared" si="21"/>
        <v>60</v>
      </c>
      <c r="M74" t="s">
        <v>5065</v>
      </c>
    </row>
    <row r="75" spans="1:13" x14ac:dyDescent="0.25">
      <c r="A75" t="s">
        <v>5057</v>
      </c>
      <c r="B75">
        <v>1</v>
      </c>
      <c r="C75">
        <v>18</v>
      </c>
      <c r="D75" t="s">
        <v>4485</v>
      </c>
      <c r="E75">
        <v>4243</v>
      </c>
      <c r="F75" s="3"/>
      <c r="G75">
        <v>1</v>
      </c>
      <c r="H75">
        <v>10</v>
      </c>
      <c r="I75">
        <f t="shared" si="20"/>
        <v>10</v>
      </c>
      <c r="J75">
        <v>9</v>
      </c>
      <c r="K75">
        <v>0</v>
      </c>
      <c r="L75">
        <f t="shared" si="21"/>
        <v>19</v>
      </c>
      <c r="M75" t="s">
        <v>5065</v>
      </c>
    </row>
    <row r="76" spans="1:13" x14ac:dyDescent="0.25">
      <c r="A76" t="s">
        <v>5057</v>
      </c>
      <c r="B76">
        <v>1</v>
      </c>
      <c r="C76">
        <v>18</v>
      </c>
      <c r="D76" t="s">
        <v>4485</v>
      </c>
      <c r="E76">
        <v>4216</v>
      </c>
      <c r="F76" s="3"/>
      <c r="G76">
        <v>2</v>
      </c>
      <c r="H76">
        <v>20</v>
      </c>
      <c r="I76">
        <f t="shared" si="20"/>
        <v>40</v>
      </c>
      <c r="J76">
        <v>19</v>
      </c>
      <c r="K76">
        <v>0</v>
      </c>
      <c r="L76">
        <f t="shared" si="21"/>
        <v>59</v>
      </c>
      <c r="M76" t="s">
        <v>5065</v>
      </c>
    </row>
    <row r="77" spans="1:13" x14ac:dyDescent="0.25">
      <c r="A77" t="s">
        <v>5057</v>
      </c>
      <c r="B77">
        <v>1</v>
      </c>
      <c r="C77">
        <v>18</v>
      </c>
      <c r="D77" t="s">
        <v>4485</v>
      </c>
      <c r="E77">
        <v>3031</v>
      </c>
      <c r="F77">
        <v>145821</v>
      </c>
      <c r="G77">
        <v>0</v>
      </c>
      <c r="H77">
        <v>1</v>
      </c>
      <c r="I77">
        <f t="shared" si="20"/>
        <v>0</v>
      </c>
      <c r="J77">
        <v>6</v>
      </c>
      <c r="K77">
        <v>0</v>
      </c>
      <c r="L77">
        <f t="shared" si="21"/>
        <v>6</v>
      </c>
      <c r="M77" t="s">
        <v>5065</v>
      </c>
    </row>
    <row r="78" spans="1:13" x14ac:dyDescent="0.25">
      <c r="A78" t="s">
        <v>5057</v>
      </c>
      <c r="B78">
        <v>1</v>
      </c>
      <c r="C78">
        <v>18</v>
      </c>
      <c r="D78" t="s">
        <v>4485</v>
      </c>
      <c r="E78">
        <v>3032</v>
      </c>
      <c r="F78">
        <v>145285</v>
      </c>
      <c r="G78">
        <v>1</v>
      </c>
      <c r="H78">
        <v>1</v>
      </c>
      <c r="I78">
        <f t="shared" si="20"/>
        <v>1</v>
      </c>
      <c r="J78">
        <v>0</v>
      </c>
      <c r="K78">
        <v>0</v>
      </c>
      <c r="L78">
        <f t="shared" si="21"/>
        <v>1</v>
      </c>
      <c r="M78" t="s">
        <v>5065</v>
      </c>
    </row>
    <row r="79" spans="1:13" x14ac:dyDescent="0.25">
      <c r="A79" t="s">
        <v>5057</v>
      </c>
      <c r="B79">
        <v>1</v>
      </c>
      <c r="C79">
        <v>18</v>
      </c>
      <c r="D79" t="s">
        <v>4485</v>
      </c>
      <c r="E79">
        <v>3033</v>
      </c>
      <c r="F79">
        <v>145323</v>
      </c>
      <c r="G79">
        <v>1</v>
      </c>
      <c r="H79">
        <v>1</v>
      </c>
      <c r="I79">
        <f t="shared" si="20"/>
        <v>1</v>
      </c>
      <c r="J79">
        <v>0</v>
      </c>
      <c r="K79">
        <v>0</v>
      </c>
      <c r="L79">
        <f t="shared" si="21"/>
        <v>1</v>
      </c>
      <c r="M79" t="s">
        <v>5065</v>
      </c>
    </row>
    <row r="80" spans="1:13" x14ac:dyDescent="0.25">
      <c r="A80" t="s">
        <v>5057</v>
      </c>
      <c r="B80">
        <v>1</v>
      </c>
      <c r="C80">
        <v>18</v>
      </c>
      <c r="D80" t="s">
        <v>4485</v>
      </c>
      <c r="E80">
        <v>3036</v>
      </c>
      <c r="F80">
        <v>145789</v>
      </c>
      <c r="G80">
        <v>0</v>
      </c>
      <c r="H80">
        <v>1</v>
      </c>
      <c r="I80">
        <f t="shared" si="20"/>
        <v>0</v>
      </c>
      <c r="J80">
        <v>11</v>
      </c>
      <c r="K80">
        <v>0</v>
      </c>
      <c r="L80">
        <f t="shared" si="21"/>
        <v>11</v>
      </c>
      <c r="M80" t="s">
        <v>5065</v>
      </c>
    </row>
    <row r="81" spans="1:13" x14ac:dyDescent="0.25">
      <c r="A81" t="s">
        <v>5057</v>
      </c>
      <c r="B81">
        <v>1</v>
      </c>
      <c r="C81">
        <v>18</v>
      </c>
      <c r="D81" t="s">
        <v>4485</v>
      </c>
      <c r="E81">
        <v>3035</v>
      </c>
      <c r="F81" t="s">
        <v>4489</v>
      </c>
      <c r="G81">
        <v>0</v>
      </c>
      <c r="H81">
        <v>1</v>
      </c>
      <c r="I81">
        <f t="shared" si="20"/>
        <v>0</v>
      </c>
      <c r="J81">
        <v>9</v>
      </c>
      <c r="K81">
        <v>0</v>
      </c>
      <c r="L81">
        <f t="shared" si="21"/>
        <v>9</v>
      </c>
      <c r="M81" t="s">
        <v>5065</v>
      </c>
    </row>
    <row r="82" spans="1:13" x14ac:dyDescent="0.25">
      <c r="A82" t="s">
        <v>5057</v>
      </c>
      <c r="B82">
        <v>1</v>
      </c>
      <c r="C82">
        <v>26</v>
      </c>
      <c r="D82" t="s">
        <v>4502</v>
      </c>
      <c r="E82" s="16">
        <v>4107</v>
      </c>
      <c r="F82" s="3"/>
      <c r="G82" s="7">
        <v>8</v>
      </c>
      <c r="H82" s="49">
        <v>100</v>
      </c>
      <c r="I82">
        <f>G82*H82</f>
        <v>800</v>
      </c>
      <c r="J82">
        <v>4</v>
      </c>
      <c r="K82">
        <v>0</v>
      </c>
      <c r="L82">
        <f>I82+J82+K82</f>
        <v>804</v>
      </c>
      <c r="M82" t="s">
        <v>5065</v>
      </c>
    </row>
    <row r="83" spans="1:13" x14ac:dyDescent="0.25">
      <c r="A83" t="s">
        <v>5057</v>
      </c>
      <c r="B83">
        <v>1</v>
      </c>
      <c r="C83">
        <v>26</v>
      </c>
      <c r="D83" t="s">
        <v>4502</v>
      </c>
      <c r="E83" s="16">
        <v>4114</v>
      </c>
      <c r="F83" s="3"/>
      <c r="G83" s="7">
        <v>6</v>
      </c>
      <c r="H83" s="49">
        <v>2</v>
      </c>
      <c r="I83">
        <f t="shared" ref="I83:I93" si="22">G83*H83</f>
        <v>12</v>
      </c>
      <c r="J83">
        <v>0</v>
      </c>
      <c r="K83">
        <v>0</v>
      </c>
      <c r="L83">
        <f t="shared" ref="L83:L93" si="23">I83+J83+K83</f>
        <v>12</v>
      </c>
      <c r="M83" t="s">
        <v>5065</v>
      </c>
    </row>
    <row r="84" spans="1:13" x14ac:dyDescent="0.25">
      <c r="A84" s="8" t="s">
        <v>5057</v>
      </c>
      <c r="B84" s="8">
        <v>1</v>
      </c>
      <c r="C84" s="8">
        <v>26</v>
      </c>
      <c r="D84" s="8" t="s">
        <v>4502</v>
      </c>
      <c r="E84" s="54">
        <v>4113</v>
      </c>
      <c r="F84" s="12"/>
      <c r="G84" s="15">
        <v>19</v>
      </c>
      <c r="H84" s="8">
        <v>1</v>
      </c>
      <c r="I84" s="8">
        <f t="shared" si="22"/>
        <v>19</v>
      </c>
      <c r="J84" s="8">
        <v>0</v>
      </c>
      <c r="K84" s="8">
        <v>0</v>
      </c>
      <c r="L84" s="8">
        <f t="shared" si="23"/>
        <v>19</v>
      </c>
      <c r="M84" t="s">
        <v>5067</v>
      </c>
    </row>
    <row r="85" spans="1:13" x14ac:dyDescent="0.25">
      <c r="A85" s="8" t="s">
        <v>5057</v>
      </c>
      <c r="B85" s="8">
        <v>1</v>
      </c>
      <c r="C85" s="8">
        <v>26</v>
      </c>
      <c r="D85" s="8" t="s">
        <v>4502</v>
      </c>
      <c r="E85" s="54">
        <v>4111</v>
      </c>
      <c r="F85" s="12"/>
      <c r="G85" s="15">
        <v>9</v>
      </c>
      <c r="H85" s="8">
        <v>1</v>
      </c>
      <c r="I85" s="8">
        <f t="shared" si="22"/>
        <v>9</v>
      </c>
      <c r="J85" s="8">
        <v>10</v>
      </c>
      <c r="K85" s="8">
        <v>0</v>
      </c>
      <c r="L85" s="8">
        <f t="shared" si="23"/>
        <v>19</v>
      </c>
      <c r="M85" t="s">
        <v>5067</v>
      </c>
    </row>
    <row r="86" spans="1:13" x14ac:dyDescent="0.25">
      <c r="A86" t="s">
        <v>5057</v>
      </c>
      <c r="B86">
        <v>1</v>
      </c>
      <c r="C86">
        <v>26</v>
      </c>
      <c r="D86" t="s">
        <v>4502</v>
      </c>
      <c r="E86" s="16">
        <v>4102</v>
      </c>
      <c r="F86" s="3"/>
      <c r="G86" s="7">
        <v>26</v>
      </c>
      <c r="H86" s="49">
        <v>5</v>
      </c>
      <c r="I86">
        <f t="shared" si="22"/>
        <v>130</v>
      </c>
      <c r="J86">
        <v>0</v>
      </c>
      <c r="K86">
        <v>0</v>
      </c>
      <c r="L86">
        <f t="shared" si="23"/>
        <v>130</v>
      </c>
      <c r="M86" t="s">
        <v>5065</v>
      </c>
    </row>
    <row r="87" spans="1:13" x14ac:dyDescent="0.25">
      <c r="A87" t="s">
        <v>5057</v>
      </c>
      <c r="B87">
        <v>1</v>
      </c>
      <c r="C87">
        <v>26</v>
      </c>
      <c r="D87" t="s">
        <v>4502</v>
      </c>
      <c r="E87" s="17">
        <v>4101</v>
      </c>
      <c r="F87" s="3"/>
      <c r="G87" s="7">
        <v>2</v>
      </c>
      <c r="H87" s="49">
        <v>100</v>
      </c>
      <c r="I87">
        <f t="shared" si="22"/>
        <v>200</v>
      </c>
      <c r="J87">
        <v>1</v>
      </c>
      <c r="K87">
        <v>0</v>
      </c>
      <c r="L87">
        <f t="shared" si="23"/>
        <v>201</v>
      </c>
      <c r="M87" t="s">
        <v>5065</v>
      </c>
    </row>
    <row r="88" spans="1:13" x14ac:dyDescent="0.25">
      <c r="A88" t="s">
        <v>5057</v>
      </c>
      <c r="B88">
        <v>1</v>
      </c>
      <c r="C88">
        <v>26</v>
      </c>
      <c r="D88" t="s">
        <v>4502</v>
      </c>
      <c r="E88" s="16">
        <v>4100</v>
      </c>
      <c r="F88" s="3"/>
      <c r="G88" s="7">
        <v>2</v>
      </c>
      <c r="H88" s="49">
        <v>20</v>
      </c>
      <c r="I88">
        <f t="shared" si="22"/>
        <v>40</v>
      </c>
      <c r="J88">
        <v>0</v>
      </c>
      <c r="K88">
        <v>0</v>
      </c>
      <c r="L88">
        <f t="shared" si="23"/>
        <v>40</v>
      </c>
      <c r="M88" t="s">
        <v>5065</v>
      </c>
    </row>
    <row r="89" spans="1:13" x14ac:dyDescent="0.25">
      <c r="A89" t="s">
        <v>5057</v>
      </c>
      <c r="B89">
        <v>1</v>
      </c>
      <c r="C89">
        <v>26</v>
      </c>
      <c r="D89" t="s">
        <v>4502</v>
      </c>
      <c r="E89" s="16">
        <v>4104</v>
      </c>
      <c r="F89" s="3"/>
      <c r="G89" s="7">
        <v>13</v>
      </c>
      <c r="H89" s="49">
        <v>2</v>
      </c>
      <c r="I89">
        <f t="shared" si="22"/>
        <v>26</v>
      </c>
      <c r="J89">
        <v>1</v>
      </c>
      <c r="K89">
        <v>0</v>
      </c>
      <c r="L89">
        <f t="shared" si="23"/>
        <v>27</v>
      </c>
      <c r="M89" t="s">
        <v>5065</v>
      </c>
    </row>
    <row r="90" spans="1:13" x14ac:dyDescent="0.25">
      <c r="A90" t="s">
        <v>5057</v>
      </c>
      <c r="B90">
        <v>1</v>
      </c>
      <c r="C90">
        <v>26</v>
      </c>
      <c r="D90" t="s">
        <v>4502</v>
      </c>
      <c r="E90" s="16">
        <v>4117</v>
      </c>
      <c r="F90" s="3"/>
      <c r="G90" s="7">
        <v>1</v>
      </c>
      <c r="H90" s="49">
        <v>5</v>
      </c>
      <c r="I90">
        <f t="shared" si="22"/>
        <v>5</v>
      </c>
      <c r="J90">
        <v>0</v>
      </c>
      <c r="K90">
        <v>0</v>
      </c>
      <c r="L90">
        <f t="shared" si="23"/>
        <v>5</v>
      </c>
      <c r="M90" t="s">
        <v>5065</v>
      </c>
    </row>
    <row r="91" spans="1:13" x14ac:dyDescent="0.25">
      <c r="A91" t="s">
        <v>5057</v>
      </c>
      <c r="B91">
        <v>1</v>
      </c>
      <c r="C91">
        <v>26</v>
      </c>
      <c r="D91" t="s">
        <v>4502</v>
      </c>
      <c r="E91" s="16">
        <v>4110</v>
      </c>
      <c r="F91" s="3"/>
      <c r="G91" s="7">
        <v>5</v>
      </c>
      <c r="H91" s="49">
        <v>10</v>
      </c>
      <c r="I91">
        <f t="shared" si="22"/>
        <v>50</v>
      </c>
      <c r="J91">
        <v>7</v>
      </c>
      <c r="K91">
        <v>0</v>
      </c>
      <c r="L91">
        <f t="shared" si="23"/>
        <v>57</v>
      </c>
      <c r="M91" t="s">
        <v>5065</v>
      </c>
    </row>
    <row r="92" spans="1:13" x14ac:dyDescent="0.25">
      <c r="A92" s="8" t="s">
        <v>5057</v>
      </c>
      <c r="B92" s="8">
        <v>1</v>
      </c>
      <c r="C92" s="8">
        <v>26</v>
      </c>
      <c r="D92" s="8" t="s">
        <v>4502</v>
      </c>
      <c r="E92" s="54">
        <v>4107</v>
      </c>
      <c r="F92" s="12"/>
      <c r="G92" s="8">
        <v>14</v>
      </c>
      <c r="H92" s="8">
        <v>0</v>
      </c>
      <c r="I92" s="8">
        <f t="shared" si="22"/>
        <v>0</v>
      </c>
      <c r="J92" s="8">
        <v>0</v>
      </c>
      <c r="K92" s="8">
        <v>0</v>
      </c>
      <c r="L92" s="8">
        <f t="shared" si="23"/>
        <v>0</v>
      </c>
      <c r="M92" t="s">
        <v>5067</v>
      </c>
    </row>
    <row r="93" spans="1:13" x14ac:dyDescent="0.25">
      <c r="A93" t="s">
        <v>5057</v>
      </c>
      <c r="B93">
        <v>1</v>
      </c>
      <c r="C93">
        <v>26</v>
      </c>
      <c r="D93" t="s">
        <v>4502</v>
      </c>
      <c r="E93" s="18">
        <v>4146</v>
      </c>
      <c r="F93" s="3"/>
      <c r="G93" s="7">
        <v>0</v>
      </c>
      <c r="H93">
        <v>1</v>
      </c>
      <c r="I93">
        <f t="shared" si="22"/>
        <v>0</v>
      </c>
      <c r="J93">
        <v>0</v>
      </c>
      <c r="K93">
        <v>0</v>
      </c>
      <c r="L93">
        <f t="shared" si="23"/>
        <v>0</v>
      </c>
      <c r="M93" t="s">
        <v>5067</v>
      </c>
    </row>
    <row r="94" spans="1:13" x14ac:dyDescent="0.25">
      <c r="A94" s="8" t="s">
        <v>5057</v>
      </c>
      <c r="B94" s="8">
        <v>1</v>
      </c>
      <c r="C94" s="8">
        <v>25</v>
      </c>
      <c r="D94" s="8" t="s">
        <v>4502</v>
      </c>
      <c r="E94" s="8">
        <v>7130</v>
      </c>
      <c r="F94" s="8"/>
      <c r="G94" s="8">
        <v>16</v>
      </c>
      <c r="H94" s="8">
        <v>0</v>
      </c>
      <c r="I94" s="8">
        <f t="shared" ref="I94:I95" si="24">G94*H94</f>
        <v>0</v>
      </c>
      <c r="J94" s="8">
        <v>0</v>
      </c>
      <c r="K94" s="8">
        <v>0</v>
      </c>
      <c r="L94" s="8">
        <f t="shared" ref="L94" si="25">I94+J94+K94</f>
        <v>0</v>
      </c>
      <c r="M94" t="s">
        <v>5073</v>
      </c>
    </row>
    <row r="95" spans="1:13" x14ac:dyDescent="0.25">
      <c r="A95" s="8" t="s">
        <v>5057</v>
      </c>
      <c r="B95" s="8">
        <v>1</v>
      </c>
      <c r="C95" s="8">
        <v>25</v>
      </c>
      <c r="D95" s="8" t="s">
        <v>4502</v>
      </c>
      <c r="E95" s="8">
        <v>7132</v>
      </c>
      <c r="F95" s="12"/>
      <c r="G95" s="8">
        <v>4</v>
      </c>
      <c r="H95" s="8">
        <v>0</v>
      </c>
      <c r="I95" s="8">
        <f t="shared" si="24"/>
        <v>0</v>
      </c>
      <c r="J95" s="8">
        <v>10</v>
      </c>
      <c r="K95" s="8">
        <v>0</v>
      </c>
      <c r="L95" s="8">
        <f t="shared" ref="L95" si="26">I95+J95+K95</f>
        <v>10</v>
      </c>
      <c r="M95" t="s">
        <v>5067</v>
      </c>
    </row>
    <row r="96" spans="1:13" x14ac:dyDescent="0.25">
      <c r="A96" s="51" t="s">
        <v>5057</v>
      </c>
      <c r="B96" s="51">
        <v>1</v>
      </c>
      <c r="C96" s="51">
        <v>27</v>
      </c>
      <c r="D96" s="51" t="s">
        <v>4502</v>
      </c>
      <c r="E96" s="51"/>
      <c r="F96" s="51" t="s">
        <v>5074</v>
      </c>
      <c r="G96" s="51">
        <v>9</v>
      </c>
      <c r="H96" s="8">
        <v>0</v>
      </c>
      <c r="I96" s="8">
        <f t="shared" ref="I96" si="27">G96*H96</f>
        <v>0</v>
      </c>
      <c r="J96" s="8">
        <v>10</v>
      </c>
      <c r="K96" s="8">
        <v>0</v>
      </c>
      <c r="L96" s="8">
        <f t="shared" ref="L96" si="28">I96+J96+K96</f>
        <v>10</v>
      </c>
      <c r="M96" t="s">
        <v>5067</v>
      </c>
    </row>
  </sheetData>
  <autoFilter ref="A1:M96" xr:uid="{E521623D-EA01-4BF2-BFD9-589ABE4A86AA}"/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B7A4E-46FA-46DD-AE4E-803DD9459D33}">
  <dimension ref="A1:M106"/>
  <sheetViews>
    <sheetView topLeftCell="A81" workbookViewId="0">
      <selection activeCell="M16" sqref="M16"/>
    </sheetView>
  </sheetViews>
  <sheetFormatPr defaultColWidth="11.42578125" defaultRowHeight="15" x14ac:dyDescent="0.25"/>
  <cols>
    <col min="1" max="1" width="16.7109375" bestFit="1" customWidth="1"/>
    <col min="2" max="2" width="12.7109375" bestFit="1" customWidth="1"/>
    <col min="3" max="3" width="10" bestFit="1" customWidth="1"/>
    <col min="4" max="4" width="13.5703125" bestFit="1" customWidth="1"/>
    <col min="5" max="5" width="12.140625" bestFit="1" customWidth="1"/>
    <col min="6" max="6" width="13.42578125" bestFit="1" customWidth="1"/>
    <col min="7" max="7" width="9.42578125" bestFit="1" customWidth="1"/>
    <col min="8" max="8" width="13" bestFit="1" customWidth="1"/>
    <col min="9" max="9" width="14.42578125" bestFit="1" customWidth="1"/>
    <col min="10" max="10" width="11.7109375" bestFit="1" customWidth="1"/>
    <col min="11" max="11" width="9.42578125" bestFit="1" customWidth="1"/>
    <col min="12" max="12" width="7.5703125" bestFit="1" customWidth="1"/>
    <col min="13" max="13" width="26.28515625" bestFit="1" customWidth="1"/>
  </cols>
  <sheetData>
    <row r="1" spans="1:13" ht="15.75" x14ac:dyDescent="0.25">
      <c r="A1" s="28" t="s">
        <v>5044</v>
      </c>
      <c r="B1" s="28" t="s">
        <v>5054</v>
      </c>
      <c r="C1" s="28" t="s">
        <v>5055</v>
      </c>
      <c r="D1" s="28" t="s">
        <v>5045</v>
      </c>
      <c r="E1" s="28" t="s">
        <v>5046</v>
      </c>
      <c r="F1" s="28" t="s">
        <v>4434</v>
      </c>
      <c r="G1" s="28" t="s">
        <v>5047</v>
      </c>
      <c r="H1" s="28" t="s">
        <v>5048</v>
      </c>
      <c r="I1" s="28" t="s">
        <v>5049</v>
      </c>
      <c r="J1" s="28" t="s">
        <v>5050</v>
      </c>
      <c r="K1" s="28" t="s">
        <v>5051</v>
      </c>
      <c r="L1" s="28" t="s">
        <v>5052</v>
      </c>
      <c r="M1" s="28" t="s">
        <v>5058</v>
      </c>
    </row>
    <row r="2" spans="1:13" x14ac:dyDescent="0.25">
      <c r="A2" s="8" t="s">
        <v>5057</v>
      </c>
      <c r="B2" s="8">
        <v>2</v>
      </c>
      <c r="C2" s="8">
        <v>13</v>
      </c>
      <c r="D2" s="8" t="s">
        <v>4457</v>
      </c>
      <c r="E2" s="8">
        <v>1769</v>
      </c>
      <c r="F2" s="12"/>
      <c r="G2" s="8">
        <v>28</v>
      </c>
      <c r="H2" s="8">
        <v>1</v>
      </c>
      <c r="I2" s="8">
        <f>G2*H2</f>
        <v>28</v>
      </c>
      <c r="J2" s="8">
        <v>0</v>
      </c>
      <c r="K2" s="8">
        <v>0</v>
      </c>
      <c r="L2" s="8">
        <f>I2+J2+K2</f>
        <v>28</v>
      </c>
      <c r="M2" t="s">
        <v>5076</v>
      </c>
    </row>
    <row r="3" spans="1:13" x14ac:dyDescent="0.25">
      <c r="A3" s="8" t="s">
        <v>5057</v>
      </c>
      <c r="B3" s="8">
        <v>2</v>
      </c>
      <c r="C3" s="8">
        <v>13</v>
      </c>
      <c r="D3" s="8" t="s">
        <v>4457</v>
      </c>
      <c r="E3" s="8">
        <v>1742</v>
      </c>
      <c r="F3" s="12"/>
      <c r="G3" s="15">
        <v>1</v>
      </c>
      <c r="H3" s="8">
        <v>9</v>
      </c>
      <c r="I3" s="8">
        <f t="shared" ref="I3:I5" si="0">G3*H3</f>
        <v>9</v>
      </c>
      <c r="J3" s="8">
        <v>0</v>
      </c>
      <c r="K3" s="8">
        <v>0</v>
      </c>
      <c r="L3" s="8">
        <f t="shared" ref="L3:L17" si="1">I3+J3+K3</f>
        <v>9</v>
      </c>
      <c r="M3" t="s">
        <v>5076</v>
      </c>
    </row>
    <row r="4" spans="1:13" x14ac:dyDescent="0.25">
      <c r="A4" s="8" t="s">
        <v>5057</v>
      </c>
      <c r="B4" s="8">
        <v>2</v>
      </c>
      <c r="C4" s="8">
        <v>13</v>
      </c>
      <c r="D4" s="8" t="s">
        <v>4457</v>
      </c>
      <c r="E4" s="8">
        <v>1715</v>
      </c>
      <c r="F4" s="12"/>
      <c r="G4" s="8">
        <v>4</v>
      </c>
      <c r="H4" s="8">
        <v>1</v>
      </c>
      <c r="I4" s="8">
        <f t="shared" si="0"/>
        <v>4</v>
      </c>
      <c r="J4" s="8">
        <v>0</v>
      </c>
      <c r="K4" s="8">
        <v>0</v>
      </c>
      <c r="L4" s="8">
        <f t="shared" si="1"/>
        <v>4</v>
      </c>
      <c r="M4" t="s">
        <v>5076</v>
      </c>
    </row>
    <row r="5" spans="1:13" x14ac:dyDescent="0.25">
      <c r="A5" s="8" t="s">
        <v>5057</v>
      </c>
      <c r="B5" s="8">
        <v>2</v>
      </c>
      <c r="C5" s="8">
        <v>13</v>
      </c>
      <c r="D5" s="8" t="s">
        <v>4457</v>
      </c>
      <c r="E5" s="8">
        <v>1713</v>
      </c>
      <c r="F5" s="12"/>
      <c r="G5" s="8">
        <v>10</v>
      </c>
      <c r="H5" s="8">
        <v>1</v>
      </c>
      <c r="I5" s="8">
        <f t="shared" si="0"/>
        <v>10</v>
      </c>
      <c r="J5" s="8">
        <v>0</v>
      </c>
      <c r="K5" s="8">
        <v>0</v>
      </c>
      <c r="L5" s="8">
        <f t="shared" si="1"/>
        <v>10</v>
      </c>
      <c r="M5" t="s">
        <v>5076</v>
      </c>
    </row>
    <row r="6" spans="1:13" x14ac:dyDescent="0.25">
      <c r="A6" s="8" t="s">
        <v>5057</v>
      </c>
      <c r="B6" s="8">
        <v>2</v>
      </c>
      <c r="C6" s="8">
        <v>13</v>
      </c>
      <c r="D6" s="8" t="s">
        <v>4457</v>
      </c>
      <c r="E6" s="8">
        <v>1712</v>
      </c>
      <c r="F6" s="12"/>
      <c r="G6" s="8">
        <v>10</v>
      </c>
      <c r="H6" s="8">
        <v>1</v>
      </c>
      <c r="I6" s="8">
        <f t="shared" ref="I6:I17" si="2">G6*H6</f>
        <v>10</v>
      </c>
      <c r="J6" s="8">
        <v>10</v>
      </c>
      <c r="K6" s="8">
        <v>0</v>
      </c>
      <c r="L6" s="8">
        <f t="shared" si="1"/>
        <v>20</v>
      </c>
      <c r="M6" t="s">
        <v>5076</v>
      </c>
    </row>
    <row r="7" spans="1:13" x14ac:dyDescent="0.25">
      <c r="A7" s="8" t="s">
        <v>5057</v>
      </c>
      <c r="B7" s="8">
        <v>2</v>
      </c>
      <c r="C7" s="8">
        <v>13</v>
      </c>
      <c r="D7" s="8" t="s">
        <v>4457</v>
      </c>
      <c r="E7" s="8">
        <v>1711</v>
      </c>
      <c r="F7" s="12"/>
      <c r="G7" s="8">
        <v>0</v>
      </c>
      <c r="H7" s="8">
        <v>1</v>
      </c>
      <c r="I7" s="8">
        <f t="shared" si="2"/>
        <v>0</v>
      </c>
      <c r="J7" s="8">
        <v>0</v>
      </c>
      <c r="K7" s="8">
        <v>0</v>
      </c>
      <c r="L7" s="8">
        <f t="shared" si="1"/>
        <v>0</v>
      </c>
      <c r="M7" t="s">
        <v>5076</v>
      </c>
    </row>
    <row r="8" spans="1:13" x14ac:dyDescent="0.25">
      <c r="A8" s="8" t="s">
        <v>5057</v>
      </c>
      <c r="B8" s="8">
        <v>2</v>
      </c>
      <c r="C8" s="8">
        <v>13</v>
      </c>
      <c r="D8" s="8" t="s">
        <v>4457</v>
      </c>
      <c r="E8" s="8">
        <v>1737</v>
      </c>
      <c r="F8" s="12"/>
      <c r="G8" s="8">
        <v>2</v>
      </c>
      <c r="H8" s="8">
        <v>1</v>
      </c>
      <c r="I8" s="8">
        <f t="shared" si="2"/>
        <v>2</v>
      </c>
      <c r="J8" s="8">
        <v>0</v>
      </c>
      <c r="K8" s="8">
        <v>0</v>
      </c>
      <c r="L8" s="8">
        <f t="shared" si="1"/>
        <v>2</v>
      </c>
      <c r="M8" t="s">
        <v>5076</v>
      </c>
    </row>
    <row r="9" spans="1:13" x14ac:dyDescent="0.25">
      <c r="A9" s="8" t="s">
        <v>5057</v>
      </c>
      <c r="B9" s="8">
        <v>2</v>
      </c>
      <c r="C9" s="8">
        <v>13</v>
      </c>
      <c r="D9" s="8" t="s">
        <v>4457</v>
      </c>
      <c r="E9" s="8">
        <v>1709</v>
      </c>
      <c r="F9" s="12"/>
      <c r="G9" s="15">
        <v>1</v>
      </c>
      <c r="H9" s="8">
        <v>1</v>
      </c>
      <c r="I9" s="8">
        <f t="shared" si="2"/>
        <v>1</v>
      </c>
      <c r="J9" s="8">
        <v>5</v>
      </c>
      <c r="K9" s="8">
        <v>0</v>
      </c>
      <c r="L9" s="8">
        <f t="shared" si="1"/>
        <v>6</v>
      </c>
      <c r="M9" t="s">
        <v>5076</v>
      </c>
    </row>
    <row r="10" spans="1:13" x14ac:dyDescent="0.25">
      <c r="A10" s="8" t="s">
        <v>5057</v>
      </c>
      <c r="B10" s="8">
        <v>2</v>
      </c>
      <c r="C10" s="8">
        <v>13</v>
      </c>
      <c r="D10" s="8" t="s">
        <v>4457</v>
      </c>
      <c r="E10" s="8">
        <v>8031</v>
      </c>
      <c r="F10" s="12"/>
      <c r="G10" s="8">
        <v>19</v>
      </c>
      <c r="H10" s="8">
        <v>1</v>
      </c>
      <c r="I10" s="8">
        <f t="shared" si="2"/>
        <v>19</v>
      </c>
      <c r="J10" s="8">
        <v>0</v>
      </c>
      <c r="K10" s="8">
        <v>0</v>
      </c>
      <c r="L10" s="8">
        <f t="shared" si="1"/>
        <v>19</v>
      </c>
      <c r="M10" t="s">
        <v>5076</v>
      </c>
    </row>
    <row r="11" spans="1:13" x14ac:dyDescent="0.25">
      <c r="A11" s="8" t="s">
        <v>5057</v>
      </c>
      <c r="B11" s="8">
        <v>2</v>
      </c>
      <c r="C11" s="8">
        <v>13</v>
      </c>
      <c r="D11" s="8" t="s">
        <v>4457</v>
      </c>
      <c r="E11" s="8">
        <v>1711</v>
      </c>
      <c r="F11" s="12"/>
      <c r="G11" s="8">
        <v>22</v>
      </c>
      <c r="H11" s="8">
        <v>1</v>
      </c>
      <c r="I11" s="8">
        <f t="shared" si="2"/>
        <v>22</v>
      </c>
      <c r="J11" s="8">
        <v>0</v>
      </c>
      <c r="K11" s="8">
        <v>0</v>
      </c>
      <c r="L11" s="8">
        <f t="shared" si="1"/>
        <v>22</v>
      </c>
      <c r="M11" t="s">
        <v>5076</v>
      </c>
    </row>
    <row r="12" spans="1:13" x14ac:dyDescent="0.25">
      <c r="A12" s="8" t="s">
        <v>5057</v>
      </c>
      <c r="B12" s="8">
        <v>2</v>
      </c>
      <c r="C12" s="8">
        <v>13</v>
      </c>
      <c r="D12" s="8" t="s">
        <v>4457</v>
      </c>
      <c r="E12" s="8">
        <v>1710</v>
      </c>
      <c r="F12" s="12"/>
      <c r="G12" s="8">
        <v>44</v>
      </c>
      <c r="H12" s="8">
        <v>1</v>
      </c>
      <c r="I12" s="8">
        <f t="shared" si="2"/>
        <v>44</v>
      </c>
      <c r="J12" s="8">
        <v>6</v>
      </c>
      <c r="K12" s="8">
        <v>0</v>
      </c>
      <c r="L12" s="8">
        <f t="shared" si="1"/>
        <v>50</v>
      </c>
      <c r="M12" t="s">
        <v>5076</v>
      </c>
    </row>
    <row r="13" spans="1:13" x14ac:dyDescent="0.25">
      <c r="A13" t="s">
        <v>5057</v>
      </c>
      <c r="B13">
        <v>2</v>
      </c>
      <c r="C13">
        <v>13</v>
      </c>
      <c r="D13" t="s">
        <v>4451</v>
      </c>
      <c r="E13">
        <v>1972</v>
      </c>
      <c r="F13" s="3"/>
      <c r="G13">
        <v>1</v>
      </c>
      <c r="H13">
        <v>1</v>
      </c>
      <c r="I13">
        <f t="shared" si="2"/>
        <v>1</v>
      </c>
      <c r="J13">
        <v>0</v>
      </c>
      <c r="K13">
        <v>0</v>
      </c>
      <c r="L13">
        <f t="shared" si="1"/>
        <v>1</v>
      </c>
      <c r="M13" t="s">
        <v>5075</v>
      </c>
    </row>
    <row r="14" spans="1:13" x14ac:dyDescent="0.25">
      <c r="A14" t="s">
        <v>5057</v>
      </c>
      <c r="B14">
        <v>2</v>
      </c>
      <c r="C14">
        <v>13</v>
      </c>
      <c r="D14" t="s">
        <v>4452</v>
      </c>
      <c r="E14">
        <v>1995</v>
      </c>
      <c r="F14" s="3"/>
      <c r="G14">
        <v>5</v>
      </c>
      <c r="H14">
        <v>1</v>
      </c>
      <c r="I14">
        <f t="shared" si="2"/>
        <v>5</v>
      </c>
      <c r="J14">
        <v>0</v>
      </c>
      <c r="K14">
        <v>0</v>
      </c>
      <c r="L14">
        <f t="shared" si="1"/>
        <v>5</v>
      </c>
      <c r="M14" t="s">
        <v>5075</v>
      </c>
    </row>
    <row r="15" spans="1:13" x14ac:dyDescent="0.25">
      <c r="A15" t="s">
        <v>5057</v>
      </c>
      <c r="B15">
        <v>2</v>
      </c>
      <c r="C15">
        <v>13</v>
      </c>
      <c r="D15" t="s">
        <v>4453</v>
      </c>
      <c r="E15">
        <v>1954</v>
      </c>
      <c r="F15" s="3"/>
      <c r="G15">
        <v>13</v>
      </c>
      <c r="H15">
        <v>1</v>
      </c>
      <c r="I15">
        <f t="shared" si="2"/>
        <v>13</v>
      </c>
      <c r="J15">
        <v>0</v>
      </c>
      <c r="K15">
        <v>0</v>
      </c>
      <c r="L15">
        <f t="shared" si="1"/>
        <v>13</v>
      </c>
      <c r="M15" t="s">
        <v>5075</v>
      </c>
    </row>
    <row r="16" spans="1:13" x14ac:dyDescent="0.25">
      <c r="A16" t="s">
        <v>5057</v>
      </c>
      <c r="B16">
        <v>2</v>
      </c>
      <c r="C16">
        <v>13</v>
      </c>
      <c r="D16" t="s">
        <v>4454</v>
      </c>
      <c r="E16">
        <v>1958</v>
      </c>
      <c r="F16" s="3"/>
      <c r="G16">
        <v>7</v>
      </c>
      <c r="H16">
        <v>1</v>
      </c>
      <c r="I16">
        <f t="shared" si="2"/>
        <v>7</v>
      </c>
      <c r="J16">
        <v>0</v>
      </c>
      <c r="K16">
        <v>0</v>
      </c>
      <c r="L16">
        <f t="shared" si="1"/>
        <v>7</v>
      </c>
      <c r="M16" t="s">
        <v>5075</v>
      </c>
    </row>
    <row r="17" spans="1:13" x14ac:dyDescent="0.25">
      <c r="A17" t="s">
        <v>5057</v>
      </c>
      <c r="B17">
        <v>2</v>
      </c>
      <c r="C17">
        <v>13</v>
      </c>
      <c r="D17" t="s">
        <v>4455</v>
      </c>
      <c r="E17">
        <v>1937</v>
      </c>
      <c r="F17" s="3"/>
      <c r="G17">
        <v>7</v>
      </c>
      <c r="H17">
        <v>1</v>
      </c>
      <c r="I17">
        <f t="shared" si="2"/>
        <v>7</v>
      </c>
      <c r="J17">
        <v>0</v>
      </c>
      <c r="K17">
        <v>0</v>
      </c>
      <c r="L17">
        <f t="shared" si="1"/>
        <v>7</v>
      </c>
      <c r="M17" t="s">
        <v>5075</v>
      </c>
    </row>
    <row r="18" spans="1:13" x14ac:dyDescent="0.25">
      <c r="A18" s="8" t="s">
        <v>5057</v>
      </c>
      <c r="B18" s="8">
        <v>2</v>
      </c>
      <c r="C18" s="8">
        <v>14</v>
      </c>
      <c r="D18" s="8" t="s">
        <v>4457</v>
      </c>
      <c r="E18" s="8">
        <v>7038</v>
      </c>
      <c r="F18" s="12"/>
      <c r="G18" s="8">
        <v>15</v>
      </c>
      <c r="H18" s="8">
        <v>1</v>
      </c>
      <c r="I18" s="8">
        <f t="shared" ref="I18:I19" si="3">G18*H18</f>
        <v>15</v>
      </c>
      <c r="J18" s="8">
        <v>0</v>
      </c>
      <c r="K18" s="8">
        <v>0</v>
      </c>
      <c r="L18" s="8">
        <f t="shared" ref="L18:L19" si="4">I18+J18+K18</f>
        <v>15</v>
      </c>
      <c r="M18" t="s">
        <v>5076</v>
      </c>
    </row>
    <row r="19" spans="1:13" x14ac:dyDescent="0.25">
      <c r="A19" s="8" t="s">
        <v>5057</v>
      </c>
      <c r="B19" s="8">
        <v>2</v>
      </c>
      <c r="C19" s="8">
        <v>14</v>
      </c>
      <c r="D19" s="8" t="s">
        <v>4457</v>
      </c>
      <c r="E19" s="8">
        <v>7037</v>
      </c>
      <c r="F19" s="12"/>
      <c r="G19" s="15">
        <v>11</v>
      </c>
      <c r="H19" s="8">
        <v>1</v>
      </c>
      <c r="I19" s="8">
        <f t="shared" si="3"/>
        <v>11</v>
      </c>
      <c r="J19" s="8">
        <v>0</v>
      </c>
      <c r="K19" s="8">
        <v>0</v>
      </c>
      <c r="L19" s="8">
        <f t="shared" si="4"/>
        <v>11</v>
      </c>
      <c r="M19" t="s">
        <v>5076</v>
      </c>
    </row>
    <row r="20" spans="1:13" x14ac:dyDescent="0.25">
      <c r="A20" s="8" t="s">
        <v>5057</v>
      </c>
      <c r="B20" s="8">
        <v>2</v>
      </c>
      <c r="C20" s="8">
        <v>14</v>
      </c>
      <c r="D20" s="8" t="s">
        <v>4457</v>
      </c>
      <c r="E20" s="8">
        <v>1738</v>
      </c>
      <c r="F20" s="12"/>
      <c r="G20" s="8">
        <v>1</v>
      </c>
      <c r="H20" s="8">
        <v>1</v>
      </c>
      <c r="I20" s="8">
        <f t="shared" ref="I20:I41" si="5">G20*H20</f>
        <v>1</v>
      </c>
      <c r="J20" s="8">
        <v>2</v>
      </c>
      <c r="K20" s="8">
        <v>0</v>
      </c>
      <c r="L20" s="8">
        <f t="shared" ref="L20:L41" si="6">I20+J20+K20</f>
        <v>3</v>
      </c>
      <c r="M20" t="s">
        <v>5076</v>
      </c>
    </row>
    <row r="21" spans="1:13" x14ac:dyDescent="0.25">
      <c r="A21" t="s">
        <v>5057</v>
      </c>
      <c r="B21">
        <v>2</v>
      </c>
      <c r="C21">
        <v>14</v>
      </c>
      <c r="D21" t="s">
        <v>4457</v>
      </c>
      <c r="E21">
        <v>1728</v>
      </c>
      <c r="F21" s="3"/>
      <c r="G21">
        <v>29</v>
      </c>
      <c r="H21">
        <v>6</v>
      </c>
      <c r="I21">
        <f t="shared" si="5"/>
        <v>174</v>
      </c>
      <c r="J21">
        <v>2</v>
      </c>
      <c r="K21">
        <v>0</v>
      </c>
      <c r="L21">
        <f t="shared" si="6"/>
        <v>176</v>
      </c>
      <c r="M21" t="s">
        <v>5075</v>
      </c>
    </row>
    <row r="22" spans="1:13" x14ac:dyDescent="0.25">
      <c r="A22" t="s">
        <v>5057</v>
      </c>
      <c r="B22">
        <v>2</v>
      </c>
      <c r="C22">
        <v>14</v>
      </c>
      <c r="D22" t="s">
        <v>4457</v>
      </c>
      <c r="E22">
        <v>1740</v>
      </c>
      <c r="F22" s="3"/>
      <c r="G22">
        <v>6</v>
      </c>
      <c r="H22">
        <v>6</v>
      </c>
      <c r="I22">
        <f t="shared" si="5"/>
        <v>36</v>
      </c>
      <c r="J22">
        <v>5</v>
      </c>
      <c r="K22">
        <v>0</v>
      </c>
      <c r="L22">
        <f t="shared" si="6"/>
        <v>41</v>
      </c>
      <c r="M22" t="s">
        <v>5075</v>
      </c>
    </row>
    <row r="23" spans="1:13" x14ac:dyDescent="0.25">
      <c r="A23" t="s">
        <v>5057</v>
      </c>
      <c r="B23">
        <v>2</v>
      </c>
      <c r="C23">
        <v>14</v>
      </c>
      <c r="D23" t="s">
        <v>4457</v>
      </c>
      <c r="E23">
        <v>1739</v>
      </c>
      <c r="F23" s="3"/>
      <c r="G23">
        <v>7</v>
      </c>
      <c r="H23">
        <v>6</v>
      </c>
      <c r="I23">
        <f t="shared" si="5"/>
        <v>42</v>
      </c>
      <c r="J23">
        <v>1</v>
      </c>
      <c r="K23">
        <v>0</v>
      </c>
      <c r="L23">
        <f t="shared" si="6"/>
        <v>43</v>
      </c>
      <c r="M23" t="s">
        <v>5075</v>
      </c>
    </row>
    <row r="24" spans="1:13" x14ac:dyDescent="0.25">
      <c r="A24" t="s">
        <v>5057</v>
      </c>
      <c r="B24">
        <v>2</v>
      </c>
      <c r="C24">
        <v>14</v>
      </c>
      <c r="D24" t="s">
        <v>4457</v>
      </c>
      <c r="E24">
        <v>1719</v>
      </c>
      <c r="F24" s="3"/>
      <c r="G24">
        <v>10</v>
      </c>
      <c r="H24">
        <v>6</v>
      </c>
      <c r="I24">
        <f t="shared" si="5"/>
        <v>60</v>
      </c>
      <c r="J24">
        <v>0</v>
      </c>
      <c r="K24">
        <v>0</v>
      </c>
      <c r="L24">
        <f t="shared" si="6"/>
        <v>60</v>
      </c>
      <c r="M24" t="s">
        <v>5075</v>
      </c>
    </row>
    <row r="25" spans="1:13" x14ac:dyDescent="0.25">
      <c r="A25" t="s">
        <v>5057</v>
      </c>
      <c r="B25">
        <v>2</v>
      </c>
      <c r="C25">
        <v>14</v>
      </c>
      <c r="D25" t="s">
        <v>4457</v>
      </c>
      <c r="E25">
        <v>1718</v>
      </c>
      <c r="F25" s="3"/>
      <c r="G25" s="7">
        <v>3</v>
      </c>
      <c r="H25">
        <v>6</v>
      </c>
      <c r="I25">
        <f t="shared" si="5"/>
        <v>18</v>
      </c>
      <c r="J25">
        <v>5</v>
      </c>
      <c r="K25">
        <v>0</v>
      </c>
      <c r="L25">
        <f t="shared" si="6"/>
        <v>23</v>
      </c>
      <c r="M25" t="s">
        <v>5075</v>
      </c>
    </row>
    <row r="26" spans="1:13" x14ac:dyDescent="0.25">
      <c r="A26" s="8" t="s">
        <v>5057</v>
      </c>
      <c r="B26" s="8">
        <v>2</v>
      </c>
      <c r="C26" s="8">
        <v>14</v>
      </c>
      <c r="D26" s="8" t="s">
        <v>4457</v>
      </c>
      <c r="E26" s="8">
        <v>1727</v>
      </c>
      <c r="F26" s="12"/>
      <c r="G26" s="8">
        <v>2</v>
      </c>
      <c r="H26" s="8">
        <v>1</v>
      </c>
      <c r="I26" s="8">
        <f t="shared" si="5"/>
        <v>2</v>
      </c>
      <c r="J26" s="8">
        <v>0</v>
      </c>
      <c r="K26" s="8">
        <v>0</v>
      </c>
      <c r="L26" s="8">
        <f t="shared" si="6"/>
        <v>2</v>
      </c>
      <c r="M26" t="s">
        <v>5076</v>
      </c>
    </row>
    <row r="27" spans="1:13" x14ac:dyDescent="0.25">
      <c r="A27" s="8" t="s">
        <v>5057</v>
      </c>
      <c r="B27" s="8">
        <v>2</v>
      </c>
      <c r="C27" s="8">
        <v>14</v>
      </c>
      <c r="D27" s="8" t="s">
        <v>4457</v>
      </c>
      <c r="E27" s="8">
        <v>1717</v>
      </c>
      <c r="F27" s="12"/>
      <c r="G27" s="8">
        <v>20</v>
      </c>
      <c r="H27" s="8">
        <v>1</v>
      </c>
      <c r="I27" s="8">
        <f t="shared" si="5"/>
        <v>20</v>
      </c>
      <c r="J27" s="8">
        <v>0</v>
      </c>
      <c r="K27" s="8">
        <v>0</v>
      </c>
      <c r="L27" s="8">
        <f t="shared" si="6"/>
        <v>20</v>
      </c>
      <c r="M27" t="s">
        <v>5076</v>
      </c>
    </row>
    <row r="28" spans="1:13" x14ac:dyDescent="0.25">
      <c r="A28" s="8" t="s">
        <v>5057</v>
      </c>
      <c r="B28" s="8">
        <v>2</v>
      </c>
      <c r="C28" s="8">
        <v>14</v>
      </c>
      <c r="D28" s="8" t="s">
        <v>4457</v>
      </c>
      <c r="E28" s="8">
        <v>1788</v>
      </c>
      <c r="F28" s="12"/>
      <c r="G28" s="8">
        <v>2</v>
      </c>
      <c r="H28" s="8">
        <v>1</v>
      </c>
      <c r="I28" s="8">
        <f t="shared" si="5"/>
        <v>2</v>
      </c>
      <c r="J28" s="8">
        <v>0</v>
      </c>
      <c r="K28" s="8">
        <v>0</v>
      </c>
      <c r="L28" s="8">
        <f t="shared" si="6"/>
        <v>2</v>
      </c>
      <c r="M28" t="s">
        <v>5076</v>
      </c>
    </row>
    <row r="29" spans="1:13" x14ac:dyDescent="0.25">
      <c r="A29" s="8" t="s">
        <v>5057</v>
      </c>
      <c r="B29" s="8">
        <v>2</v>
      </c>
      <c r="C29" s="8">
        <v>14</v>
      </c>
      <c r="D29" s="8" t="s">
        <v>4451</v>
      </c>
      <c r="E29" s="15">
        <v>1533</v>
      </c>
      <c r="F29" s="12"/>
      <c r="G29" s="8">
        <v>0</v>
      </c>
      <c r="H29" s="8">
        <v>1</v>
      </c>
      <c r="I29" s="8">
        <f t="shared" si="5"/>
        <v>0</v>
      </c>
      <c r="J29" s="8">
        <v>1</v>
      </c>
      <c r="K29" s="8">
        <v>0</v>
      </c>
      <c r="L29" s="8">
        <f t="shared" si="6"/>
        <v>1</v>
      </c>
      <c r="M29" t="s">
        <v>5079</v>
      </c>
    </row>
    <row r="30" spans="1:13" x14ac:dyDescent="0.25">
      <c r="A30" t="s">
        <v>5057</v>
      </c>
      <c r="B30">
        <v>2</v>
      </c>
      <c r="C30">
        <v>14</v>
      </c>
      <c r="D30" t="s">
        <v>4451</v>
      </c>
      <c r="E30">
        <v>1574</v>
      </c>
      <c r="F30" s="3"/>
      <c r="G30" s="7">
        <v>4</v>
      </c>
      <c r="H30">
        <v>2</v>
      </c>
      <c r="I30">
        <f t="shared" si="5"/>
        <v>8</v>
      </c>
      <c r="J30">
        <v>0</v>
      </c>
      <c r="K30">
        <v>0</v>
      </c>
      <c r="L30">
        <f t="shared" si="6"/>
        <v>8</v>
      </c>
      <c r="M30" t="s">
        <v>5075</v>
      </c>
    </row>
    <row r="31" spans="1:13" x14ac:dyDescent="0.25">
      <c r="A31" t="s">
        <v>5057</v>
      </c>
      <c r="B31">
        <v>2</v>
      </c>
      <c r="C31">
        <v>14</v>
      </c>
      <c r="D31" t="s">
        <v>4451</v>
      </c>
      <c r="E31">
        <v>1571</v>
      </c>
      <c r="F31" s="3"/>
      <c r="G31" s="7">
        <v>10</v>
      </c>
      <c r="H31">
        <v>3</v>
      </c>
      <c r="I31">
        <f t="shared" si="5"/>
        <v>30</v>
      </c>
      <c r="J31">
        <v>0</v>
      </c>
      <c r="K31">
        <v>0</v>
      </c>
      <c r="L31">
        <f t="shared" si="6"/>
        <v>30</v>
      </c>
      <c r="M31" t="s">
        <v>5075</v>
      </c>
    </row>
    <row r="32" spans="1:13" x14ac:dyDescent="0.25">
      <c r="A32" t="s">
        <v>5057</v>
      </c>
      <c r="B32">
        <v>2</v>
      </c>
      <c r="C32">
        <v>14</v>
      </c>
      <c r="D32" t="s">
        <v>4451</v>
      </c>
      <c r="E32">
        <v>1570</v>
      </c>
      <c r="F32" s="3"/>
      <c r="G32" s="7">
        <v>13</v>
      </c>
      <c r="H32">
        <v>3</v>
      </c>
      <c r="I32">
        <f t="shared" si="5"/>
        <v>39</v>
      </c>
      <c r="J32">
        <v>2</v>
      </c>
      <c r="K32">
        <v>0</v>
      </c>
      <c r="L32">
        <f t="shared" si="6"/>
        <v>41</v>
      </c>
      <c r="M32" t="s">
        <v>5075</v>
      </c>
    </row>
    <row r="33" spans="1:13" x14ac:dyDescent="0.25">
      <c r="A33" t="s">
        <v>5057</v>
      </c>
      <c r="B33">
        <v>2</v>
      </c>
      <c r="C33">
        <v>14</v>
      </c>
      <c r="D33" t="s">
        <v>4451</v>
      </c>
      <c r="E33">
        <v>1569</v>
      </c>
      <c r="F33" s="3"/>
      <c r="G33" s="7">
        <v>2</v>
      </c>
      <c r="H33">
        <v>3</v>
      </c>
      <c r="I33">
        <f t="shared" si="5"/>
        <v>6</v>
      </c>
      <c r="J33">
        <v>2</v>
      </c>
      <c r="K33">
        <v>0</v>
      </c>
      <c r="L33">
        <f t="shared" si="6"/>
        <v>8</v>
      </c>
      <c r="M33" t="s">
        <v>5075</v>
      </c>
    </row>
    <row r="34" spans="1:13" x14ac:dyDescent="0.25">
      <c r="A34" t="s">
        <v>5057</v>
      </c>
      <c r="B34">
        <v>2</v>
      </c>
      <c r="C34">
        <v>14</v>
      </c>
      <c r="D34" t="s">
        <v>4451</v>
      </c>
      <c r="E34">
        <v>1577</v>
      </c>
      <c r="F34" s="3"/>
      <c r="G34" s="7">
        <v>5</v>
      </c>
      <c r="H34">
        <v>3</v>
      </c>
      <c r="I34">
        <f t="shared" si="5"/>
        <v>15</v>
      </c>
      <c r="J34">
        <v>0</v>
      </c>
      <c r="K34">
        <v>0</v>
      </c>
      <c r="L34">
        <f t="shared" si="6"/>
        <v>15</v>
      </c>
      <c r="M34" t="s">
        <v>5075</v>
      </c>
    </row>
    <row r="35" spans="1:13" x14ac:dyDescent="0.25">
      <c r="A35" t="s">
        <v>5057</v>
      </c>
      <c r="B35">
        <v>2</v>
      </c>
      <c r="C35">
        <v>14</v>
      </c>
      <c r="D35" t="s">
        <v>4451</v>
      </c>
      <c r="E35" s="6">
        <v>1523</v>
      </c>
      <c r="F35" s="3"/>
      <c r="G35" s="7">
        <v>13</v>
      </c>
      <c r="H35">
        <v>6</v>
      </c>
      <c r="I35">
        <f t="shared" si="5"/>
        <v>78</v>
      </c>
      <c r="J35">
        <v>3</v>
      </c>
      <c r="K35">
        <v>0</v>
      </c>
      <c r="L35">
        <f t="shared" si="6"/>
        <v>81</v>
      </c>
      <c r="M35" t="s">
        <v>5075</v>
      </c>
    </row>
    <row r="36" spans="1:13" x14ac:dyDescent="0.25">
      <c r="A36" t="s">
        <v>5057</v>
      </c>
      <c r="B36">
        <v>2</v>
      </c>
      <c r="C36">
        <v>14</v>
      </c>
      <c r="D36" t="s">
        <v>4451</v>
      </c>
      <c r="E36">
        <v>1576</v>
      </c>
      <c r="F36" s="3"/>
      <c r="G36" s="7">
        <v>2</v>
      </c>
      <c r="H36">
        <v>3</v>
      </c>
      <c r="I36">
        <f t="shared" si="5"/>
        <v>6</v>
      </c>
      <c r="J36">
        <v>1</v>
      </c>
      <c r="K36">
        <v>0</v>
      </c>
      <c r="L36">
        <f t="shared" si="6"/>
        <v>7</v>
      </c>
      <c r="M36" t="s">
        <v>5075</v>
      </c>
    </row>
    <row r="37" spans="1:13" x14ac:dyDescent="0.25">
      <c r="A37" t="s">
        <v>5057</v>
      </c>
      <c r="B37">
        <v>2</v>
      </c>
      <c r="C37">
        <v>14</v>
      </c>
      <c r="D37" t="s">
        <v>4451</v>
      </c>
      <c r="E37">
        <v>1567</v>
      </c>
      <c r="F37" s="3"/>
      <c r="G37" s="7">
        <v>5</v>
      </c>
      <c r="H37">
        <v>4</v>
      </c>
      <c r="I37">
        <f t="shared" si="5"/>
        <v>20</v>
      </c>
      <c r="J37">
        <v>0</v>
      </c>
      <c r="K37">
        <v>0</v>
      </c>
      <c r="L37">
        <f t="shared" si="6"/>
        <v>20</v>
      </c>
      <c r="M37" t="s">
        <v>5075</v>
      </c>
    </row>
    <row r="38" spans="1:13" x14ac:dyDescent="0.25">
      <c r="A38" t="s">
        <v>5057</v>
      </c>
      <c r="B38">
        <v>2</v>
      </c>
      <c r="C38">
        <v>14</v>
      </c>
      <c r="D38" t="s">
        <v>4451</v>
      </c>
      <c r="E38">
        <v>1566</v>
      </c>
      <c r="F38" s="3"/>
      <c r="G38" s="7">
        <v>12</v>
      </c>
      <c r="H38">
        <v>4</v>
      </c>
      <c r="I38">
        <f t="shared" si="5"/>
        <v>48</v>
      </c>
      <c r="J38">
        <v>3</v>
      </c>
      <c r="K38">
        <v>0</v>
      </c>
      <c r="L38">
        <f t="shared" si="6"/>
        <v>51</v>
      </c>
      <c r="M38" t="s">
        <v>5075</v>
      </c>
    </row>
    <row r="39" spans="1:13" x14ac:dyDescent="0.25">
      <c r="A39" t="s">
        <v>5057</v>
      </c>
      <c r="B39">
        <v>2</v>
      </c>
      <c r="C39">
        <v>14</v>
      </c>
      <c r="D39" t="s">
        <v>4451</v>
      </c>
      <c r="E39">
        <v>1565</v>
      </c>
      <c r="F39" s="3"/>
      <c r="G39" s="7">
        <v>1</v>
      </c>
      <c r="H39">
        <v>4</v>
      </c>
      <c r="I39">
        <f t="shared" si="5"/>
        <v>4</v>
      </c>
      <c r="J39">
        <v>0</v>
      </c>
      <c r="K39">
        <v>0</v>
      </c>
      <c r="L39">
        <f t="shared" si="6"/>
        <v>4</v>
      </c>
      <c r="M39" t="s">
        <v>5075</v>
      </c>
    </row>
    <row r="40" spans="1:13" x14ac:dyDescent="0.25">
      <c r="A40" t="s">
        <v>5057</v>
      </c>
      <c r="B40">
        <v>2</v>
      </c>
      <c r="C40">
        <v>14</v>
      </c>
      <c r="D40" t="s">
        <v>4451</v>
      </c>
      <c r="E40">
        <v>1564</v>
      </c>
      <c r="F40" s="3"/>
      <c r="G40" s="7">
        <v>7</v>
      </c>
      <c r="H40">
        <v>4</v>
      </c>
      <c r="I40">
        <f t="shared" si="5"/>
        <v>28</v>
      </c>
      <c r="J40">
        <v>1</v>
      </c>
      <c r="K40">
        <v>0</v>
      </c>
      <c r="L40">
        <f t="shared" si="6"/>
        <v>29</v>
      </c>
      <c r="M40" t="s">
        <v>5075</v>
      </c>
    </row>
    <row r="41" spans="1:13" x14ac:dyDescent="0.25">
      <c r="A41" t="s">
        <v>5057</v>
      </c>
      <c r="B41">
        <v>2</v>
      </c>
      <c r="C41">
        <v>14</v>
      </c>
      <c r="D41" t="s">
        <v>4451</v>
      </c>
      <c r="E41">
        <v>1522</v>
      </c>
      <c r="F41" s="3"/>
      <c r="G41">
        <v>6</v>
      </c>
      <c r="H41">
        <v>6</v>
      </c>
      <c r="I41">
        <f t="shared" si="5"/>
        <v>36</v>
      </c>
      <c r="J41">
        <v>0</v>
      </c>
      <c r="K41">
        <v>0</v>
      </c>
      <c r="L41">
        <f t="shared" si="6"/>
        <v>36</v>
      </c>
      <c r="M41" t="s">
        <v>5075</v>
      </c>
    </row>
    <row r="42" spans="1:13" x14ac:dyDescent="0.25">
      <c r="A42" s="8" t="s">
        <v>5057</v>
      </c>
      <c r="B42" s="8">
        <v>2</v>
      </c>
      <c r="C42" s="8">
        <v>15</v>
      </c>
      <c r="D42" s="8" t="s">
        <v>4457</v>
      </c>
      <c r="E42" s="8">
        <v>1714</v>
      </c>
      <c r="F42" s="12"/>
      <c r="G42" s="8">
        <v>8</v>
      </c>
      <c r="H42" s="8">
        <v>1</v>
      </c>
      <c r="I42" s="8">
        <f>G42*H42</f>
        <v>8</v>
      </c>
      <c r="J42" s="8">
        <v>0</v>
      </c>
      <c r="K42" s="8">
        <v>0</v>
      </c>
      <c r="L42" s="8">
        <f>I42+J42+K42</f>
        <v>8</v>
      </c>
      <c r="M42" t="s">
        <v>5076</v>
      </c>
    </row>
    <row r="43" spans="1:13" x14ac:dyDescent="0.25">
      <c r="A43" t="s">
        <v>5057</v>
      </c>
      <c r="B43">
        <v>2</v>
      </c>
      <c r="C43">
        <v>15</v>
      </c>
      <c r="D43" t="s">
        <v>4457</v>
      </c>
      <c r="E43">
        <v>1726</v>
      </c>
      <c r="F43" s="3"/>
      <c r="G43">
        <v>8</v>
      </c>
      <c r="H43">
        <v>4</v>
      </c>
      <c r="I43">
        <f t="shared" ref="I43:I77" si="7">G43*H43</f>
        <v>32</v>
      </c>
      <c r="J43">
        <v>1</v>
      </c>
      <c r="K43">
        <v>0</v>
      </c>
      <c r="L43" s="8">
        <f t="shared" ref="L43:L77" si="8">I43+J43+K43</f>
        <v>33</v>
      </c>
      <c r="M43" t="s">
        <v>5075</v>
      </c>
    </row>
    <row r="44" spans="1:13" x14ac:dyDescent="0.25">
      <c r="A44" t="s">
        <v>5057</v>
      </c>
      <c r="B44">
        <v>2</v>
      </c>
      <c r="C44">
        <v>15</v>
      </c>
      <c r="D44" t="s">
        <v>4457</v>
      </c>
      <c r="E44">
        <v>1725</v>
      </c>
      <c r="F44" s="3"/>
      <c r="G44">
        <v>6</v>
      </c>
      <c r="H44">
        <v>3</v>
      </c>
      <c r="I44">
        <f t="shared" si="7"/>
        <v>18</v>
      </c>
      <c r="J44">
        <v>1</v>
      </c>
      <c r="K44">
        <v>0</v>
      </c>
      <c r="L44" s="8">
        <f t="shared" si="8"/>
        <v>19</v>
      </c>
      <c r="M44" t="s">
        <v>5075</v>
      </c>
    </row>
    <row r="45" spans="1:13" x14ac:dyDescent="0.25">
      <c r="A45" t="s">
        <v>5057</v>
      </c>
      <c r="B45">
        <v>2</v>
      </c>
      <c r="C45">
        <v>15</v>
      </c>
      <c r="D45" t="s">
        <v>4457</v>
      </c>
      <c r="E45">
        <v>1724</v>
      </c>
      <c r="F45" s="3"/>
      <c r="G45">
        <v>4</v>
      </c>
      <c r="H45">
        <v>4</v>
      </c>
      <c r="I45">
        <f t="shared" si="7"/>
        <v>16</v>
      </c>
      <c r="J45">
        <v>3</v>
      </c>
      <c r="K45">
        <v>0</v>
      </c>
      <c r="L45" s="8">
        <f t="shared" si="8"/>
        <v>19</v>
      </c>
      <c r="M45" t="s">
        <v>5075</v>
      </c>
    </row>
    <row r="46" spans="1:13" x14ac:dyDescent="0.25">
      <c r="A46" t="s">
        <v>5057</v>
      </c>
      <c r="B46">
        <v>2</v>
      </c>
      <c r="C46">
        <v>15</v>
      </c>
      <c r="D46" t="s">
        <v>4457</v>
      </c>
      <c r="E46">
        <v>1723</v>
      </c>
      <c r="F46" s="3"/>
      <c r="G46">
        <v>6</v>
      </c>
      <c r="H46">
        <v>4</v>
      </c>
      <c r="I46">
        <f t="shared" si="7"/>
        <v>24</v>
      </c>
      <c r="J46">
        <v>0</v>
      </c>
      <c r="K46">
        <v>0</v>
      </c>
      <c r="L46" s="8">
        <f t="shared" si="8"/>
        <v>24</v>
      </c>
      <c r="M46" t="s">
        <v>5075</v>
      </c>
    </row>
    <row r="47" spans="1:13" x14ac:dyDescent="0.25">
      <c r="A47" t="s">
        <v>5057</v>
      </c>
      <c r="B47">
        <v>2</v>
      </c>
      <c r="C47">
        <v>15</v>
      </c>
      <c r="D47" t="s">
        <v>4457</v>
      </c>
      <c r="E47">
        <v>1722</v>
      </c>
      <c r="F47" s="3"/>
      <c r="G47">
        <v>3</v>
      </c>
      <c r="H47">
        <v>4</v>
      </c>
      <c r="I47">
        <f t="shared" si="7"/>
        <v>12</v>
      </c>
      <c r="J47">
        <v>2</v>
      </c>
      <c r="K47">
        <v>0</v>
      </c>
      <c r="L47" s="8">
        <f t="shared" si="8"/>
        <v>14</v>
      </c>
      <c r="M47" t="s">
        <v>5075</v>
      </c>
    </row>
    <row r="48" spans="1:13" x14ac:dyDescent="0.25">
      <c r="A48" t="s">
        <v>5057</v>
      </c>
      <c r="B48">
        <v>2</v>
      </c>
      <c r="C48">
        <v>15</v>
      </c>
      <c r="D48" t="s">
        <v>4457</v>
      </c>
      <c r="E48">
        <v>1721</v>
      </c>
      <c r="F48" s="3"/>
      <c r="G48">
        <v>6</v>
      </c>
      <c r="H48">
        <v>4</v>
      </c>
      <c r="I48">
        <f t="shared" si="7"/>
        <v>24</v>
      </c>
      <c r="J48">
        <v>3</v>
      </c>
      <c r="K48">
        <v>0</v>
      </c>
      <c r="L48" s="8">
        <f t="shared" si="8"/>
        <v>27</v>
      </c>
      <c r="M48" t="s">
        <v>5075</v>
      </c>
    </row>
    <row r="49" spans="1:13" x14ac:dyDescent="0.25">
      <c r="A49" s="8" t="s">
        <v>5057</v>
      </c>
      <c r="B49" s="8">
        <v>2</v>
      </c>
      <c r="C49" s="8">
        <v>15</v>
      </c>
      <c r="D49" s="8" t="s">
        <v>4457</v>
      </c>
      <c r="E49" s="8">
        <v>1720</v>
      </c>
      <c r="F49" s="12"/>
      <c r="G49" s="8">
        <v>9</v>
      </c>
      <c r="H49" s="8">
        <v>1</v>
      </c>
      <c r="I49" s="8">
        <f t="shared" si="7"/>
        <v>9</v>
      </c>
      <c r="J49" s="8">
        <v>3</v>
      </c>
      <c r="K49" s="8">
        <v>0</v>
      </c>
      <c r="L49" s="8">
        <f t="shared" si="8"/>
        <v>12</v>
      </c>
      <c r="M49" t="s">
        <v>5076</v>
      </c>
    </row>
    <row r="50" spans="1:13" x14ac:dyDescent="0.25">
      <c r="A50" t="s">
        <v>5057</v>
      </c>
      <c r="B50">
        <v>2</v>
      </c>
      <c r="C50">
        <v>15</v>
      </c>
      <c r="D50" t="s">
        <v>4457</v>
      </c>
      <c r="E50">
        <v>1733</v>
      </c>
      <c r="F50" s="3"/>
      <c r="G50">
        <v>17</v>
      </c>
      <c r="H50">
        <v>3</v>
      </c>
      <c r="I50">
        <f t="shared" si="7"/>
        <v>51</v>
      </c>
      <c r="J50">
        <v>1</v>
      </c>
      <c r="K50">
        <v>0</v>
      </c>
      <c r="L50" s="8">
        <f t="shared" si="8"/>
        <v>52</v>
      </c>
      <c r="M50" t="s">
        <v>5075</v>
      </c>
    </row>
    <row r="51" spans="1:13" x14ac:dyDescent="0.25">
      <c r="A51" t="s">
        <v>5057</v>
      </c>
      <c r="B51">
        <v>2</v>
      </c>
      <c r="C51">
        <v>15</v>
      </c>
      <c r="D51" t="s">
        <v>4457</v>
      </c>
      <c r="E51">
        <v>1732</v>
      </c>
      <c r="F51" s="3"/>
      <c r="G51">
        <v>9</v>
      </c>
      <c r="H51">
        <v>3</v>
      </c>
      <c r="I51">
        <f t="shared" si="7"/>
        <v>27</v>
      </c>
      <c r="J51">
        <v>0</v>
      </c>
      <c r="K51">
        <v>0</v>
      </c>
      <c r="L51" s="8">
        <f t="shared" si="8"/>
        <v>27</v>
      </c>
      <c r="M51" t="s">
        <v>5075</v>
      </c>
    </row>
    <row r="52" spans="1:13" x14ac:dyDescent="0.25">
      <c r="A52" t="s">
        <v>5057</v>
      </c>
      <c r="B52">
        <v>2</v>
      </c>
      <c r="C52">
        <v>15</v>
      </c>
      <c r="D52" t="s">
        <v>4457</v>
      </c>
      <c r="E52">
        <v>1731</v>
      </c>
      <c r="F52" s="3"/>
      <c r="G52">
        <v>6</v>
      </c>
      <c r="H52">
        <v>3</v>
      </c>
      <c r="I52">
        <f t="shared" si="7"/>
        <v>18</v>
      </c>
      <c r="J52">
        <v>1</v>
      </c>
      <c r="K52">
        <v>0</v>
      </c>
      <c r="L52" s="8">
        <f t="shared" si="8"/>
        <v>19</v>
      </c>
      <c r="M52" t="s">
        <v>5075</v>
      </c>
    </row>
    <row r="53" spans="1:13" x14ac:dyDescent="0.25">
      <c r="A53" s="8" t="s">
        <v>5057</v>
      </c>
      <c r="B53" s="8">
        <v>2</v>
      </c>
      <c r="C53" s="8">
        <v>15</v>
      </c>
      <c r="D53" s="8" t="s">
        <v>4457</v>
      </c>
      <c r="E53" s="8">
        <v>1730</v>
      </c>
      <c r="F53" s="12"/>
      <c r="G53" s="8">
        <v>2</v>
      </c>
      <c r="H53" s="8">
        <v>1</v>
      </c>
      <c r="I53" s="8">
        <f t="shared" si="7"/>
        <v>2</v>
      </c>
      <c r="J53" s="8">
        <v>0</v>
      </c>
      <c r="K53" s="8">
        <v>0</v>
      </c>
      <c r="L53" s="8">
        <f t="shared" si="8"/>
        <v>2</v>
      </c>
      <c r="M53" t="s">
        <v>5076</v>
      </c>
    </row>
    <row r="54" spans="1:13" x14ac:dyDescent="0.25">
      <c r="A54" t="s">
        <v>5057</v>
      </c>
      <c r="B54">
        <v>2</v>
      </c>
      <c r="C54">
        <v>15</v>
      </c>
      <c r="D54" t="s">
        <v>4457</v>
      </c>
      <c r="E54">
        <v>1659</v>
      </c>
      <c r="F54" s="3"/>
      <c r="G54">
        <v>0</v>
      </c>
      <c r="H54">
        <v>1</v>
      </c>
      <c r="I54">
        <f t="shared" si="7"/>
        <v>0</v>
      </c>
      <c r="J54">
        <v>1</v>
      </c>
      <c r="K54">
        <v>0</v>
      </c>
      <c r="L54" s="8">
        <f t="shared" si="8"/>
        <v>1</v>
      </c>
      <c r="M54" t="s">
        <v>5075</v>
      </c>
    </row>
    <row r="55" spans="1:13" x14ac:dyDescent="0.25">
      <c r="A55" s="8" t="s">
        <v>5057</v>
      </c>
      <c r="B55" s="8">
        <v>2</v>
      </c>
      <c r="C55" s="8">
        <v>15</v>
      </c>
      <c r="D55" s="8" t="s">
        <v>4457</v>
      </c>
      <c r="E55" s="8">
        <v>1931</v>
      </c>
      <c r="F55" s="12"/>
      <c r="G55" s="8">
        <v>2</v>
      </c>
      <c r="H55" s="8">
        <v>1</v>
      </c>
      <c r="I55" s="8">
        <f t="shared" si="7"/>
        <v>2</v>
      </c>
      <c r="J55" s="8">
        <v>0</v>
      </c>
      <c r="K55" s="8">
        <v>0</v>
      </c>
      <c r="L55" s="8">
        <f t="shared" si="8"/>
        <v>2</v>
      </c>
      <c r="M55" t="s">
        <v>5076</v>
      </c>
    </row>
    <row r="56" spans="1:13" x14ac:dyDescent="0.25">
      <c r="A56" t="s">
        <v>5057</v>
      </c>
      <c r="B56">
        <v>2</v>
      </c>
      <c r="C56">
        <v>15</v>
      </c>
      <c r="D56" t="s">
        <v>4457</v>
      </c>
      <c r="E56">
        <v>1699</v>
      </c>
      <c r="F56" s="3"/>
      <c r="G56" s="7">
        <v>0</v>
      </c>
      <c r="H56">
        <v>1</v>
      </c>
      <c r="I56">
        <f t="shared" si="7"/>
        <v>0</v>
      </c>
      <c r="J56">
        <v>372</v>
      </c>
      <c r="K56">
        <v>0</v>
      </c>
      <c r="L56" s="8">
        <f t="shared" si="8"/>
        <v>372</v>
      </c>
      <c r="M56" t="s">
        <v>5075</v>
      </c>
    </row>
    <row r="57" spans="1:13" x14ac:dyDescent="0.25">
      <c r="A57" t="s">
        <v>5057</v>
      </c>
      <c r="B57">
        <v>2</v>
      </c>
      <c r="C57">
        <v>15</v>
      </c>
      <c r="D57" t="s">
        <v>4457</v>
      </c>
      <c r="E57">
        <v>2006</v>
      </c>
      <c r="F57" s="3"/>
      <c r="G57">
        <v>0</v>
      </c>
      <c r="H57">
        <v>1</v>
      </c>
      <c r="I57">
        <f t="shared" si="7"/>
        <v>0</v>
      </c>
      <c r="J57">
        <v>100</v>
      </c>
      <c r="K57">
        <v>0</v>
      </c>
      <c r="L57" s="8">
        <f t="shared" si="8"/>
        <v>100</v>
      </c>
      <c r="M57" t="s">
        <v>5075</v>
      </c>
    </row>
    <row r="58" spans="1:13" x14ac:dyDescent="0.25">
      <c r="A58" t="s">
        <v>5057</v>
      </c>
      <c r="B58">
        <v>2</v>
      </c>
      <c r="C58">
        <v>15</v>
      </c>
      <c r="D58" t="s">
        <v>4451</v>
      </c>
      <c r="E58">
        <v>1562</v>
      </c>
      <c r="F58" s="3"/>
      <c r="G58">
        <v>12</v>
      </c>
      <c r="H58">
        <v>4</v>
      </c>
      <c r="I58">
        <f t="shared" si="7"/>
        <v>48</v>
      </c>
      <c r="J58">
        <v>1</v>
      </c>
      <c r="K58">
        <v>0</v>
      </c>
      <c r="L58" s="8">
        <f t="shared" si="8"/>
        <v>49</v>
      </c>
      <c r="M58" t="s">
        <v>5075</v>
      </c>
    </row>
    <row r="59" spans="1:13" x14ac:dyDescent="0.25">
      <c r="A59" t="s">
        <v>5057</v>
      </c>
      <c r="B59">
        <v>2</v>
      </c>
      <c r="C59">
        <v>15</v>
      </c>
      <c r="D59" t="s">
        <v>4451</v>
      </c>
      <c r="E59">
        <v>1521</v>
      </c>
      <c r="F59" s="3"/>
      <c r="G59">
        <v>7</v>
      </c>
      <c r="H59">
        <v>6</v>
      </c>
      <c r="I59">
        <f t="shared" si="7"/>
        <v>42</v>
      </c>
      <c r="J59">
        <v>0</v>
      </c>
      <c r="K59">
        <v>0</v>
      </c>
      <c r="L59" s="8">
        <f t="shared" si="8"/>
        <v>42</v>
      </c>
      <c r="M59" t="s">
        <v>5075</v>
      </c>
    </row>
    <row r="60" spans="1:13" x14ac:dyDescent="0.25">
      <c r="A60" s="8" t="s">
        <v>5057</v>
      </c>
      <c r="B60" s="8">
        <v>2</v>
      </c>
      <c r="C60" s="8">
        <v>15</v>
      </c>
      <c r="D60" s="8" t="s">
        <v>4451</v>
      </c>
      <c r="E60" s="8">
        <v>1561</v>
      </c>
      <c r="F60" s="12"/>
      <c r="G60" s="8">
        <v>5</v>
      </c>
      <c r="H60" s="8">
        <v>1</v>
      </c>
      <c r="I60" s="8">
        <f t="shared" si="7"/>
        <v>5</v>
      </c>
      <c r="J60" s="8">
        <v>0</v>
      </c>
      <c r="K60" s="8">
        <v>0</v>
      </c>
      <c r="L60" s="8">
        <f t="shared" si="8"/>
        <v>5</v>
      </c>
      <c r="M60" t="s">
        <v>5076</v>
      </c>
    </row>
    <row r="61" spans="1:13" x14ac:dyDescent="0.25">
      <c r="A61" s="8" t="s">
        <v>5057</v>
      </c>
      <c r="B61" s="8">
        <v>2</v>
      </c>
      <c r="C61" s="8">
        <v>15</v>
      </c>
      <c r="D61" s="8" t="s">
        <v>4451</v>
      </c>
      <c r="E61" s="8">
        <v>1520</v>
      </c>
      <c r="F61" s="12"/>
      <c r="G61" s="8">
        <v>6</v>
      </c>
      <c r="H61" s="8">
        <v>1</v>
      </c>
      <c r="I61" s="8">
        <f t="shared" si="7"/>
        <v>6</v>
      </c>
      <c r="J61" s="8">
        <v>0</v>
      </c>
      <c r="K61" s="8">
        <v>0</v>
      </c>
      <c r="L61" s="8">
        <f t="shared" si="8"/>
        <v>6</v>
      </c>
      <c r="M61" t="s">
        <v>5076</v>
      </c>
    </row>
    <row r="62" spans="1:13" x14ac:dyDescent="0.25">
      <c r="A62" t="s">
        <v>5057</v>
      </c>
      <c r="B62">
        <v>2</v>
      </c>
      <c r="C62">
        <v>15</v>
      </c>
      <c r="D62" t="s">
        <v>4451</v>
      </c>
      <c r="E62">
        <v>1974</v>
      </c>
      <c r="F62" s="3"/>
      <c r="G62">
        <v>0</v>
      </c>
      <c r="H62">
        <v>1</v>
      </c>
      <c r="I62">
        <f t="shared" si="7"/>
        <v>0</v>
      </c>
      <c r="J62">
        <v>3</v>
      </c>
      <c r="K62">
        <v>0</v>
      </c>
      <c r="L62">
        <f t="shared" si="8"/>
        <v>3</v>
      </c>
      <c r="M62" t="s">
        <v>5075</v>
      </c>
    </row>
    <row r="63" spans="1:13" x14ac:dyDescent="0.25">
      <c r="A63" t="s">
        <v>5057</v>
      </c>
      <c r="B63">
        <v>2</v>
      </c>
      <c r="C63">
        <v>15</v>
      </c>
      <c r="D63" t="s">
        <v>4451</v>
      </c>
      <c r="E63">
        <v>1942</v>
      </c>
      <c r="F63" s="3"/>
      <c r="G63">
        <v>0</v>
      </c>
      <c r="H63">
        <v>1</v>
      </c>
      <c r="I63">
        <f t="shared" si="7"/>
        <v>0</v>
      </c>
      <c r="J63">
        <v>22</v>
      </c>
      <c r="K63">
        <v>0</v>
      </c>
      <c r="L63">
        <f t="shared" si="8"/>
        <v>22</v>
      </c>
      <c r="M63" t="s">
        <v>5075</v>
      </c>
    </row>
    <row r="64" spans="1:13" x14ac:dyDescent="0.25">
      <c r="A64" t="s">
        <v>5057</v>
      </c>
      <c r="B64">
        <v>2</v>
      </c>
      <c r="C64">
        <v>15</v>
      </c>
      <c r="D64" t="s">
        <v>4451</v>
      </c>
      <c r="E64">
        <v>1941</v>
      </c>
      <c r="F64" s="3"/>
      <c r="G64">
        <v>0</v>
      </c>
      <c r="H64">
        <v>1</v>
      </c>
      <c r="I64">
        <f t="shared" si="7"/>
        <v>0</v>
      </c>
      <c r="J64">
        <v>12</v>
      </c>
      <c r="K64">
        <v>0</v>
      </c>
      <c r="L64">
        <f t="shared" si="8"/>
        <v>12</v>
      </c>
      <c r="M64" t="s">
        <v>5075</v>
      </c>
    </row>
    <row r="65" spans="1:13" x14ac:dyDescent="0.25">
      <c r="A65" t="s">
        <v>5057</v>
      </c>
      <c r="B65">
        <v>2</v>
      </c>
      <c r="C65">
        <v>15</v>
      </c>
      <c r="D65" t="s">
        <v>4451</v>
      </c>
      <c r="E65">
        <v>1962</v>
      </c>
      <c r="F65" s="3"/>
      <c r="G65">
        <v>0</v>
      </c>
      <c r="H65">
        <v>1</v>
      </c>
      <c r="I65">
        <f t="shared" si="7"/>
        <v>0</v>
      </c>
      <c r="J65">
        <v>10</v>
      </c>
      <c r="K65">
        <v>0</v>
      </c>
      <c r="L65">
        <f t="shared" si="8"/>
        <v>10</v>
      </c>
      <c r="M65" t="s">
        <v>5075</v>
      </c>
    </row>
    <row r="66" spans="1:13" x14ac:dyDescent="0.25">
      <c r="A66" t="s">
        <v>5057</v>
      </c>
      <c r="B66">
        <v>2</v>
      </c>
      <c r="C66">
        <v>15</v>
      </c>
      <c r="D66" t="s">
        <v>4451</v>
      </c>
      <c r="E66">
        <v>1966</v>
      </c>
      <c r="F66" s="3"/>
      <c r="G66">
        <v>0</v>
      </c>
      <c r="H66">
        <v>1</v>
      </c>
      <c r="I66">
        <f t="shared" si="7"/>
        <v>0</v>
      </c>
      <c r="J66">
        <v>4</v>
      </c>
      <c r="K66">
        <v>0</v>
      </c>
      <c r="L66">
        <f t="shared" si="8"/>
        <v>4</v>
      </c>
      <c r="M66" t="s">
        <v>5075</v>
      </c>
    </row>
    <row r="67" spans="1:13" x14ac:dyDescent="0.25">
      <c r="A67" t="s">
        <v>5057</v>
      </c>
      <c r="B67">
        <v>2</v>
      </c>
      <c r="C67">
        <v>15</v>
      </c>
      <c r="D67" t="s">
        <v>4451</v>
      </c>
      <c r="E67">
        <v>1943</v>
      </c>
      <c r="F67" s="3"/>
      <c r="G67">
        <v>0</v>
      </c>
      <c r="H67">
        <v>1</v>
      </c>
      <c r="I67">
        <f t="shared" si="7"/>
        <v>0</v>
      </c>
      <c r="J67">
        <v>1</v>
      </c>
      <c r="K67">
        <v>0</v>
      </c>
      <c r="L67">
        <f t="shared" si="8"/>
        <v>1</v>
      </c>
      <c r="M67" t="s">
        <v>5075</v>
      </c>
    </row>
    <row r="68" spans="1:13" x14ac:dyDescent="0.25">
      <c r="A68" t="s">
        <v>5057</v>
      </c>
      <c r="B68">
        <v>2</v>
      </c>
      <c r="C68">
        <v>15</v>
      </c>
      <c r="D68" t="s">
        <v>4451</v>
      </c>
      <c r="E68">
        <v>1965</v>
      </c>
      <c r="F68" s="3"/>
      <c r="G68">
        <v>0</v>
      </c>
      <c r="H68">
        <v>1</v>
      </c>
      <c r="I68">
        <f t="shared" si="7"/>
        <v>0</v>
      </c>
      <c r="J68">
        <v>3</v>
      </c>
      <c r="K68">
        <v>0</v>
      </c>
      <c r="L68">
        <f t="shared" si="8"/>
        <v>3</v>
      </c>
      <c r="M68" t="s">
        <v>5075</v>
      </c>
    </row>
    <row r="69" spans="1:13" x14ac:dyDescent="0.25">
      <c r="A69" t="s">
        <v>5057</v>
      </c>
      <c r="B69">
        <v>2</v>
      </c>
      <c r="C69">
        <v>15</v>
      </c>
      <c r="D69" t="s">
        <v>4451</v>
      </c>
      <c r="E69">
        <v>1951</v>
      </c>
      <c r="F69" s="3"/>
      <c r="G69">
        <v>0</v>
      </c>
      <c r="H69">
        <v>1</v>
      </c>
      <c r="I69">
        <f t="shared" si="7"/>
        <v>0</v>
      </c>
      <c r="J69">
        <v>8</v>
      </c>
      <c r="K69">
        <v>0</v>
      </c>
      <c r="L69">
        <f t="shared" si="8"/>
        <v>8</v>
      </c>
      <c r="M69" t="s">
        <v>5075</v>
      </c>
    </row>
    <row r="70" spans="1:13" x14ac:dyDescent="0.25">
      <c r="A70" t="s">
        <v>5057</v>
      </c>
      <c r="B70">
        <v>2</v>
      </c>
      <c r="C70">
        <v>15</v>
      </c>
      <c r="D70" t="s">
        <v>4451</v>
      </c>
      <c r="E70">
        <v>1944</v>
      </c>
      <c r="F70" s="3"/>
      <c r="G70">
        <v>0</v>
      </c>
      <c r="H70">
        <v>1</v>
      </c>
      <c r="I70">
        <f t="shared" si="7"/>
        <v>0</v>
      </c>
      <c r="J70">
        <v>8</v>
      </c>
      <c r="K70">
        <v>0</v>
      </c>
      <c r="L70">
        <f t="shared" si="8"/>
        <v>8</v>
      </c>
      <c r="M70" t="s">
        <v>5075</v>
      </c>
    </row>
    <row r="71" spans="1:13" x14ac:dyDescent="0.25">
      <c r="A71" t="s">
        <v>5057</v>
      </c>
      <c r="B71">
        <v>2</v>
      </c>
      <c r="C71">
        <v>15</v>
      </c>
      <c r="D71" t="s">
        <v>4451</v>
      </c>
      <c r="E71">
        <v>1946</v>
      </c>
      <c r="F71" s="3"/>
      <c r="G71">
        <v>0</v>
      </c>
      <c r="H71">
        <v>1</v>
      </c>
      <c r="I71">
        <f t="shared" si="7"/>
        <v>0</v>
      </c>
      <c r="J71">
        <v>15</v>
      </c>
      <c r="K71">
        <v>0</v>
      </c>
      <c r="L71">
        <f t="shared" si="8"/>
        <v>15</v>
      </c>
      <c r="M71" t="s">
        <v>5075</v>
      </c>
    </row>
    <row r="72" spans="1:13" x14ac:dyDescent="0.25">
      <c r="A72" t="s">
        <v>5057</v>
      </c>
      <c r="B72">
        <v>2</v>
      </c>
      <c r="C72">
        <v>15</v>
      </c>
      <c r="D72" t="s">
        <v>4451</v>
      </c>
      <c r="E72">
        <v>1961</v>
      </c>
      <c r="F72" s="3"/>
      <c r="G72">
        <v>0</v>
      </c>
      <c r="H72">
        <v>1</v>
      </c>
      <c r="I72">
        <f t="shared" si="7"/>
        <v>0</v>
      </c>
      <c r="J72">
        <v>34</v>
      </c>
      <c r="K72">
        <v>0</v>
      </c>
      <c r="L72">
        <f t="shared" si="8"/>
        <v>34</v>
      </c>
      <c r="M72" t="s">
        <v>5075</v>
      </c>
    </row>
    <row r="73" spans="1:13" x14ac:dyDescent="0.25">
      <c r="A73" t="s">
        <v>5057</v>
      </c>
      <c r="B73">
        <v>2</v>
      </c>
      <c r="C73">
        <v>15</v>
      </c>
      <c r="D73" t="s">
        <v>4451</v>
      </c>
      <c r="E73">
        <v>1973</v>
      </c>
      <c r="F73" s="3"/>
      <c r="G73">
        <v>0</v>
      </c>
      <c r="H73">
        <v>1</v>
      </c>
      <c r="I73">
        <f t="shared" si="7"/>
        <v>0</v>
      </c>
      <c r="J73">
        <v>26</v>
      </c>
      <c r="K73">
        <v>0</v>
      </c>
      <c r="L73">
        <f t="shared" si="8"/>
        <v>26</v>
      </c>
      <c r="M73" t="s">
        <v>5075</v>
      </c>
    </row>
    <row r="74" spans="1:13" x14ac:dyDescent="0.25">
      <c r="A74" s="51" t="s">
        <v>5057</v>
      </c>
      <c r="B74" s="51">
        <v>2</v>
      </c>
      <c r="C74" s="51">
        <v>15</v>
      </c>
      <c r="D74" s="51" t="s">
        <v>4451</v>
      </c>
      <c r="E74" s="51" t="s">
        <v>5056</v>
      </c>
      <c r="F74" s="51"/>
      <c r="G74" s="51">
        <v>0</v>
      </c>
      <c r="H74" s="51">
        <v>1</v>
      </c>
      <c r="I74" s="51">
        <f t="shared" si="7"/>
        <v>0</v>
      </c>
      <c r="J74" s="51">
        <v>19</v>
      </c>
      <c r="K74" s="51">
        <v>0</v>
      </c>
      <c r="L74" s="51">
        <f t="shared" si="8"/>
        <v>19</v>
      </c>
      <c r="M74" t="s">
        <v>5078</v>
      </c>
    </row>
    <row r="75" spans="1:13" x14ac:dyDescent="0.25">
      <c r="A75" t="s">
        <v>5057</v>
      </c>
      <c r="B75">
        <v>2</v>
      </c>
      <c r="C75">
        <v>15</v>
      </c>
      <c r="D75" t="s">
        <v>4451</v>
      </c>
      <c r="E75">
        <v>1950</v>
      </c>
      <c r="F75" s="3"/>
      <c r="G75">
        <v>0</v>
      </c>
      <c r="H75">
        <v>1</v>
      </c>
      <c r="I75">
        <f t="shared" si="7"/>
        <v>0</v>
      </c>
      <c r="J75">
        <v>9</v>
      </c>
      <c r="K75">
        <v>0</v>
      </c>
      <c r="L75">
        <f t="shared" si="8"/>
        <v>9</v>
      </c>
      <c r="M75" t="s">
        <v>5075</v>
      </c>
    </row>
    <row r="76" spans="1:13" x14ac:dyDescent="0.25">
      <c r="A76" t="s">
        <v>5057</v>
      </c>
      <c r="B76">
        <v>2</v>
      </c>
      <c r="C76">
        <v>15</v>
      </c>
      <c r="D76" t="s">
        <v>4451</v>
      </c>
      <c r="E76">
        <v>1964</v>
      </c>
      <c r="F76" s="3"/>
      <c r="G76">
        <v>0</v>
      </c>
      <c r="H76" s="7">
        <v>1</v>
      </c>
      <c r="I76">
        <f t="shared" si="7"/>
        <v>0</v>
      </c>
      <c r="J76">
        <v>9</v>
      </c>
      <c r="K76">
        <v>0</v>
      </c>
      <c r="L76">
        <f t="shared" si="8"/>
        <v>9</v>
      </c>
      <c r="M76" t="s">
        <v>5077</v>
      </c>
    </row>
    <row r="77" spans="1:13" x14ac:dyDescent="0.25">
      <c r="A77" t="s">
        <v>5057</v>
      </c>
      <c r="B77">
        <v>2</v>
      </c>
      <c r="C77">
        <v>15</v>
      </c>
      <c r="D77" t="s">
        <v>4451</v>
      </c>
      <c r="E77">
        <v>1943</v>
      </c>
      <c r="F77" s="3"/>
      <c r="G77">
        <v>0</v>
      </c>
      <c r="H77">
        <v>1</v>
      </c>
      <c r="I77">
        <f t="shared" si="7"/>
        <v>0</v>
      </c>
      <c r="J77">
        <v>12</v>
      </c>
      <c r="K77">
        <v>0</v>
      </c>
      <c r="L77">
        <f t="shared" si="8"/>
        <v>12</v>
      </c>
      <c r="M77" t="s">
        <v>5075</v>
      </c>
    </row>
    <row r="78" spans="1:13" x14ac:dyDescent="0.25">
      <c r="A78" t="s">
        <v>5057</v>
      </c>
      <c r="B78">
        <v>2</v>
      </c>
      <c r="C78">
        <v>27</v>
      </c>
      <c r="D78" t="s">
        <v>4451</v>
      </c>
      <c r="E78">
        <v>1202</v>
      </c>
      <c r="F78" s="3"/>
      <c r="G78">
        <v>0</v>
      </c>
      <c r="H78">
        <v>1</v>
      </c>
      <c r="I78">
        <f>G78*H78</f>
        <v>0</v>
      </c>
      <c r="J78">
        <v>8</v>
      </c>
      <c r="K78">
        <v>0</v>
      </c>
      <c r="L78">
        <f>I78+J78+K78</f>
        <v>8</v>
      </c>
      <c r="M78" t="s">
        <v>5075</v>
      </c>
    </row>
    <row r="79" spans="1:13" x14ac:dyDescent="0.25">
      <c r="A79" t="s">
        <v>5057</v>
      </c>
      <c r="B79">
        <v>2</v>
      </c>
      <c r="C79">
        <v>27</v>
      </c>
      <c r="D79" t="s">
        <v>4451</v>
      </c>
      <c r="E79">
        <v>1428</v>
      </c>
      <c r="F79" s="3"/>
      <c r="G79">
        <v>4</v>
      </c>
      <c r="H79">
        <v>10</v>
      </c>
      <c r="I79">
        <f>G79*H79</f>
        <v>40</v>
      </c>
      <c r="J79">
        <v>0</v>
      </c>
      <c r="K79">
        <v>0</v>
      </c>
      <c r="L79">
        <f>I79+J79+K79</f>
        <v>40</v>
      </c>
      <c r="M79" t="s">
        <v>5075</v>
      </c>
    </row>
    <row r="80" spans="1:13" x14ac:dyDescent="0.25">
      <c r="A80" t="s">
        <v>5057</v>
      </c>
      <c r="B80">
        <v>2</v>
      </c>
      <c r="C80">
        <v>27</v>
      </c>
      <c r="D80" t="s">
        <v>4451</v>
      </c>
      <c r="E80">
        <v>119801</v>
      </c>
      <c r="F80" s="3"/>
      <c r="G80">
        <v>1</v>
      </c>
      <c r="H80">
        <v>5</v>
      </c>
      <c r="I80">
        <f t="shared" ref="I80:I106" si="9">G80*H80</f>
        <v>5</v>
      </c>
      <c r="J80">
        <v>0</v>
      </c>
      <c r="K80">
        <v>0</v>
      </c>
      <c r="L80">
        <f t="shared" ref="L80:L104" si="10">I80+J80+K80</f>
        <v>5</v>
      </c>
      <c r="M80" t="s">
        <v>5075</v>
      </c>
    </row>
    <row r="81" spans="1:13" x14ac:dyDescent="0.25">
      <c r="A81" t="s">
        <v>5057</v>
      </c>
      <c r="B81">
        <v>2</v>
      </c>
      <c r="C81">
        <v>27</v>
      </c>
      <c r="D81" t="s">
        <v>4451</v>
      </c>
      <c r="E81">
        <v>1405</v>
      </c>
      <c r="F81" s="3"/>
      <c r="G81">
        <v>10</v>
      </c>
      <c r="H81">
        <v>10</v>
      </c>
      <c r="I81">
        <f t="shared" si="9"/>
        <v>100</v>
      </c>
      <c r="J81">
        <v>0</v>
      </c>
      <c r="K81">
        <v>0</v>
      </c>
      <c r="L81">
        <f t="shared" si="10"/>
        <v>100</v>
      </c>
      <c r="M81" t="s">
        <v>5075</v>
      </c>
    </row>
    <row r="82" spans="1:13" x14ac:dyDescent="0.25">
      <c r="A82" t="s">
        <v>5057</v>
      </c>
      <c r="B82">
        <v>2</v>
      </c>
      <c r="C82">
        <v>27</v>
      </c>
      <c r="D82" t="s">
        <v>4451</v>
      </c>
      <c r="E82">
        <v>1480</v>
      </c>
      <c r="F82" s="3"/>
      <c r="G82" s="7">
        <v>7</v>
      </c>
      <c r="H82">
        <v>5</v>
      </c>
      <c r="I82">
        <f t="shared" si="9"/>
        <v>35</v>
      </c>
      <c r="J82">
        <v>0</v>
      </c>
      <c r="K82">
        <v>0</v>
      </c>
      <c r="L82">
        <f t="shared" si="10"/>
        <v>35</v>
      </c>
      <c r="M82" t="s">
        <v>5075</v>
      </c>
    </row>
    <row r="83" spans="1:13" x14ac:dyDescent="0.25">
      <c r="A83" t="s">
        <v>5057</v>
      </c>
      <c r="B83">
        <v>2</v>
      </c>
      <c r="C83">
        <v>27</v>
      </c>
      <c r="D83" t="s">
        <v>4451</v>
      </c>
      <c r="E83">
        <v>1420</v>
      </c>
      <c r="F83" s="3"/>
      <c r="G83">
        <v>1</v>
      </c>
      <c r="H83">
        <v>10</v>
      </c>
      <c r="I83">
        <f t="shared" si="9"/>
        <v>10</v>
      </c>
      <c r="J83">
        <v>0</v>
      </c>
      <c r="K83">
        <v>0</v>
      </c>
      <c r="L83">
        <f t="shared" si="10"/>
        <v>10</v>
      </c>
      <c r="M83" t="s">
        <v>5075</v>
      </c>
    </row>
    <row r="84" spans="1:13" x14ac:dyDescent="0.25">
      <c r="A84" s="8" t="s">
        <v>5057</v>
      </c>
      <c r="B84" s="8">
        <v>2</v>
      </c>
      <c r="C84" s="8">
        <v>27</v>
      </c>
      <c r="D84" s="8" t="s">
        <v>4451</v>
      </c>
      <c r="E84" s="8">
        <v>1412</v>
      </c>
      <c r="F84" s="12"/>
      <c r="G84" s="15">
        <v>7</v>
      </c>
      <c r="H84" s="8">
        <v>1</v>
      </c>
      <c r="I84" s="8">
        <f t="shared" si="9"/>
        <v>7</v>
      </c>
      <c r="J84" s="8">
        <v>0</v>
      </c>
      <c r="K84" s="8">
        <v>0</v>
      </c>
      <c r="L84" s="8">
        <f t="shared" si="10"/>
        <v>7</v>
      </c>
      <c r="M84" t="s">
        <v>5076</v>
      </c>
    </row>
    <row r="85" spans="1:13" x14ac:dyDescent="0.25">
      <c r="A85" t="s">
        <v>5057</v>
      </c>
      <c r="B85">
        <v>2</v>
      </c>
      <c r="C85">
        <v>27</v>
      </c>
      <c r="D85" t="s">
        <v>4451</v>
      </c>
      <c r="E85">
        <v>1413</v>
      </c>
      <c r="F85" s="3"/>
      <c r="G85">
        <v>3</v>
      </c>
      <c r="H85">
        <v>10</v>
      </c>
      <c r="I85">
        <f t="shared" si="9"/>
        <v>30</v>
      </c>
      <c r="J85">
        <v>0</v>
      </c>
      <c r="K85">
        <v>0</v>
      </c>
      <c r="L85">
        <f t="shared" si="10"/>
        <v>30</v>
      </c>
      <c r="M85" t="s">
        <v>5075</v>
      </c>
    </row>
    <row r="86" spans="1:13" x14ac:dyDescent="0.25">
      <c r="A86" t="s">
        <v>5057</v>
      </c>
      <c r="B86">
        <v>2</v>
      </c>
      <c r="C86">
        <v>27</v>
      </c>
      <c r="D86" t="s">
        <v>4451</v>
      </c>
      <c r="E86">
        <v>1414</v>
      </c>
      <c r="F86" s="3"/>
      <c r="G86">
        <v>6</v>
      </c>
      <c r="H86">
        <v>2</v>
      </c>
      <c r="I86">
        <f t="shared" si="9"/>
        <v>12</v>
      </c>
      <c r="J86">
        <v>0</v>
      </c>
      <c r="K86">
        <v>0</v>
      </c>
      <c r="L86">
        <f t="shared" si="10"/>
        <v>12</v>
      </c>
      <c r="M86" t="s">
        <v>5075</v>
      </c>
    </row>
    <row r="87" spans="1:13" x14ac:dyDescent="0.25">
      <c r="A87" t="s">
        <v>5057</v>
      </c>
      <c r="B87">
        <v>2</v>
      </c>
      <c r="C87">
        <v>27</v>
      </c>
      <c r="D87" t="s">
        <v>4451</v>
      </c>
      <c r="E87">
        <v>1418</v>
      </c>
      <c r="F87" s="3"/>
      <c r="G87" s="7">
        <v>9</v>
      </c>
      <c r="H87">
        <v>10</v>
      </c>
      <c r="I87">
        <f t="shared" si="9"/>
        <v>90</v>
      </c>
      <c r="J87">
        <v>0</v>
      </c>
      <c r="K87">
        <v>0</v>
      </c>
      <c r="L87">
        <f t="shared" si="10"/>
        <v>90</v>
      </c>
      <c r="M87" t="s">
        <v>5075</v>
      </c>
    </row>
    <row r="88" spans="1:13" x14ac:dyDescent="0.25">
      <c r="A88" t="s">
        <v>5057</v>
      </c>
      <c r="B88">
        <v>2</v>
      </c>
      <c r="C88">
        <v>27</v>
      </c>
      <c r="D88" t="s">
        <v>4451</v>
      </c>
      <c r="E88">
        <v>1415</v>
      </c>
      <c r="F88" s="3"/>
      <c r="G88" s="8">
        <v>64</v>
      </c>
      <c r="H88">
        <v>2</v>
      </c>
      <c r="I88">
        <f t="shared" si="9"/>
        <v>128</v>
      </c>
      <c r="J88">
        <v>0</v>
      </c>
      <c r="K88">
        <v>0</v>
      </c>
      <c r="L88">
        <f t="shared" si="10"/>
        <v>128</v>
      </c>
      <c r="M88" t="s">
        <v>5075</v>
      </c>
    </row>
    <row r="89" spans="1:13" x14ac:dyDescent="0.25">
      <c r="A89" t="s">
        <v>5057</v>
      </c>
      <c r="B89">
        <v>2</v>
      </c>
      <c r="C89">
        <v>27</v>
      </c>
      <c r="D89" t="s">
        <v>4451</v>
      </c>
      <c r="E89">
        <v>1399</v>
      </c>
      <c r="F89" s="3"/>
      <c r="G89">
        <v>7</v>
      </c>
      <c r="H89">
        <v>10</v>
      </c>
      <c r="I89">
        <f t="shared" si="9"/>
        <v>70</v>
      </c>
      <c r="J89">
        <v>0</v>
      </c>
      <c r="K89">
        <v>0</v>
      </c>
      <c r="L89">
        <f t="shared" si="10"/>
        <v>70</v>
      </c>
      <c r="M89" t="s">
        <v>5075</v>
      </c>
    </row>
    <row r="90" spans="1:13" x14ac:dyDescent="0.25">
      <c r="A90" t="s">
        <v>5057</v>
      </c>
      <c r="B90">
        <v>2</v>
      </c>
      <c r="C90">
        <v>27</v>
      </c>
      <c r="D90" t="s">
        <v>4451</v>
      </c>
      <c r="E90">
        <v>1404</v>
      </c>
      <c r="F90" s="3"/>
      <c r="G90">
        <v>6</v>
      </c>
      <c r="H90">
        <v>10</v>
      </c>
      <c r="I90">
        <f t="shared" si="9"/>
        <v>60</v>
      </c>
      <c r="J90">
        <v>0</v>
      </c>
      <c r="K90">
        <v>0</v>
      </c>
      <c r="L90">
        <f t="shared" si="10"/>
        <v>60</v>
      </c>
      <c r="M90" t="s">
        <v>5075</v>
      </c>
    </row>
    <row r="91" spans="1:13" x14ac:dyDescent="0.25">
      <c r="A91" t="s">
        <v>5057</v>
      </c>
      <c r="B91">
        <v>2</v>
      </c>
      <c r="C91">
        <v>27</v>
      </c>
      <c r="D91" t="s">
        <v>4451</v>
      </c>
      <c r="E91">
        <v>1408</v>
      </c>
      <c r="F91" s="3"/>
      <c r="G91">
        <v>9</v>
      </c>
      <c r="H91">
        <v>10</v>
      </c>
      <c r="I91">
        <f t="shared" si="9"/>
        <v>90</v>
      </c>
      <c r="J91">
        <v>0</v>
      </c>
      <c r="K91">
        <v>0</v>
      </c>
      <c r="L91">
        <f t="shared" si="10"/>
        <v>90</v>
      </c>
      <c r="M91" t="s">
        <v>5075</v>
      </c>
    </row>
    <row r="92" spans="1:13" x14ac:dyDescent="0.25">
      <c r="A92" t="s">
        <v>5057</v>
      </c>
      <c r="B92">
        <v>2</v>
      </c>
      <c r="C92">
        <v>27</v>
      </c>
      <c r="D92" t="s">
        <v>4451</v>
      </c>
      <c r="E92">
        <v>1407</v>
      </c>
      <c r="F92" s="3"/>
      <c r="G92">
        <v>20</v>
      </c>
      <c r="H92">
        <v>10</v>
      </c>
      <c r="I92">
        <f t="shared" si="9"/>
        <v>200</v>
      </c>
      <c r="J92">
        <v>0</v>
      </c>
      <c r="K92">
        <v>0</v>
      </c>
      <c r="L92">
        <f t="shared" si="10"/>
        <v>200</v>
      </c>
      <c r="M92" t="s">
        <v>5075</v>
      </c>
    </row>
    <row r="93" spans="1:13" x14ac:dyDescent="0.25">
      <c r="A93" t="s">
        <v>5057</v>
      </c>
      <c r="B93">
        <v>2</v>
      </c>
      <c r="C93">
        <v>27</v>
      </c>
      <c r="D93" t="s">
        <v>4451</v>
      </c>
      <c r="E93">
        <v>1406</v>
      </c>
      <c r="F93" s="3"/>
      <c r="G93">
        <v>15</v>
      </c>
      <c r="H93">
        <v>10</v>
      </c>
      <c r="I93">
        <f t="shared" si="9"/>
        <v>150</v>
      </c>
      <c r="J93">
        <v>0</v>
      </c>
      <c r="K93">
        <v>0</v>
      </c>
      <c r="L93">
        <f t="shared" si="10"/>
        <v>150</v>
      </c>
      <c r="M93" t="s">
        <v>5075</v>
      </c>
    </row>
    <row r="94" spans="1:13" x14ac:dyDescent="0.25">
      <c r="A94" s="8" t="s">
        <v>5057</v>
      </c>
      <c r="B94" s="8">
        <v>2</v>
      </c>
      <c r="C94" s="8">
        <v>27</v>
      </c>
      <c r="D94" s="8" t="s">
        <v>4451</v>
      </c>
      <c r="E94" s="8">
        <v>1403</v>
      </c>
      <c r="F94" s="12"/>
      <c r="G94" s="15">
        <v>9</v>
      </c>
      <c r="H94" s="8">
        <v>1</v>
      </c>
      <c r="I94" s="8">
        <f t="shared" si="9"/>
        <v>9</v>
      </c>
      <c r="J94" s="8">
        <v>0</v>
      </c>
      <c r="K94" s="8">
        <v>0</v>
      </c>
      <c r="L94" s="8">
        <f t="shared" si="10"/>
        <v>9</v>
      </c>
      <c r="M94" t="s">
        <v>5076</v>
      </c>
    </row>
    <row r="95" spans="1:13" x14ac:dyDescent="0.25">
      <c r="A95" t="s">
        <v>5057</v>
      </c>
      <c r="B95">
        <v>2</v>
      </c>
      <c r="C95">
        <v>27</v>
      </c>
      <c r="D95" t="s">
        <v>4451</v>
      </c>
      <c r="E95">
        <v>1478</v>
      </c>
      <c r="F95" s="3"/>
      <c r="G95">
        <v>4</v>
      </c>
      <c r="H95">
        <v>10</v>
      </c>
      <c r="I95">
        <f t="shared" si="9"/>
        <v>40</v>
      </c>
      <c r="J95">
        <v>0</v>
      </c>
      <c r="K95">
        <v>0</v>
      </c>
      <c r="L95">
        <f t="shared" si="10"/>
        <v>40</v>
      </c>
      <c r="M95" t="s">
        <v>5075</v>
      </c>
    </row>
    <row r="96" spans="1:13" x14ac:dyDescent="0.25">
      <c r="A96" t="s">
        <v>5057</v>
      </c>
      <c r="B96">
        <v>2</v>
      </c>
      <c r="C96">
        <v>27</v>
      </c>
      <c r="D96" t="s">
        <v>4451</v>
      </c>
      <c r="E96">
        <v>1416</v>
      </c>
      <c r="F96" s="3"/>
      <c r="G96">
        <v>3</v>
      </c>
      <c r="H96">
        <v>10</v>
      </c>
      <c r="I96">
        <f t="shared" si="9"/>
        <v>30</v>
      </c>
      <c r="J96">
        <v>0</v>
      </c>
      <c r="K96">
        <v>0</v>
      </c>
      <c r="L96">
        <f t="shared" si="10"/>
        <v>30</v>
      </c>
      <c r="M96" t="s">
        <v>5075</v>
      </c>
    </row>
    <row r="97" spans="1:13" x14ac:dyDescent="0.25">
      <c r="A97" t="s">
        <v>5057</v>
      </c>
      <c r="B97">
        <v>2</v>
      </c>
      <c r="C97">
        <v>27</v>
      </c>
      <c r="D97" t="s">
        <v>4451</v>
      </c>
      <c r="E97">
        <v>14180</v>
      </c>
      <c r="F97" s="3"/>
      <c r="G97">
        <v>3</v>
      </c>
      <c r="H97">
        <v>10</v>
      </c>
      <c r="I97">
        <f t="shared" si="9"/>
        <v>30</v>
      </c>
      <c r="J97">
        <v>0</v>
      </c>
      <c r="K97">
        <v>0</v>
      </c>
      <c r="L97">
        <f t="shared" si="10"/>
        <v>30</v>
      </c>
      <c r="M97" t="s">
        <v>5075</v>
      </c>
    </row>
    <row r="98" spans="1:13" x14ac:dyDescent="0.25">
      <c r="A98" t="s">
        <v>5057</v>
      </c>
      <c r="B98">
        <v>2</v>
      </c>
      <c r="C98">
        <v>27</v>
      </c>
      <c r="D98" t="s">
        <v>4451</v>
      </c>
      <c r="E98">
        <v>1427</v>
      </c>
      <c r="F98" s="3"/>
      <c r="G98">
        <v>13</v>
      </c>
      <c r="H98">
        <v>10</v>
      </c>
      <c r="I98">
        <f t="shared" si="9"/>
        <v>130</v>
      </c>
      <c r="J98">
        <v>0</v>
      </c>
      <c r="K98">
        <v>0</v>
      </c>
      <c r="L98">
        <f t="shared" si="10"/>
        <v>130</v>
      </c>
      <c r="M98" t="s">
        <v>5075</v>
      </c>
    </row>
    <row r="99" spans="1:13" x14ac:dyDescent="0.25">
      <c r="A99" t="s">
        <v>5057</v>
      </c>
      <c r="B99">
        <v>2</v>
      </c>
      <c r="C99">
        <v>27</v>
      </c>
      <c r="D99" t="s">
        <v>4451</v>
      </c>
      <c r="E99">
        <v>1419</v>
      </c>
      <c r="F99" s="3"/>
      <c r="G99">
        <v>1</v>
      </c>
      <c r="H99">
        <v>10</v>
      </c>
      <c r="I99">
        <f t="shared" si="9"/>
        <v>10</v>
      </c>
      <c r="J99">
        <v>0</v>
      </c>
      <c r="K99">
        <v>0</v>
      </c>
      <c r="L99">
        <f t="shared" si="10"/>
        <v>10</v>
      </c>
      <c r="M99" t="s">
        <v>5075</v>
      </c>
    </row>
    <row r="100" spans="1:13" x14ac:dyDescent="0.25">
      <c r="A100" t="s">
        <v>5057</v>
      </c>
      <c r="B100">
        <v>2</v>
      </c>
      <c r="C100">
        <v>27</v>
      </c>
      <c r="D100" t="s">
        <v>4451</v>
      </c>
      <c r="E100">
        <v>1429</v>
      </c>
      <c r="F100" s="3"/>
      <c r="G100">
        <v>4</v>
      </c>
      <c r="H100">
        <v>1</v>
      </c>
      <c r="I100">
        <f t="shared" si="9"/>
        <v>4</v>
      </c>
      <c r="J100">
        <v>0</v>
      </c>
      <c r="K100">
        <v>0</v>
      </c>
      <c r="L100">
        <f t="shared" si="10"/>
        <v>4</v>
      </c>
      <c r="M100" t="s">
        <v>5075</v>
      </c>
    </row>
    <row r="101" spans="1:13" x14ac:dyDescent="0.25">
      <c r="A101" s="8" t="s">
        <v>5057</v>
      </c>
      <c r="B101" s="8">
        <v>2</v>
      </c>
      <c r="C101" s="8">
        <v>27</v>
      </c>
      <c r="D101" s="8" t="s">
        <v>4451</v>
      </c>
      <c r="E101" s="8">
        <v>1410</v>
      </c>
      <c r="F101" s="12"/>
      <c r="G101" s="8">
        <v>44</v>
      </c>
      <c r="H101" s="8">
        <v>1</v>
      </c>
      <c r="I101" s="8">
        <f t="shared" si="9"/>
        <v>44</v>
      </c>
      <c r="J101" s="8">
        <v>0</v>
      </c>
      <c r="K101" s="8">
        <v>0</v>
      </c>
      <c r="L101" s="8">
        <f t="shared" si="10"/>
        <v>44</v>
      </c>
      <c r="M101" t="s">
        <v>5076</v>
      </c>
    </row>
    <row r="102" spans="1:13" x14ac:dyDescent="0.25">
      <c r="A102" t="s">
        <v>5057</v>
      </c>
      <c r="B102">
        <v>2</v>
      </c>
      <c r="C102">
        <v>27</v>
      </c>
      <c r="D102" t="s">
        <v>4451</v>
      </c>
      <c r="E102">
        <v>1409</v>
      </c>
      <c r="F102" s="3"/>
      <c r="G102">
        <v>3</v>
      </c>
      <c r="H102">
        <v>1</v>
      </c>
      <c r="I102">
        <f t="shared" si="9"/>
        <v>3</v>
      </c>
      <c r="J102">
        <v>0</v>
      </c>
      <c r="K102">
        <v>0</v>
      </c>
      <c r="L102">
        <f t="shared" si="10"/>
        <v>3</v>
      </c>
      <c r="M102" t="s">
        <v>5075</v>
      </c>
    </row>
    <row r="103" spans="1:13" x14ac:dyDescent="0.25">
      <c r="A103" s="8" t="s">
        <v>5057</v>
      </c>
      <c r="B103" s="8">
        <v>2</v>
      </c>
      <c r="C103" s="8">
        <v>27</v>
      </c>
      <c r="D103" s="8" t="s">
        <v>4451</v>
      </c>
      <c r="E103" s="8">
        <v>1425</v>
      </c>
      <c r="F103" s="12"/>
      <c r="G103" s="8">
        <v>16</v>
      </c>
      <c r="H103" s="8">
        <v>1</v>
      </c>
      <c r="I103" s="8">
        <f t="shared" si="9"/>
        <v>16</v>
      </c>
      <c r="J103" s="8">
        <v>0</v>
      </c>
      <c r="K103" s="8">
        <v>0</v>
      </c>
      <c r="L103" s="8">
        <f t="shared" si="10"/>
        <v>16</v>
      </c>
      <c r="M103" t="s">
        <v>5076</v>
      </c>
    </row>
    <row r="104" spans="1:13" x14ac:dyDescent="0.25">
      <c r="A104" t="s">
        <v>5057</v>
      </c>
      <c r="B104">
        <v>2</v>
      </c>
      <c r="C104">
        <v>27</v>
      </c>
      <c r="D104" t="s">
        <v>4451</v>
      </c>
      <c r="E104">
        <v>1430</v>
      </c>
      <c r="F104" s="3"/>
      <c r="G104">
        <v>16</v>
      </c>
      <c r="H104">
        <v>10</v>
      </c>
      <c r="I104">
        <f t="shared" si="9"/>
        <v>160</v>
      </c>
      <c r="J104">
        <v>0</v>
      </c>
      <c r="K104">
        <v>0</v>
      </c>
      <c r="L104">
        <f t="shared" si="10"/>
        <v>160</v>
      </c>
      <c r="M104" t="s">
        <v>5075</v>
      </c>
    </row>
    <row r="105" spans="1:13" x14ac:dyDescent="0.25">
      <c r="A105" t="s">
        <v>5057</v>
      </c>
      <c r="B105">
        <v>2</v>
      </c>
      <c r="C105">
        <v>27</v>
      </c>
      <c r="D105" t="s">
        <v>4450</v>
      </c>
      <c r="E105">
        <v>7006</v>
      </c>
      <c r="F105" s="3"/>
      <c r="G105">
        <v>4</v>
      </c>
      <c r="H105">
        <v>200</v>
      </c>
      <c r="I105">
        <f t="shared" si="9"/>
        <v>800</v>
      </c>
      <c r="J105">
        <v>18</v>
      </c>
      <c r="K105">
        <v>0</v>
      </c>
      <c r="L105">
        <f t="shared" ref="L105:L106" si="11">I105+J105+K105</f>
        <v>818</v>
      </c>
      <c r="M105" t="s">
        <v>5075</v>
      </c>
    </row>
    <row r="106" spans="1:13" x14ac:dyDescent="0.25">
      <c r="A106" t="s">
        <v>5057</v>
      </c>
      <c r="B106">
        <v>2</v>
      </c>
      <c r="C106">
        <v>27</v>
      </c>
      <c r="D106" t="s">
        <v>4450</v>
      </c>
      <c r="E106">
        <v>7039</v>
      </c>
      <c r="F106" s="3"/>
      <c r="G106">
        <v>1</v>
      </c>
      <c r="H106">
        <v>100</v>
      </c>
      <c r="I106">
        <f t="shared" si="9"/>
        <v>100</v>
      </c>
      <c r="J106">
        <v>5</v>
      </c>
      <c r="K106">
        <v>0</v>
      </c>
      <c r="L106">
        <f t="shared" si="11"/>
        <v>105</v>
      </c>
      <c r="M106" t="s">
        <v>5075</v>
      </c>
    </row>
  </sheetData>
  <autoFilter ref="A1:L106" xr:uid="{B67B7A4E-46FA-46DD-AE4E-803DD9459D33}"/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0E6E6-A803-434C-BA7C-D359AA955913}">
  <dimension ref="A1:M181"/>
  <sheetViews>
    <sheetView topLeftCell="A153" workbookViewId="0"/>
  </sheetViews>
  <sheetFormatPr defaultColWidth="11.42578125" defaultRowHeight="15" x14ac:dyDescent="0.25"/>
  <cols>
    <col min="1" max="1" width="16.7109375" bestFit="1" customWidth="1"/>
    <col min="2" max="2" width="12.7109375" bestFit="1" customWidth="1"/>
    <col min="3" max="3" width="10" bestFit="1" customWidth="1"/>
    <col min="4" max="4" width="13.5703125" bestFit="1" customWidth="1"/>
    <col min="5" max="5" width="12.140625" bestFit="1" customWidth="1"/>
    <col min="6" max="6" width="13.42578125" bestFit="1" customWidth="1"/>
    <col min="7" max="7" width="11.140625" bestFit="1" customWidth="1"/>
    <col min="8" max="8" width="13" bestFit="1" customWidth="1"/>
    <col min="9" max="9" width="14.42578125" bestFit="1" customWidth="1"/>
    <col min="10" max="10" width="11.7109375" bestFit="1" customWidth="1"/>
    <col min="11" max="11" width="9.42578125" bestFit="1" customWidth="1"/>
    <col min="12" max="12" width="8.140625" bestFit="1" customWidth="1"/>
    <col min="13" max="13" width="24.5703125" bestFit="1" customWidth="1"/>
  </cols>
  <sheetData>
    <row r="1" spans="1:13" ht="15.75" x14ac:dyDescent="0.25">
      <c r="A1" s="28" t="s">
        <v>5044</v>
      </c>
      <c r="B1" s="28" t="s">
        <v>5054</v>
      </c>
      <c r="C1" s="28" t="s">
        <v>5055</v>
      </c>
      <c r="D1" s="28" t="s">
        <v>5045</v>
      </c>
      <c r="E1" s="28" t="s">
        <v>5046</v>
      </c>
      <c r="F1" s="28" t="s">
        <v>4434</v>
      </c>
      <c r="G1" s="28" t="s">
        <v>5047</v>
      </c>
      <c r="H1" s="28" t="s">
        <v>5048</v>
      </c>
      <c r="I1" s="28" t="s">
        <v>5049</v>
      </c>
      <c r="J1" s="28" t="s">
        <v>5050</v>
      </c>
      <c r="K1" s="28" t="s">
        <v>5051</v>
      </c>
      <c r="L1" s="28" t="s">
        <v>5052</v>
      </c>
      <c r="M1" s="28" t="s">
        <v>5058</v>
      </c>
    </row>
    <row r="2" spans="1:13" x14ac:dyDescent="0.25">
      <c r="A2" t="s">
        <v>5057</v>
      </c>
      <c r="B2">
        <v>3</v>
      </c>
      <c r="C2">
        <v>1</v>
      </c>
      <c r="D2" t="s">
        <v>4561</v>
      </c>
      <c r="E2">
        <v>1236</v>
      </c>
      <c r="F2" s="3"/>
      <c r="G2">
        <v>6</v>
      </c>
      <c r="H2">
        <v>1</v>
      </c>
      <c r="I2">
        <f>G2*H2</f>
        <v>6</v>
      </c>
      <c r="J2">
        <v>0</v>
      </c>
      <c r="K2">
        <v>0</v>
      </c>
      <c r="L2">
        <f>I2+J2+K2</f>
        <v>6</v>
      </c>
      <c r="M2" t="s">
        <v>5080</v>
      </c>
    </row>
    <row r="3" spans="1:13" x14ac:dyDescent="0.25">
      <c r="A3" t="s">
        <v>5057</v>
      </c>
      <c r="B3">
        <v>3</v>
      </c>
      <c r="C3">
        <v>1</v>
      </c>
      <c r="D3" t="s">
        <v>4561</v>
      </c>
      <c r="E3">
        <v>1196</v>
      </c>
      <c r="F3" s="3"/>
      <c r="G3">
        <v>11</v>
      </c>
      <c r="H3">
        <v>1</v>
      </c>
      <c r="I3">
        <f t="shared" ref="I3:I5" si="0">G3*H3</f>
        <v>11</v>
      </c>
      <c r="J3">
        <v>0</v>
      </c>
      <c r="K3">
        <v>0</v>
      </c>
      <c r="L3">
        <f t="shared" ref="L3:L65" si="1">I3+J3+K3</f>
        <v>11</v>
      </c>
      <c r="M3" t="s">
        <v>5080</v>
      </c>
    </row>
    <row r="4" spans="1:13" x14ac:dyDescent="0.25">
      <c r="A4" t="s">
        <v>5057</v>
      </c>
      <c r="B4">
        <v>3</v>
      </c>
      <c r="C4">
        <v>1</v>
      </c>
      <c r="D4" t="s">
        <v>4561</v>
      </c>
      <c r="E4">
        <v>7158</v>
      </c>
      <c r="F4" s="3"/>
      <c r="G4">
        <v>17</v>
      </c>
      <c r="H4">
        <v>1</v>
      </c>
      <c r="I4">
        <f t="shared" si="0"/>
        <v>17</v>
      </c>
      <c r="J4">
        <v>0</v>
      </c>
      <c r="K4">
        <v>0</v>
      </c>
      <c r="L4">
        <f t="shared" si="1"/>
        <v>17</v>
      </c>
      <c r="M4" t="s">
        <v>5080</v>
      </c>
    </row>
    <row r="5" spans="1:13" x14ac:dyDescent="0.25">
      <c r="A5" t="s">
        <v>5057</v>
      </c>
      <c r="B5">
        <v>3</v>
      </c>
      <c r="C5">
        <v>1</v>
      </c>
      <c r="D5" t="s">
        <v>4561</v>
      </c>
      <c r="E5">
        <v>3252</v>
      </c>
      <c r="F5" s="3"/>
      <c r="G5" s="7">
        <v>1</v>
      </c>
      <c r="H5">
        <v>20</v>
      </c>
      <c r="I5">
        <f t="shared" si="0"/>
        <v>20</v>
      </c>
      <c r="J5">
        <v>4</v>
      </c>
      <c r="K5">
        <v>0</v>
      </c>
      <c r="L5">
        <f t="shared" si="1"/>
        <v>24</v>
      </c>
      <c r="M5" t="s">
        <v>5080</v>
      </c>
    </row>
    <row r="6" spans="1:13" x14ac:dyDescent="0.25">
      <c r="A6" t="s">
        <v>5057</v>
      </c>
      <c r="B6">
        <v>3</v>
      </c>
      <c r="C6">
        <v>1</v>
      </c>
      <c r="D6" t="s">
        <v>4561</v>
      </c>
      <c r="E6" s="6" t="s">
        <v>5081</v>
      </c>
      <c r="F6" s="3"/>
      <c r="G6">
        <v>184</v>
      </c>
      <c r="H6">
        <v>1</v>
      </c>
      <c r="I6">
        <f t="shared" ref="I6:I15" si="2">G6*H6</f>
        <v>184</v>
      </c>
      <c r="J6">
        <v>0</v>
      </c>
      <c r="K6">
        <v>0</v>
      </c>
      <c r="L6">
        <f t="shared" si="1"/>
        <v>184</v>
      </c>
      <c r="M6" t="s">
        <v>5080</v>
      </c>
    </row>
    <row r="7" spans="1:13" x14ac:dyDescent="0.25">
      <c r="A7" t="s">
        <v>5057</v>
      </c>
      <c r="B7">
        <v>3</v>
      </c>
      <c r="C7">
        <v>1</v>
      </c>
      <c r="D7" t="s">
        <v>4561</v>
      </c>
      <c r="E7">
        <v>15141</v>
      </c>
      <c r="F7" s="3"/>
      <c r="G7">
        <v>4</v>
      </c>
      <c r="H7">
        <v>1</v>
      </c>
      <c r="I7">
        <f t="shared" si="2"/>
        <v>4</v>
      </c>
      <c r="J7">
        <v>0</v>
      </c>
      <c r="K7">
        <v>0</v>
      </c>
      <c r="L7">
        <f t="shared" si="1"/>
        <v>4</v>
      </c>
      <c r="M7" t="s">
        <v>5080</v>
      </c>
    </row>
    <row r="8" spans="1:13" x14ac:dyDescent="0.25">
      <c r="A8" t="s">
        <v>5057</v>
      </c>
      <c r="B8">
        <v>3</v>
      </c>
      <c r="C8">
        <v>1</v>
      </c>
      <c r="D8" t="s">
        <v>4561</v>
      </c>
      <c r="E8">
        <v>7163</v>
      </c>
      <c r="F8" s="3"/>
      <c r="G8">
        <v>405</v>
      </c>
      <c r="H8">
        <v>1</v>
      </c>
      <c r="I8">
        <f t="shared" si="2"/>
        <v>405</v>
      </c>
      <c r="J8">
        <v>0</v>
      </c>
      <c r="K8">
        <v>0</v>
      </c>
      <c r="L8">
        <f t="shared" si="1"/>
        <v>405</v>
      </c>
      <c r="M8" t="s">
        <v>5080</v>
      </c>
    </row>
    <row r="9" spans="1:13" x14ac:dyDescent="0.25">
      <c r="A9" t="s">
        <v>5057</v>
      </c>
      <c r="B9">
        <v>3</v>
      </c>
      <c r="C9">
        <v>1</v>
      </c>
      <c r="D9" t="s">
        <v>4561</v>
      </c>
      <c r="E9">
        <v>7164</v>
      </c>
      <c r="F9" s="3"/>
      <c r="G9">
        <v>31</v>
      </c>
      <c r="H9">
        <v>1</v>
      </c>
      <c r="I9">
        <f t="shared" si="2"/>
        <v>31</v>
      </c>
      <c r="J9">
        <v>0</v>
      </c>
      <c r="K9">
        <v>0</v>
      </c>
      <c r="L9">
        <f t="shared" si="1"/>
        <v>31</v>
      </c>
      <c r="M9" t="s">
        <v>5080</v>
      </c>
    </row>
    <row r="10" spans="1:13" x14ac:dyDescent="0.25">
      <c r="A10" t="s">
        <v>5057</v>
      </c>
      <c r="B10">
        <v>3</v>
      </c>
      <c r="C10">
        <v>1</v>
      </c>
      <c r="D10" t="s">
        <v>4561</v>
      </c>
      <c r="E10">
        <v>7165</v>
      </c>
      <c r="F10" s="3"/>
      <c r="G10">
        <v>31</v>
      </c>
      <c r="H10">
        <v>1</v>
      </c>
      <c r="I10">
        <f t="shared" si="2"/>
        <v>31</v>
      </c>
      <c r="J10">
        <v>0</v>
      </c>
      <c r="K10">
        <v>0</v>
      </c>
      <c r="L10">
        <f t="shared" si="1"/>
        <v>31</v>
      </c>
      <c r="M10" t="s">
        <v>5080</v>
      </c>
    </row>
    <row r="11" spans="1:13" x14ac:dyDescent="0.25">
      <c r="A11" t="s">
        <v>5057</v>
      </c>
      <c r="B11">
        <v>3</v>
      </c>
      <c r="C11">
        <v>1</v>
      </c>
      <c r="D11" t="s">
        <v>4561</v>
      </c>
      <c r="E11">
        <v>7160</v>
      </c>
      <c r="F11" s="3"/>
      <c r="G11">
        <v>17</v>
      </c>
      <c r="H11">
        <v>1</v>
      </c>
      <c r="I11">
        <f t="shared" si="2"/>
        <v>17</v>
      </c>
      <c r="J11">
        <v>0</v>
      </c>
      <c r="K11">
        <v>0</v>
      </c>
      <c r="L11">
        <f t="shared" si="1"/>
        <v>17</v>
      </c>
      <c r="M11" t="s">
        <v>5080</v>
      </c>
    </row>
    <row r="12" spans="1:13" x14ac:dyDescent="0.25">
      <c r="A12" t="s">
        <v>5057</v>
      </c>
      <c r="B12">
        <v>3</v>
      </c>
      <c r="C12">
        <v>1</v>
      </c>
      <c r="D12" t="s">
        <v>4561</v>
      </c>
      <c r="E12">
        <v>7166</v>
      </c>
      <c r="F12" s="3"/>
      <c r="G12">
        <v>9</v>
      </c>
      <c r="H12">
        <v>1</v>
      </c>
      <c r="I12">
        <f t="shared" si="2"/>
        <v>9</v>
      </c>
      <c r="J12">
        <v>0</v>
      </c>
      <c r="K12">
        <v>0</v>
      </c>
      <c r="L12">
        <f t="shared" si="1"/>
        <v>9</v>
      </c>
      <c r="M12" t="s">
        <v>5080</v>
      </c>
    </row>
    <row r="13" spans="1:13" x14ac:dyDescent="0.25">
      <c r="A13" t="s">
        <v>5057</v>
      </c>
      <c r="B13">
        <v>3</v>
      </c>
      <c r="C13">
        <v>1</v>
      </c>
      <c r="D13" t="s">
        <v>4561</v>
      </c>
      <c r="E13">
        <v>7173</v>
      </c>
      <c r="F13" s="3"/>
      <c r="G13">
        <v>15</v>
      </c>
      <c r="H13">
        <v>1</v>
      </c>
      <c r="I13">
        <f t="shared" si="2"/>
        <v>15</v>
      </c>
      <c r="J13">
        <v>0</v>
      </c>
      <c r="K13">
        <v>0</v>
      </c>
      <c r="L13">
        <f t="shared" si="1"/>
        <v>15</v>
      </c>
      <c r="M13" t="s">
        <v>5080</v>
      </c>
    </row>
    <row r="14" spans="1:13" x14ac:dyDescent="0.25">
      <c r="A14" t="s">
        <v>5057</v>
      </c>
      <c r="B14">
        <v>3</v>
      </c>
      <c r="C14">
        <v>1</v>
      </c>
      <c r="D14" t="s">
        <v>4561</v>
      </c>
      <c r="E14" s="6" t="s">
        <v>4563</v>
      </c>
      <c r="F14" s="3"/>
      <c r="G14" s="7">
        <v>2</v>
      </c>
      <c r="H14">
        <v>85</v>
      </c>
      <c r="I14">
        <f t="shared" si="2"/>
        <v>170</v>
      </c>
      <c r="J14">
        <v>44</v>
      </c>
      <c r="K14">
        <v>0</v>
      </c>
      <c r="L14">
        <f t="shared" si="1"/>
        <v>214</v>
      </c>
      <c r="M14" t="s">
        <v>5080</v>
      </c>
    </row>
    <row r="15" spans="1:13" x14ac:dyDescent="0.25">
      <c r="A15" t="s">
        <v>5057</v>
      </c>
      <c r="B15">
        <v>3</v>
      </c>
      <c r="C15">
        <v>2</v>
      </c>
      <c r="D15" t="s">
        <v>4561</v>
      </c>
      <c r="E15">
        <v>1223</v>
      </c>
      <c r="F15" s="3"/>
      <c r="G15">
        <v>12</v>
      </c>
      <c r="H15">
        <v>1</v>
      </c>
      <c r="I15">
        <f t="shared" si="2"/>
        <v>12</v>
      </c>
      <c r="J15">
        <v>0</v>
      </c>
      <c r="K15">
        <v>0</v>
      </c>
      <c r="L15">
        <f t="shared" si="1"/>
        <v>12</v>
      </c>
      <c r="M15" t="s">
        <v>5080</v>
      </c>
    </row>
    <row r="16" spans="1:13" x14ac:dyDescent="0.25">
      <c r="A16" t="s">
        <v>5057</v>
      </c>
      <c r="B16">
        <v>3</v>
      </c>
      <c r="C16">
        <v>2</v>
      </c>
      <c r="D16" t="s">
        <v>4561</v>
      </c>
      <c r="E16">
        <v>7071</v>
      </c>
      <c r="F16" s="3"/>
      <c r="G16">
        <v>5</v>
      </c>
      <c r="H16">
        <v>1</v>
      </c>
      <c r="I16">
        <f t="shared" ref="I16:I22" si="3">G16*H16</f>
        <v>5</v>
      </c>
      <c r="J16">
        <v>0</v>
      </c>
      <c r="K16">
        <v>0</v>
      </c>
      <c r="L16">
        <f t="shared" si="1"/>
        <v>5</v>
      </c>
      <c r="M16" t="s">
        <v>5080</v>
      </c>
    </row>
    <row r="17" spans="1:13" x14ac:dyDescent="0.25">
      <c r="A17" t="s">
        <v>5057</v>
      </c>
      <c r="B17">
        <v>3</v>
      </c>
      <c r="C17">
        <v>2</v>
      </c>
      <c r="D17" t="s">
        <v>4561</v>
      </c>
      <c r="E17">
        <v>7080</v>
      </c>
      <c r="F17" s="3"/>
      <c r="G17">
        <v>22</v>
      </c>
      <c r="H17">
        <v>1</v>
      </c>
      <c r="I17">
        <f t="shared" si="3"/>
        <v>22</v>
      </c>
      <c r="J17">
        <v>0</v>
      </c>
      <c r="K17">
        <v>0</v>
      </c>
      <c r="L17">
        <f t="shared" si="1"/>
        <v>22</v>
      </c>
      <c r="M17" t="s">
        <v>5080</v>
      </c>
    </row>
    <row r="18" spans="1:13" x14ac:dyDescent="0.25">
      <c r="A18" t="s">
        <v>5057</v>
      </c>
      <c r="B18">
        <v>3</v>
      </c>
      <c r="C18">
        <v>2</v>
      </c>
      <c r="D18" t="s">
        <v>4561</v>
      </c>
      <c r="E18">
        <v>7072</v>
      </c>
      <c r="F18" s="3"/>
      <c r="G18">
        <v>14</v>
      </c>
      <c r="H18">
        <v>1</v>
      </c>
      <c r="I18">
        <f t="shared" si="3"/>
        <v>14</v>
      </c>
      <c r="J18">
        <v>0</v>
      </c>
      <c r="K18">
        <v>0</v>
      </c>
      <c r="L18">
        <f t="shared" si="1"/>
        <v>14</v>
      </c>
      <c r="M18" t="s">
        <v>5080</v>
      </c>
    </row>
    <row r="19" spans="1:13" x14ac:dyDescent="0.25">
      <c r="A19" t="s">
        <v>5057</v>
      </c>
      <c r="B19">
        <v>3</v>
      </c>
      <c r="C19">
        <v>2</v>
      </c>
      <c r="D19" t="s">
        <v>4567</v>
      </c>
      <c r="E19">
        <v>7081</v>
      </c>
      <c r="F19" s="3"/>
      <c r="G19">
        <v>6</v>
      </c>
      <c r="H19">
        <v>1</v>
      </c>
      <c r="I19">
        <f t="shared" si="3"/>
        <v>6</v>
      </c>
      <c r="J19">
        <v>0</v>
      </c>
      <c r="K19">
        <v>0</v>
      </c>
      <c r="L19">
        <f t="shared" si="1"/>
        <v>6</v>
      </c>
      <c r="M19" t="s">
        <v>5080</v>
      </c>
    </row>
    <row r="20" spans="1:13" x14ac:dyDescent="0.25">
      <c r="A20" t="s">
        <v>5057</v>
      </c>
      <c r="B20">
        <v>3</v>
      </c>
      <c r="C20">
        <v>2</v>
      </c>
      <c r="D20" t="s">
        <v>4567</v>
      </c>
      <c r="E20">
        <v>7070</v>
      </c>
      <c r="F20" s="3"/>
      <c r="G20">
        <v>0</v>
      </c>
      <c r="H20">
        <v>1</v>
      </c>
      <c r="I20">
        <f t="shared" si="3"/>
        <v>0</v>
      </c>
      <c r="J20">
        <v>29</v>
      </c>
      <c r="K20">
        <v>0</v>
      </c>
      <c r="L20">
        <f t="shared" si="1"/>
        <v>29</v>
      </c>
      <c r="M20" t="s">
        <v>5080</v>
      </c>
    </row>
    <row r="21" spans="1:13" x14ac:dyDescent="0.25">
      <c r="A21" t="s">
        <v>5057</v>
      </c>
      <c r="B21">
        <v>3</v>
      </c>
      <c r="C21">
        <v>2</v>
      </c>
      <c r="D21" t="s">
        <v>4567</v>
      </c>
      <c r="E21">
        <v>7079</v>
      </c>
      <c r="F21" s="3"/>
      <c r="G21">
        <v>3</v>
      </c>
      <c r="H21">
        <v>3000</v>
      </c>
      <c r="I21">
        <f t="shared" si="3"/>
        <v>9000</v>
      </c>
      <c r="J21">
        <v>0</v>
      </c>
      <c r="K21">
        <v>0</v>
      </c>
      <c r="L21">
        <f t="shared" si="1"/>
        <v>9000</v>
      </c>
      <c r="M21" t="s">
        <v>5080</v>
      </c>
    </row>
    <row r="22" spans="1:13" x14ac:dyDescent="0.25">
      <c r="A22" t="s">
        <v>5057</v>
      </c>
      <c r="B22">
        <v>3</v>
      </c>
      <c r="C22">
        <v>2</v>
      </c>
      <c r="D22" t="s">
        <v>4567</v>
      </c>
      <c r="E22">
        <v>7073</v>
      </c>
      <c r="F22" s="3"/>
      <c r="G22">
        <v>1</v>
      </c>
      <c r="H22">
        <v>1000</v>
      </c>
      <c r="I22">
        <f t="shared" si="3"/>
        <v>1000</v>
      </c>
      <c r="J22">
        <v>0</v>
      </c>
      <c r="K22">
        <v>0</v>
      </c>
      <c r="L22">
        <f t="shared" si="1"/>
        <v>1000</v>
      </c>
      <c r="M22" t="s">
        <v>5080</v>
      </c>
    </row>
    <row r="23" spans="1:13" x14ac:dyDescent="0.25">
      <c r="A23" t="s">
        <v>5057</v>
      </c>
      <c r="B23">
        <v>3</v>
      </c>
      <c r="C23">
        <v>2</v>
      </c>
      <c r="D23" t="s">
        <v>4567</v>
      </c>
      <c r="E23">
        <v>1161</v>
      </c>
      <c r="F23" s="3"/>
      <c r="G23">
        <v>42</v>
      </c>
      <c r="H23">
        <v>1</v>
      </c>
      <c r="I23">
        <f t="shared" ref="I23:I29" si="4">G23*H23</f>
        <v>42</v>
      </c>
      <c r="J23">
        <v>0</v>
      </c>
      <c r="K23">
        <v>0</v>
      </c>
      <c r="L23">
        <f t="shared" si="1"/>
        <v>42</v>
      </c>
      <c r="M23" t="s">
        <v>5080</v>
      </c>
    </row>
    <row r="24" spans="1:13" x14ac:dyDescent="0.25">
      <c r="A24" t="s">
        <v>5057</v>
      </c>
      <c r="B24">
        <v>3</v>
      </c>
      <c r="C24">
        <v>2</v>
      </c>
      <c r="D24" t="s">
        <v>4567</v>
      </c>
      <c r="E24">
        <v>7083</v>
      </c>
      <c r="F24" s="3"/>
      <c r="G24">
        <v>22</v>
      </c>
      <c r="H24">
        <v>1</v>
      </c>
      <c r="I24">
        <f t="shared" si="4"/>
        <v>22</v>
      </c>
      <c r="J24">
        <v>0</v>
      </c>
      <c r="K24">
        <v>0</v>
      </c>
      <c r="L24">
        <f t="shared" si="1"/>
        <v>22</v>
      </c>
      <c r="M24" t="s">
        <v>5080</v>
      </c>
    </row>
    <row r="25" spans="1:13" x14ac:dyDescent="0.25">
      <c r="A25" t="s">
        <v>5057</v>
      </c>
      <c r="B25">
        <v>3</v>
      </c>
      <c r="C25">
        <v>2</v>
      </c>
      <c r="D25" t="s">
        <v>4567</v>
      </c>
      <c r="E25">
        <v>1216</v>
      </c>
      <c r="F25" s="3"/>
      <c r="G25">
        <v>93</v>
      </c>
      <c r="H25">
        <v>1</v>
      </c>
      <c r="I25">
        <f t="shared" si="4"/>
        <v>93</v>
      </c>
      <c r="J25">
        <v>0</v>
      </c>
      <c r="K25">
        <v>0</v>
      </c>
      <c r="L25">
        <f t="shared" si="1"/>
        <v>93</v>
      </c>
      <c r="M25" t="s">
        <v>5080</v>
      </c>
    </row>
    <row r="26" spans="1:13" x14ac:dyDescent="0.25">
      <c r="A26" t="s">
        <v>5057</v>
      </c>
      <c r="B26">
        <v>3</v>
      </c>
      <c r="C26">
        <v>2</v>
      </c>
      <c r="D26" t="s">
        <v>4567</v>
      </c>
      <c r="E26">
        <v>7177</v>
      </c>
      <c r="F26" s="3"/>
      <c r="G26">
        <v>7</v>
      </c>
      <c r="H26">
        <v>1</v>
      </c>
      <c r="I26">
        <f t="shared" si="4"/>
        <v>7</v>
      </c>
      <c r="J26">
        <v>0</v>
      </c>
      <c r="K26">
        <v>0</v>
      </c>
      <c r="L26">
        <f t="shared" si="1"/>
        <v>7</v>
      </c>
      <c r="M26" t="s">
        <v>5080</v>
      </c>
    </row>
    <row r="27" spans="1:13" x14ac:dyDescent="0.25">
      <c r="A27" t="s">
        <v>5057</v>
      </c>
      <c r="B27">
        <v>3</v>
      </c>
      <c r="C27">
        <v>2</v>
      </c>
      <c r="D27" t="s">
        <v>4567</v>
      </c>
      <c r="E27">
        <v>1218</v>
      </c>
      <c r="F27" s="3"/>
      <c r="G27">
        <v>7</v>
      </c>
      <c r="H27">
        <v>1</v>
      </c>
      <c r="I27">
        <f t="shared" si="4"/>
        <v>7</v>
      </c>
      <c r="J27">
        <v>1</v>
      </c>
      <c r="K27">
        <v>0</v>
      </c>
      <c r="L27">
        <f t="shared" si="1"/>
        <v>8</v>
      </c>
      <c r="M27" t="s">
        <v>5080</v>
      </c>
    </row>
    <row r="28" spans="1:13" x14ac:dyDescent="0.25">
      <c r="A28" t="s">
        <v>5057</v>
      </c>
      <c r="B28">
        <v>3</v>
      </c>
      <c r="C28">
        <v>2</v>
      </c>
      <c r="D28" t="s">
        <v>4567</v>
      </c>
      <c r="E28">
        <v>3119</v>
      </c>
      <c r="F28" s="3"/>
      <c r="G28">
        <v>21</v>
      </c>
      <c r="H28">
        <v>1</v>
      </c>
      <c r="I28">
        <f t="shared" si="4"/>
        <v>21</v>
      </c>
      <c r="J28">
        <v>0</v>
      </c>
      <c r="K28">
        <v>0</v>
      </c>
      <c r="L28">
        <f t="shared" si="1"/>
        <v>21</v>
      </c>
      <c r="M28" t="s">
        <v>5080</v>
      </c>
    </row>
    <row r="29" spans="1:13" x14ac:dyDescent="0.25">
      <c r="A29" t="s">
        <v>5057</v>
      </c>
      <c r="B29">
        <v>3</v>
      </c>
      <c r="C29">
        <v>2</v>
      </c>
      <c r="D29" t="s">
        <v>4567</v>
      </c>
      <c r="E29">
        <v>1237</v>
      </c>
      <c r="F29" s="3"/>
      <c r="G29">
        <v>1</v>
      </c>
      <c r="H29">
        <v>100</v>
      </c>
      <c r="I29">
        <f t="shared" si="4"/>
        <v>100</v>
      </c>
      <c r="J29">
        <v>0</v>
      </c>
      <c r="K29">
        <v>0</v>
      </c>
      <c r="L29">
        <f t="shared" si="1"/>
        <v>100</v>
      </c>
      <c r="M29" t="s">
        <v>5080</v>
      </c>
    </row>
    <row r="30" spans="1:13" x14ac:dyDescent="0.25">
      <c r="A30" t="s">
        <v>5057</v>
      </c>
      <c r="B30">
        <v>3</v>
      </c>
      <c r="C30">
        <v>2</v>
      </c>
      <c r="D30" t="s">
        <v>4567</v>
      </c>
      <c r="E30">
        <v>1242</v>
      </c>
      <c r="F30" s="3"/>
      <c r="G30">
        <v>4</v>
      </c>
      <c r="H30">
        <v>1</v>
      </c>
      <c r="I30">
        <f t="shared" ref="I30:I34" si="5">G30*H30</f>
        <v>4</v>
      </c>
      <c r="J30">
        <v>0</v>
      </c>
      <c r="K30">
        <v>0</v>
      </c>
      <c r="L30">
        <f t="shared" si="1"/>
        <v>4</v>
      </c>
      <c r="M30" t="s">
        <v>5080</v>
      </c>
    </row>
    <row r="31" spans="1:13" x14ac:dyDescent="0.25">
      <c r="A31" t="s">
        <v>5057</v>
      </c>
      <c r="B31">
        <v>3</v>
      </c>
      <c r="C31">
        <v>2</v>
      </c>
      <c r="D31" t="s">
        <v>4567</v>
      </c>
      <c r="E31">
        <v>7084</v>
      </c>
      <c r="F31" s="3"/>
      <c r="G31">
        <v>100</v>
      </c>
      <c r="H31">
        <v>1</v>
      </c>
      <c r="I31">
        <f t="shared" si="5"/>
        <v>100</v>
      </c>
      <c r="J31">
        <v>0</v>
      </c>
      <c r="K31">
        <v>0</v>
      </c>
      <c r="L31">
        <f t="shared" si="1"/>
        <v>100</v>
      </c>
      <c r="M31" t="s">
        <v>5080</v>
      </c>
    </row>
    <row r="32" spans="1:13" x14ac:dyDescent="0.25">
      <c r="A32" t="s">
        <v>5057</v>
      </c>
      <c r="B32">
        <v>3</v>
      </c>
      <c r="C32">
        <v>2</v>
      </c>
      <c r="D32" t="s">
        <v>4567</v>
      </c>
      <c r="E32">
        <v>7076</v>
      </c>
      <c r="F32" s="3"/>
      <c r="G32">
        <v>33</v>
      </c>
      <c r="H32">
        <v>1</v>
      </c>
      <c r="I32">
        <f t="shared" si="5"/>
        <v>33</v>
      </c>
      <c r="J32">
        <v>0</v>
      </c>
      <c r="K32">
        <v>0</v>
      </c>
      <c r="L32">
        <f t="shared" si="1"/>
        <v>33</v>
      </c>
      <c r="M32" t="s">
        <v>5080</v>
      </c>
    </row>
    <row r="33" spans="1:13" x14ac:dyDescent="0.25">
      <c r="A33" t="s">
        <v>5057</v>
      </c>
      <c r="B33">
        <v>3</v>
      </c>
      <c r="C33">
        <v>2</v>
      </c>
      <c r="D33" t="s">
        <v>4567</v>
      </c>
      <c r="E33">
        <v>7077</v>
      </c>
      <c r="F33" s="3"/>
      <c r="G33">
        <v>44</v>
      </c>
      <c r="H33">
        <v>200</v>
      </c>
      <c r="I33">
        <f t="shared" si="5"/>
        <v>8800</v>
      </c>
      <c r="J33">
        <v>0</v>
      </c>
      <c r="K33">
        <v>0</v>
      </c>
      <c r="L33">
        <f t="shared" si="1"/>
        <v>8800</v>
      </c>
      <c r="M33" t="s">
        <v>5080</v>
      </c>
    </row>
    <row r="34" spans="1:13" x14ac:dyDescent="0.25">
      <c r="A34" t="s">
        <v>5057</v>
      </c>
      <c r="B34">
        <v>3</v>
      </c>
      <c r="C34">
        <v>2</v>
      </c>
      <c r="D34" t="s">
        <v>4567</v>
      </c>
      <c r="E34">
        <v>7078</v>
      </c>
      <c r="F34" s="3"/>
      <c r="G34">
        <v>41</v>
      </c>
      <c r="H34">
        <v>100</v>
      </c>
      <c r="I34">
        <f t="shared" si="5"/>
        <v>4100</v>
      </c>
      <c r="J34">
        <v>0</v>
      </c>
      <c r="K34">
        <v>0</v>
      </c>
      <c r="L34">
        <f t="shared" si="1"/>
        <v>4100</v>
      </c>
      <c r="M34" t="s">
        <v>5080</v>
      </c>
    </row>
    <row r="35" spans="1:13" x14ac:dyDescent="0.25">
      <c r="A35" t="s">
        <v>5057</v>
      </c>
      <c r="B35">
        <v>3</v>
      </c>
      <c r="C35">
        <v>2</v>
      </c>
      <c r="D35" t="s">
        <v>4567</v>
      </c>
      <c r="E35">
        <v>1223</v>
      </c>
      <c r="F35" s="3"/>
      <c r="G35">
        <v>7</v>
      </c>
      <c r="H35">
        <v>1</v>
      </c>
      <c r="I35">
        <f t="shared" ref="I35:I46" si="6">G35*H35</f>
        <v>7</v>
      </c>
      <c r="J35">
        <v>0</v>
      </c>
      <c r="K35">
        <v>0</v>
      </c>
      <c r="L35">
        <f t="shared" si="1"/>
        <v>7</v>
      </c>
      <c r="M35" t="s">
        <v>5080</v>
      </c>
    </row>
    <row r="36" spans="1:13" x14ac:dyDescent="0.25">
      <c r="A36" t="s">
        <v>5057</v>
      </c>
      <c r="B36">
        <v>3</v>
      </c>
      <c r="C36">
        <v>2</v>
      </c>
      <c r="D36" t="s">
        <v>4567</v>
      </c>
      <c r="E36" s="6" t="s">
        <v>4568</v>
      </c>
      <c r="F36" s="3"/>
      <c r="G36">
        <v>12</v>
      </c>
      <c r="H36">
        <v>1</v>
      </c>
      <c r="I36">
        <f t="shared" si="6"/>
        <v>12</v>
      </c>
      <c r="J36">
        <v>0</v>
      </c>
      <c r="K36">
        <v>0</v>
      </c>
      <c r="L36">
        <f t="shared" si="1"/>
        <v>12</v>
      </c>
      <c r="M36" t="s">
        <v>5080</v>
      </c>
    </row>
    <row r="37" spans="1:13" x14ac:dyDescent="0.25">
      <c r="A37" t="s">
        <v>5057</v>
      </c>
      <c r="B37">
        <v>3</v>
      </c>
      <c r="C37">
        <v>2</v>
      </c>
      <c r="D37" t="s">
        <v>4567</v>
      </c>
      <c r="E37">
        <v>7079</v>
      </c>
      <c r="F37" s="3"/>
      <c r="G37">
        <v>2</v>
      </c>
      <c r="H37">
        <v>1</v>
      </c>
      <c r="I37">
        <f t="shared" si="6"/>
        <v>2</v>
      </c>
      <c r="J37">
        <v>0</v>
      </c>
      <c r="K37">
        <v>0</v>
      </c>
      <c r="L37">
        <f t="shared" si="1"/>
        <v>2</v>
      </c>
      <c r="M37" t="s">
        <v>5080</v>
      </c>
    </row>
    <row r="38" spans="1:13" x14ac:dyDescent="0.25">
      <c r="A38" t="s">
        <v>5057</v>
      </c>
      <c r="B38">
        <v>3</v>
      </c>
      <c r="C38">
        <v>2</v>
      </c>
      <c r="D38" t="s">
        <v>4567</v>
      </c>
      <c r="E38" s="6" t="s">
        <v>4575</v>
      </c>
      <c r="F38" s="3"/>
      <c r="G38">
        <v>12</v>
      </c>
      <c r="H38">
        <v>10</v>
      </c>
      <c r="I38">
        <f t="shared" si="6"/>
        <v>120</v>
      </c>
      <c r="J38">
        <v>0</v>
      </c>
      <c r="K38">
        <v>0</v>
      </c>
      <c r="L38">
        <f t="shared" si="1"/>
        <v>120</v>
      </c>
      <c r="M38" t="s">
        <v>5080</v>
      </c>
    </row>
    <row r="39" spans="1:13" x14ac:dyDescent="0.25">
      <c r="A39" t="s">
        <v>5057</v>
      </c>
      <c r="B39">
        <v>3</v>
      </c>
      <c r="C39">
        <v>2</v>
      </c>
      <c r="D39" t="s">
        <v>4567</v>
      </c>
      <c r="E39" s="6" t="s">
        <v>4576</v>
      </c>
      <c r="F39" s="3"/>
      <c r="G39">
        <v>13</v>
      </c>
      <c r="H39">
        <v>10</v>
      </c>
      <c r="I39">
        <f t="shared" si="6"/>
        <v>130</v>
      </c>
      <c r="J39">
        <v>0</v>
      </c>
      <c r="K39">
        <v>0</v>
      </c>
      <c r="L39">
        <f t="shared" si="1"/>
        <v>130</v>
      </c>
      <c r="M39" t="s">
        <v>5080</v>
      </c>
    </row>
    <row r="40" spans="1:13" x14ac:dyDescent="0.25">
      <c r="A40" t="s">
        <v>5057</v>
      </c>
      <c r="B40">
        <v>3</v>
      </c>
      <c r="C40">
        <v>2</v>
      </c>
      <c r="D40" t="s">
        <v>4567</v>
      </c>
      <c r="E40">
        <v>7082</v>
      </c>
      <c r="F40" s="3"/>
      <c r="G40">
        <v>19</v>
      </c>
      <c r="H40">
        <v>500</v>
      </c>
      <c r="I40">
        <f t="shared" si="6"/>
        <v>9500</v>
      </c>
      <c r="J40">
        <v>0</v>
      </c>
      <c r="K40">
        <v>0</v>
      </c>
      <c r="L40">
        <f t="shared" si="1"/>
        <v>9500</v>
      </c>
      <c r="M40" t="s">
        <v>5080</v>
      </c>
    </row>
    <row r="41" spans="1:13" x14ac:dyDescent="0.25">
      <c r="A41" s="8" t="s">
        <v>5057</v>
      </c>
      <c r="B41" s="8">
        <v>3</v>
      </c>
      <c r="C41" s="8">
        <v>2</v>
      </c>
      <c r="D41" s="8" t="s">
        <v>4567</v>
      </c>
      <c r="E41" s="8">
        <v>3292</v>
      </c>
      <c r="F41" s="12"/>
      <c r="G41" s="8">
        <v>0</v>
      </c>
      <c r="H41" s="8">
        <v>1</v>
      </c>
      <c r="I41" s="8">
        <f t="shared" ref="I41" si="7">G41*H41</f>
        <v>0</v>
      </c>
      <c r="J41" s="8">
        <v>0</v>
      </c>
      <c r="K41" s="8">
        <v>0</v>
      </c>
      <c r="L41" s="8">
        <f t="shared" si="1"/>
        <v>0</v>
      </c>
      <c r="M41" t="s">
        <v>5082</v>
      </c>
    </row>
    <row r="42" spans="1:13" x14ac:dyDescent="0.25">
      <c r="A42" t="s">
        <v>5057</v>
      </c>
      <c r="B42">
        <v>3</v>
      </c>
      <c r="C42">
        <v>2</v>
      </c>
      <c r="D42" t="s">
        <v>4567</v>
      </c>
      <c r="E42">
        <v>3293</v>
      </c>
      <c r="F42" s="3"/>
      <c r="G42">
        <v>1</v>
      </c>
      <c r="H42">
        <v>100</v>
      </c>
      <c r="I42">
        <f t="shared" si="6"/>
        <v>100</v>
      </c>
      <c r="J42">
        <v>0</v>
      </c>
      <c r="K42">
        <v>0</v>
      </c>
      <c r="L42">
        <f t="shared" si="1"/>
        <v>100</v>
      </c>
      <c r="M42" t="s">
        <v>5080</v>
      </c>
    </row>
    <row r="43" spans="1:13" x14ac:dyDescent="0.25">
      <c r="A43" t="s">
        <v>5057</v>
      </c>
      <c r="B43">
        <v>3</v>
      </c>
      <c r="C43">
        <v>2</v>
      </c>
      <c r="D43" t="s">
        <v>4567</v>
      </c>
      <c r="E43">
        <v>1157</v>
      </c>
      <c r="F43" s="3"/>
      <c r="G43">
        <v>0</v>
      </c>
      <c r="H43">
        <v>1</v>
      </c>
      <c r="I43">
        <f t="shared" ref="I43" si="8">G43*H43</f>
        <v>0</v>
      </c>
      <c r="J43">
        <v>8</v>
      </c>
      <c r="K43">
        <v>0</v>
      </c>
      <c r="L43">
        <f t="shared" si="1"/>
        <v>8</v>
      </c>
      <c r="M43" t="s">
        <v>5080</v>
      </c>
    </row>
    <row r="44" spans="1:13" x14ac:dyDescent="0.25">
      <c r="A44" t="s">
        <v>5057</v>
      </c>
      <c r="B44">
        <v>3</v>
      </c>
      <c r="C44">
        <v>2</v>
      </c>
      <c r="D44" t="s">
        <v>4567</v>
      </c>
      <c r="E44">
        <v>1158</v>
      </c>
      <c r="F44" s="3"/>
      <c r="G44">
        <v>3</v>
      </c>
      <c r="H44">
        <v>10</v>
      </c>
      <c r="I44">
        <f t="shared" si="6"/>
        <v>30</v>
      </c>
      <c r="J44">
        <v>1</v>
      </c>
      <c r="K44">
        <v>0</v>
      </c>
      <c r="L44">
        <f t="shared" si="1"/>
        <v>31</v>
      </c>
      <c r="M44" t="s">
        <v>5080</v>
      </c>
    </row>
    <row r="45" spans="1:13" x14ac:dyDescent="0.25">
      <c r="A45" t="s">
        <v>5057</v>
      </c>
      <c r="B45">
        <v>3</v>
      </c>
      <c r="C45">
        <v>2</v>
      </c>
      <c r="D45" t="s">
        <v>4567</v>
      </c>
      <c r="E45">
        <v>1159</v>
      </c>
      <c r="F45" s="3"/>
      <c r="G45">
        <v>4</v>
      </c>
      <c r="H45">
        <v>10</v>
      </c>
      <c r="I45">
        <f t="shared" si="6"/>
        <v>40</v>
      </c>
      <c r="J45">
        <v>2</v>
      </c>
      <c r="K45">
        <v>0</v>
      </c>
      <c r="L45">
        <f t="shared" si="1"/>
        <v>42</v>
      </c>
      <c r="M45" t="s">
        <v>5080</v>
      </c>
    </row>
    <row r="46" spans="1:13" x14ac:dyDescent="0.25">
      <c r="A46" t="s">
        <v>5057</v>
      </c>
      <c r="B46">
        <v>3</v>
      </c>
      <c r="C46">
        <v>2</v>
      </c>
      <c r="D46" t="s">
        <v>4567</v>
      </c>
      <c r="E46">
        <v>33210</v>
      </c>
      <c r="F46" s="3"/>
      <c r="G46">
        <v>3</v>
      </c>
      <c r="H46">
        <v>3</v>
      </c>
      <c r="I46">
        <f t="shared" si="6"/>
        <v>9</v>
      </c>
      <c r="J46">
        <v>0</v>
      </c>
      <c r="K46">
        <v>0</v>
      </c>
      <c r="L46">
        <f t="shared" si="1"/>
        <v>9</v>
      </c>
      <c r="M46" t="s">
        <v>5080</v>
      </c>
    </row>
    <row r="47" spans="1:13" x14ac:dyDescent="0.25">
      <c r="A47" t="s">
        <v>5057</v>
      </c>
      <c r="B47">
        <v>3</v>
      </c>
      <c r="C47">
        <v>2</v>
      </c>
      <c r="D47" t="s">
        <v>4567</v>
      </c>
      <c r="E47">
        <v>1651</v>
      </c>
      <c r="F47" s="3"/>
      <c r="G47">
        <v>8</v>
      </c>
      <c r="H47">
        <v>1</v>
      </c>
      <c r="I47">
        <f t="shared" ref="I47:I53" si="9">G47*H47</f>
        <v>8</v>
      </c>
      <c r="J47">
        <v>0</v>
      </c>
      <c r="K47">
        <v>0</v>
      </c>
      <c r="L47">
        <f t="shared" si="1"/>
        <v>8</v>
      </c>
      <c r="M47" t="s">
        <v>5080</v>
      </c>
    </row>
    <row r="48" spans="1:13" x14ac:dyDescent="0.25">
      <c r="A48" t="s">
        <v>5057</v>
      </c>
      <c r="B48">
        <v>3</v>
      </c>
      <c r="C48">
        <v>2</v>
      </c>
      <c r="D48" t="s">
        <v>4567</v>
      </c>
      <c r="E48">
        <v>16510</v>
      </c>
      <c r="F48" s="3"/>
      <c r="G48">
        <v>9</v>
      </c>
      <c r="H48">
        <v>1</v>
      </c>
      <c r="I48">
        <f t="shared" si="9"/>
        <v>9</v>
      </c>
      <c r="J48">
        <v>0</v>
      </c>
      <c r="K48">
        <v>0</v>
      </c>
      <c r="L48">
        <f t="shared" si="1"/>
        <v>9</v>
      </c>
      <c r="M48" t="s">
        <v>5080</v>
      </c>
    </row>
    <row r="49" spans="1:13" x14ac:dyDescent="0.25">
      <c r="A49" t="s">
        <v>5057</v>
      </c>
      <c r="B49">
        <v>3</v>
      </c>
      <c r="C49">
        <v>37</v>
      </c>
      <c r="D49" s="22">
        <v>46055</v>
      </c>
      <c r="E49" s="6" t="s">
        <v>4585</v>
      </c>
      <c r="F49" s="3"/>
      <c r="G49">
        <v>2</v>
      </c>
      <c r="H49">
        <v>45</v>
      </c>
      <c r="I49">
        <f t="shared" si="9"/>
        <v>90</v>
      </c>
      <c r="J49">
        <v>35</v>
      </c>
      <c r="K49">
        <v>0</v>
      </c>
      <c r="L49">
        <f t="shared" si="1"/>
        <v>125</v>
      </c>
      <c r="M49" t="s">
        <v>5080</v>
      </c>
    </row>
    <row r="50" spans="1:13" x14ac:dyDescent="0.25">
      <c r="A50" t="s">
        <v>5057</v>
      </c>
      <c r="B50">
        <v>3</v>
      </c>
      <c r="C50">
        <v>37</v>
      </c>
      <c r="D50" s="22">
        <v>46055</v>
      </c>
      <c r="E50" s="6" t="s">
        <v>4587</v>
      </c>
      <c r="F50" s="3"/>
      <c r="G50">
        <v>1</v>
      </c>
      <c r="H50">
        <v>14</v>
      </c>
      <c r="I50">
        <f t="shared" si="9"/>
        <v>14</v>
      </c>
      <c r="J50">
        <v>14</v>
      </c>
      <c r="K50">
        <v>0</v>
      </c>
      <c r="L50">
        <f t="shared" si="1"/>
        <v>28</v>
      </c>
      <c r="M50" t="s">
        <v>5080</v>
      </c>
    </row>
    <row r="51" spans="1:13" x14ac:dyDescent="0.25">
      <c r="A51" t="s">
        <v>5057</v>
      </c>
      <c r="B51">
        <v>3</v>
      </c>
      <c r="C51">
        <v>37</v>
      </c>
      <c r="D51" s="22">
        <v>46055</v>
      </c>
      <c r="E51" s="6" t="s">
        <v>4590</v>
      </c>
      <c r="F51" s="3"/>
      <c r="G51">
        <v>2</v>
      </c>
      <c r="H51">
        <v>51</v>
      </c>
      <c r="I51">
        <f t="shared" si="9"/>
        <v>102</v>
      </c>
      <c r="J51">
        <v>39</v>
      </c>
      <c r="K51">
        <v>0</v>
      </c>
      <c r="L51">
        <f t="shared" si="1"/>
        <v>141</v>
      </c>
      <c r="M51" t="s">
        <v>5080</v>
      </c>
    </row>
    <row r="52" spans="1:13" x14ac:dyDescent="0.25">
      <c r="A52" t="s">
        <v>5057</v>
      </c>
      <c r="B52">
        <v>3</v>
      </c>
      <c r="C52">
        <v>38</v>
      </c>
      <c r="D52" s="22">
        <v>46055</v>
      </c>
      <c r="E52" s="6" t="s">
        <v>4593</v>
      </c>
      <c r="F52" s="3"/>
      <c r="G52">
        <v>6</v>
      </c>
      <c r="H52">
        <v>800</v>
      </c>
      <c r="I52">
        <f t="shared" si="9"/>
        <v>4800</v>
      </c>
      <c r="J52">
        <v>0</v>
      </c>
      <c r="K52">
        <v>0</v>
      </c>
      <c r="L52">
        <f t="shared" si="1"/>
        <v>4800</v>
      </c>
      <c r="M52" t="s">
        <v>5080</v>
      </c>
    </row>
    <row r="53" spans="1:13" x14ac:dyDescent="0.25">
      <c r="A53" t="s">
        <v>5057</v>
      </c>
      <c r="B53">
        <v>3</v>
      </c>
      <c r="C53">
        <v>38</v>
      </c>
      <c r="D53" s="22">
        <v>46055</v>
      </c>
      <c r="E53">
        <v>7181</v>
      </c>
      <c r="F53" s="3"/>
      <c r="G53">
        <v>1</v>
      </c>
      <c r="H53">
        <v>14</v>
      </c>
      <c r="I53">
        <f t="shared" si="9"/>
        <v>14</v>
      </c>
      <c r="J53">
        <v>3</v>
      </c>
      <c r="K53">
        <v>0</v>
      </c>
      <c r="L53">
        <f t="shared" si="1"/>
        <v>17</v>
      </c>
      <c r="M53" t="s">
        <v>5080</v>
      </c>
    </row>
    <row r="54" spans="1:13" x14ac:dyDescent="0.25">
      <c r="A54" t="s">
        <v>5057</v>
      </c>
      <c r="B54">
        <v>3</v>
      </c>
      <c r="C54">
        <v>38</v>
      </c>
      <c r="D54" s="22">
        <v>46055</v>
      </c>
      <c r="E54">
        <v>7180</v>
      </c>
      <c r="F54" s="3"/>
      <c r="G54">
        <v>0</v>
      </c>
      <c r="H54">
        <v>1</v>
      </c>
      <c r="I54">
        <f t="shared" ref="I54:I58" si="10">G54*H54</f>
        <v>0</v>
      </c>
      <c r="J54">
        <v>11</v>
      </c>
      <c r="K54">
        <v>0</v>
      </c>
      <c r="L54">
        <f t="shared" si="1"/>
        <v>11</v>
      </c>
      <c r="M54" t="s">
        <v>5080</v>
      </c>
    </row>
    <row r="55" spans="1:13" x14ac:dyDescent="0.25">
      <c r="A55" t="s">
        <v>5057</v>
      </c>
      <c r="B55">
        <v>3</v>
      </c>
      <c r="C55">
        <v>38</v>
      </c>
      <c r="D55" s="22">
        <v>46055</v>
      </c>
      <c r="E55">
        <v>7179</v>
      </c>
      <c r="F55" s="3"/>
      <c r="G55">
        <v>0</v>
      </c>
      <c r="H55">
        <v>1</v>
      </c>
      <c r="I55">
        <f t="shared" si="10"/>
        <v>0</v>
      </c>
      <c r="J55">
        <v>13</v>
      </c>
      <c r="K55">
        <v>0</v>
      </c>
      <c r="L55">
        <f t="shared" si="1"/>
        <v>13</v>
      </c>
      <c r="M55" t="s">
        <v>5080</v>
      </c>
    </row>
    <row r="56" spans="1:13" x14ac:dyDescent="0.25">
      <c r="A56" t="s">
        <v>5057</v>
      </c>
      <c r="B56">
        <v>3</v>
      </c>
      <c r="C56">
        <v>38</v>
      </c>
      <c r="D56" s="22">
        <v>46055</v>
      </c>
      <c r="E56">
        <v>3291</v>
      </c>
      <c r="F56" s="3"/>
      <c r="G56">
        <v>77</v>
      </c>
      <c r="H56">
        <v>25</v>
      </c>
      <c r="I56">
        <f t="shared" si="10"/>
        <v>1925</v>
      </c>
      <c r="J56">
        <v>0</v>
      </c>
      <c r="K56">
        <v>0</v>
      </c>
      <c r="L56">
        <f t="shared" si="1"/>
        <v>1925</v>
      </c>
      <c r="M56" t="s">
        <v>5080</v>
      </c>
    </row>
    <row r="57" spans="1:13" x14ac:dyDescent="0.25">
      <c r="A57" t="s">
        <v>5057</v>
      </c>
      <c r="B57">
        <v>3</v>
      </c>
      <c r="C57">
        <v>38</v>
      </c>
      <c r="D57" s="22">
        <v>46055</v>
      </c>
      <c r="E57">
        <v>3290</v>
      </c>
      <c r="F57" s="3"/>
      <c r="G57">
        <v>56</v>
      </c>
      <c r="H57">
        <v>25</v>
      </c>
      <c r="I57">
        <f t="shared" si="10"/>
        <v>1400</v>
      </c>
      <c r="J57">
        <v>0</v>
      </c>
      <c r="K57">
        <v>0</v>
      </c>
      <c r="L57">
        <f t="shared" si="1"/>
        <v>1400</v>
      </c>
      <c r="M57" t="s">
        <v>5080</v>
      </c>
    </row>
    <row r="58" spans="1:13" x14ac:dyDescent="0.25">
      <c r="A58" t="s">
        <v>5057</v>
      </c>
      <c r="B58">
        <v>3</v>
      </c>
      <c r="C58">
        <v>38</v>
      </c>
      <c r="D58" s="22">
        <v>46055</v>
      </c>
      <c r="E58">
        <v>3202</v>
      </c>
      <c r="F58" s="3"/>
      <c r="G58">
        <v>4</v>
      </c>
      <c r="H58">
        <v>50</v>
      </c>
      <c r="I58">
        <f t="shared" si="10"/>
        <v>200</v>
      </c>
      <c r="J58">
        <v>50</v>
      </c>
      <c r="K58">
        <v>0</v>
      </c>
      <c r="L58">
        <f t="shared" si="1"/>
        <v>250</v>
      </c>
      <c r="M58" t="s">
        <v>5083</v>
      </c>
    </row>
    <row r="59" spans="1:13" x14ac:dyDescent="0.25">
      <c r="A59" t="s">
        <v>5057</v>
      </c>
      <c r="B59">
        <v>3</v>
      </c>
      <c r="C59">
        <v>38</v>
      </c>
      <c r="D59" s="22">
        <v>46055</v>
      </c>
      <c r="E59">
        <v>7135</v>
      </c>
      <c r="F59" s="3"/>
      <c r="G59">
        <v>8</v>
      </c>
      <c r="H59">
        <v>50</v>
      </c>
      <c r="I59">
        <f t="shared" ref="I59" si="11">G59*H59</f>
        <v>400</v>
      </c>
      <c r="J59">
        <v>86</v>
      </c>
      <c r="K59">
        <v>0</v>
      </c>
      <c r="L59">
        <f t="shared" si="1"/>
        <v>486</v>
      </c>
      <c r="M59" t="s">
        <v>5080</v>
      </c>
    </row>
    <row r="60" spans="1:13" x14ac:dyDescent="0.25">
      <c r="A60" t="s">
        <v>5057</v>
      </c>
      <c r="B60">
        <v>3</v>
      </c>
      <c r="C60">
        <v>38</v>
      </c>
      <c r="D60" s="22">
        <v>46055</v>
      </c>
      <c r="E60">
        <v>7134</v>
      </c>
      <c r="F60" s="3"/>
      <c r="G60">
        <v>6</v>
      </c>
      <c r="H60">
        <v>50</v>
      </c>
      <c r="I60">
        <f t="shared" ref="I59:I62" si="12">G60*H60</f>
        <v>300</v>
      </c>
      <c r="J60">
        <v>22</v>
      </c>
      <c r="K60">
        <v>0</v>
      </c>
      <c r="L60">
        <f t="shared" si="1"/>
        <v>322</v>
      </c>
      <c r="M60" t="s">
        <v>5080</v>
      </c>
    </row>
    <row r="61" spans="1:13" x14ac:dyDescent="0.25">
      <c r="A61" t="s">
        <v>5057</v>
      </c>
      <c r="B61">
        <v>3</v>
      </c>
      <c r="C61">
        <v>38</v>
      </c>
      <c r="D61" s="22">
        <v>46055</v>
      </c>
      <c r="E61">
        <v>7133</v>
      </c>
      <c r="F61" s="3"/>
      <c r="G61">
        <v>4</v>
      </c>
      <c r="H61">
        <v>100</v>
      </c>
      <c r="I61">
        <f t="shared" si="12"/>
        <v>400</v>
      </c>
      <c r="J61">
        <v>95</v>
      </c>
      <c r="K61">
        <v>0</v>
      </c>
      <c r="L61">
        <f t="shared" si="1"/>
        <v>495</v>
      </c>
      <c r="M61" t="s">
        <v>5080</v>
      </c>
    </row>
    <row r="62" spans="1:13" x14ac:dyDescent="0.25">
      <c r="A62" t="s">
        <v>5057</v>
      </c>
      <c r="B62">
        <v>3</v>
      </c>
      <c r="C62">
        <v>38</v>
      </c>
      <c r="D62" s="22">
        <v>46055</v>
      </c>
      <c r="E62">
        <v>7139</v>
      </c>
      <c r="F62" s="3"/>
      <c r="G62">
        <v>1</v>
      </c>
      <c r="H62">
        <v>12</v>
      </c>
      <c r="I62">
        <f t="shared" si="12"/>
        <v>12</v>
      </c>
      <c r="J62">
        <v>1</v>
      </c>
      <c r="K62">
        <v>0</v>
      </c>
      <c r="L62">
        <f t="shared" si="1"/>
        <v>13</v>
      </c>
      <c r="M62" t="s">
        <v>5080</v>
      </c>
    </row>
    <row r="63" spans="1:13" x14ac:dyDescent="0.25">
      <c r="A63" t="s">
        <v>5057</v>
      </c>
      <c r="B63">
        <v>3</v>
      </c>
      <c r="C63">
        <v>38</v>
      </c>
      <c r="D63" s="22">
        <v>46055</v>
      </c>
      <c r="E63">
        <v>3206</v>
      </c>
      <c r="F63" s="3"/>
      <c r="G63">
        <v>0</v>
      </c>
      <c r="H63">
        <v>1</v>
      </c>
      <c r="I63">
        <f t="shared" ref="I63:I65" si="13">G63*H63</f>
        <v>0</v>
      </c>
      <c r="J63">
        <v>134</v>
      </c>
      <c r="K63">
        <v>0</v>
      </c>
      <c r="L63">
        <f t="shared" si="1"/>
        <v>134</v>
      </c>
      <c r="M63" t="s">
        <v>5080</v>
      </c>
    </row>
    <row r="64" spans="1:13" x14ac:dyDescent="0.25">
      <c r="A64" t="s">
        <v>5057</v>
      </c>
      <c r="B64">
        <v>3</v>
      </c>
      <c r="C64">
        <v>38</v>
      </c>
      <c r="D64" s="22">
        <v>46055</v>
      </c>
      <c r="E64">
        <v>7100</v>
      </c>
      <c r="F64" s="3"/>
      <c r="G64">
        <v>3</v>
      </c>
      <c r="H64">
        <v>50</v>
      </c>
      <c r="I64">
        <f t="shared" si="13"/>
        <v>150</v>
      </c>
      <c r="J64">
        <v>0</v>
      </c>
      <c r="K64">
        <v>0</v>
      </c>
      <c r="L64">
        <f t="shared" si="1"/>
        <v>150</v>
      </c>
      <c r="M64" t="s">
        <v>5080</v>
      </c>
    </row>
    <row r="65" spans="1:13" x14ac:dyDescent="0.25">
      <c r="A65" t="s">
        <v>5057</v>
      </c>
      <c r="B65">
        <v>3</v>
      </c>
      <c r="C65">
        <v>38</v>
      </c>
      <c r="D65" s="22">
        <v>46055</v>
      </c>
      <c r="E65">
        <v>3249</v>
      </c>
      <c r="F65" s="3"/>
      <c r="G65">
        <v>1</v>
      </c>
      <c r="H65">
        <v>10</v>
      </c>
      <c r="I65">
        <f t="shared" si="13"/>
        <v>10</v>
      </c>
      <c r="J65">
        <v>0</v>
      </c>
      <c r="K65">
        <v>0</v>
      </c>
      <c r="L65">
        <f t="shared" si="1"/>
        <v>10</v>
      </c>
      <c r="M65" t="s">
        <v>5080</v>
      </c>
    </row>
    <row r="66" spans="1:13" x14ac:dyDescent="0.25">
      <c r="A66" t="s">
        <v>5057</v>
      </c>
      <c r="B66">
        <v>3</v>
      </c>
      <c r="C66">
        <v>39</v>
      </c>
      <c r="D66" t="s">
        <v>4567</v>
      </c>
      <c r="E66">
        <v>3270</v>
      </c>
      <c r="F66" s="3"/>
      <c r="G66">
        <v>0</v>
      </c>
      <c r="H66">
        <v>1</v>
      </c>
      <c r="I66">
        <f t="shared" ref="I66:I67" si="14">G66*H66</f>
        <v>0</v>
      </c>
      <c r="J66">
        <v>5</v>
      </c>
      <c r="K66">
        <v>0</v>
      </c>
      <c r="L66">
        <f t="shared" ref="L66:L130" si="15">I66+J66+K66</f>
        <v>5</v>
      </c>
      <c r="M66" t="s">
        <v>5080</v>
      </c>
    </row>
    <row r="67" spans="1:13" x14ac:dyDescent="0.25">
      <c r="A67" t="s">
        <v>5057</v>
      </c>
      <c r="B67">
        <v>3</v>
      </c>
      <c r="C67">
        <v>39</v>
      </c>
      <c r="D67" t="s">
        <v>4567</v>
      </c>
      <c r="E67" s="23">
        <v>3104</v>
      </c>
      <c r="F67" s="3"/>
      <c r="G67">
        <v>12</v>
      </c>
      <c r="H67">
        <v>4</v>
      </c>
      <c r="I67">
        <f t="shared" si="14"/>
        <v>48</v>
      </c>
      <c r="J67">
        <v>0</v>
      </c>
      <c r="K67">
        <v>0</v>
      </c>
      <c r="L67">
        <f t="shared" si="15"/>
        <v>48</v>
      </c>
      <c r="M67" t="s">
        <v>5080</v>
      </c>
    </row>
    <row r="68" spans="1:13" x14ac:dyDescent="0.25">
      <c r="A68" t="s">
        <v>5057</v>
      </c>
      <c r="B68">
        <v>3</v>
      </c>
      <c r="C68">
        <v>39</v>
      </c>
      <c r="D68" t="s">
        <v>4567</v>
      </c>
      <c r="E68">
        <v>15095</v>
      </c>
      <c r="F68" s="3"/>
      <c r="G68">
        <v>2</v>
      </c>
      <c r="H68">
        <v>1</v>
      </c>
      <c r="I68">
        <f t="shared" ref="I68:I70" si="16">G68*H68</f>
        <v>2</v>
      </c>
      <c r="J68">
        <v>0</v>
      </c>
      <c r="K68">
        <v>0</v>
      </c>
      <c r="L68">
        <f t="shared" si="15"/>
        <v>2</v>
      </c>
      <c r="M68" t="s">
        <v>5080</v>
      </c>
    </row>
    <row r="69" spans="1:13" x14ac:dyDescent="0.25">
      <c r="A69" t="s">
        <v>5057</v>
      </c>
      <c r="B69">
        <v>3</v>
      </c>
      <c r="C69">
        <v>39</v>
      </c>
      <c r="D69" t="s">
        <v>4567</v>
      </c>
      <c r="E69" s="23">
        <v>3104</v>
      </c>
      <c r="F69" s="3"/>
      <c r="G69">
        <v>77</v>
      </c>
      <c r="H69">
        <v>4</v>
      </c>
      <c r="I69">
        <f t="shared" si="16"/>
        <v>308</v>
      </c>
      <c r="J69">
        <v>0</v>
      </c>
      <c r="K69">
        <v>0</v>
      </c>
      <c r="L69">
        <f t="shared" si="15"/>
        <v>308</v>
      </c>
      <c r="M69" t="s">
        <v>5080</v>
      </c>
    </row>
    <row r="70" spans="1:13" x14ac:dyDescent="0.25">
      <c r="A70" t="s">
        <v>5057</v>
      </c>
      <c r="B70">
        <v>3</v>
      </c>
      <c r="C70">
        <v>39</v>
      </c>
      <c r="D70" t="s">
        <v>4567</v>
      </c>
      <c r="E70">
        <v>3263</v>
      </c>
      <c r="F70" s="3"/>
      <c r="G70">
        <v>4</v>
      </c>
      <c r="H70">
        <v>100</v>
      </c>
      <c r="I70">
        <f t="shared" si="16"/>
        <v>400</v>
      </c>
      <c r="J70">
        <v>0</v>
      </c>
      <c r="K70">
        <v>0</v>
      </c>
      <c r="L70">
        <f t="shared" si="15"/>
        <v>400</v>
      </c>
      <c r="M70" t="s">
        <v>5080</v>
      </c>
    </row>
    <row r="71" spans="1:13" x14ac:dyDescent="0.25">
      <c r="A71" t="s">
        <v>5057</v>
      </c>
      <c r="B71">
        <v>3</v>
      </c>
      <c r="C71">
        <v>39</v>
      </c>
      <c r="D71" t="s">
        <v>4567</v>
      </c>
      <c r="E71">
        <v>3194</v>
      </c>
      <c r="F71" s="3"/>
      <c r="G71">
        <v>51</v>
      </c>
      <c r="H71">
        <v>2</v>
      </c>
      <c r="I71">
        <f t="shared" ref="I71:I84" si="17">G71*H71</f>
        <v>102</v>
      </c>
      <c r="J71">
        <v>0</v>
      </c>
      <c r="K71">
        <v>0</v>
      </c>
      <c r="L71">
        <f t="shared" si="15"/>
        <v>102</v>
      </c>
      <c r="M71" t="s">
        <v>5080</v>
      </c>
    </row>
    <row r="72" spans="1:13" x14ac:dyDescent="0.25">
      <c r="A72" t="s">
        <v>5057</v>
      </c>
      <c r="B72">
        <v>3</v>
      </c>
      <c r="C72">
        <v>39</v>
      </c>
      <c r="D72" t="s">
        <v>4567</v>
      </c>
      <c r="E72">
        <v>3249</v>
      </c>
      <c r="F72" s="3"/>
      <c r="G72">
        <v>0</v>
      </c>
      <c r="H72">
        <v>1</v>
      </c>
      <c r="I72">
        <f t="shared" ref="I72" si="18">G72*H72</f>
        <v>0</v>
      </c>
      <c r="J72">
        <v>4</v>
      </c>
      <c r="K72">
        <v>0</v>
      </c>
      <c r="L72">
        <f t="shared" si="15"/>
        <v>4</v>
      </c>
      <c r="M72" t="s">
        <v>5080</v>
      </c>
    </row>
    <row r="73" spans="1:13" x14ac:dyDescent="0.25">
      <c r="A73" t="s">
        <v>5057</v>
      </c>
      <c r="B73">
        <v>3</v>
      </c>
      <c r="C73">
        <v>39</v>
      </c>
      <c r="D73" t="s">
        <v>4567</v>
      </c>
      <c r="E73">
        <v>3199</v>
      </c>
      <c r="F73" s="3"/>
      <c r="G73">
        <v>10</v>
      </c>
      <c r="H73">
        <v>2</v>
      </c>
      <c r="I73">
        <f t="shared" si="17"/>
        <v>20</v>
      </c>
      <c r="J73">
        <v>0</v>
      </c>
      <c r="K73">
        <v>0</v>
      </c>
      <c r="L73">
        <f t="shared" si="15"/>
        <v>20</v>
      </c>
      <c r="M73" t="s">
        <v>5080</v>
      </c>
    </row>
    <row r="74" spans="1:13" x14ac:dyDescent="0.25">
      <c r="A74" t="s">
        <v>5057</v>
      </c>
      <c r="B74">
        <v>3</v>
      </c>
      <c r="C74">
        <v>39</v>
      </c>
      <c r="D74" t="s">
        <v>4567</v>
      </c>
      <c r="E74">
        <v>3195</v>
      </c>
      <c r="F74" s="3"/>
      <c r="G74">
        <v>1</v>
      </c>
      <c r="H74">
        <v>2</v>
      </c>
      <c r="I74">
        <f t="shared" si="17"/>
        <v>2</v>
      </c>
      <c r="J74">
        <v>0</v>
      </c>
      <c r="K74">
        <v>0</v>
      </c>
      <c r="L74">
        <f t="shared" si="15"/>
        <v>2</v>
      </c>
      <c r="M74" t="s">
        <v>5080</v>
      </c>
    </row>
    <row r="75" spans="1:13" x14ac:dyDescent="0.25">
      <c r="A75" t="s">
        <v>5057</v>
      </c>
      <c r="B75">
        <v>3</v>
      </c>
      <c r="C75">
        <v>39</v>
      </c>
      <c r="D75" t="s">
        <v>4567</v>
      </c>
      <c r="E75">
        <v>7112</v>
      </c>
      <c r="F75" s="3"/>
      <c r="G75">
        <v>0</v>
      </c>
      <c r="H75">
        <v>1</v>
      </c>
      <c r="I75">
        <f t="shared" si="17"/>
        <v>0</v>
      </c>
      <c r="J75">
        <v>43</v>
      </c>
      <c r="K75">
        <v>0</v>
      </c>
      <c r="L75">
        <f t="shared" si="15"/>
        <v>43</v>
      </c>
      <c r="M75" t="s">
        <v>5080</v>
      </c>
    </row>
    <row r="76" spans="1:13" x14ac:dyDescent="0.25">
      <c r="A76" t="s">
        <v>5057</v>
      </c>
      <c r="B76">
        <v>3</v>
      </c>
      <c r="C76">
        <v>39</v>
      </c>
      <c r="D76" t="s">
        <v>4567</v>
      </c>
      <c r="E76">
        <v>7102</v>
      </c>
      <c r="F76" s="3"/>
      <c r="G76">
        <v>0</v>
      </c>
      <c r="H76">
        <v>1</v>
      </c>
      <c r="I76">
        <f t="shared" si="17"/>
        <v>0</v>
      </c>
      <c r="J76">
        <v>43</v>
      </c>
      <c r="K76">
        <v>0</v>
      </c>
      <c r="L76">
        <f t="shared" si="15"/>
        <v>43</v>
      </c>
      <c r="M76" t="s">
        <v>5080</v>
      </c>
    </row>
    <row r="77" spans="1:13" x14ac:dyDescent="0.25">
      <c r="A77" t="s">
        <v>5057</v>
      </c>
      <c r="B77">
        <v>3</v>
      </c>
      <c r="C77">
        <v>39</v>
      </c>
      <c r="D77" t="s">
        <v>4567</v>
      </c>
      <c r="E77">
        <v>3261</v>
      </c>
      <c r="F77" s="3"/>
      <c r="G77">
        <v>0</v>
      </c>
      <c r="H77">
        <v>1</v>
      </c>
      <c r="I77">
        <f t="shared" si="17"/>
        <v>0</v>
      </c>
      <c r="J77">
        <v>14</v>
      </c>
      <c r="K77">
        <v>0</v>
      </c>
      <c r="L77">
        <f t="shared" si="15"/>
        <v>14</v>
      </c>
      <c r="M77" t="s">
        <v>5080</v>
      </c>
    </row>
    <row r="78" spans="1:13" x14ac:dyDescent="0.25">
      <c r="A78" t="s">
        <v>5057</v>
      </c>
      <c r="B78">
        <v>3</v>
      </c>
      <c r="C78">
        <v>39</v>
      </c>
      <c r="D78" t="s">
        <v>4567</v>
      </c>
      <c r="E78">
        <v>3245</v>
      </c>
      <c r="F78" s="3"/>
      <c r="G78">
        <v>1</v>
      </c>
      <c r="H78">
        <v>50</v>
      </c>
      <c r="I78">
        <f t="shared" si="17"/>
        <v>50</v>
      </c>
      <c r="J78">
        <v>0</v>
      </c>
      <c r="K78">
        <v>0</v>
      </c>
      <c r="L78">
        <f t="shared" si="15"/>
        <v>50</v>
      </c>
      <c r="M78" t="s">
        <v>5080</v>
      </c>
    </row>
    <row r="79" spans="1:13" x14ac:dyDescent="0.25">
      <c r="A79" t="s">
        <v>5057</v>
      </c>
      <c r="B79">
        <v>3</v>
      </c>
      <c r="C79">
        <v>39</v>
      </c>
      <c r="D79" t="s">
        <v>4567</v>
      </c>
      <c r="E79">
        <v>3244</v>
      </c>
      <c r="F79" s="3"/>
      <c r="G79">
        <v>3</v>
      </c>
      <c r="H79">
        <v>10</v>
      </c>
      <c r="I79">
        <f t="shared" si="17"/>
        <v>30</v>
      </c>
      <c r="J79">
        <v>0</v>
      </c>
      <c r="K79">
        <v>0</v>
      </c>
      <c r="L79">
        <f t="shared" si="15"/>
        <v>30</v>
      </c>
      <c r="M79" t="s">
        <v>5080</v>
      </c>
    </row>
    <row r="80" spans="1:13" x14ac:dyDescent="0.25">
      <c r="A80" t="s">
        <v>5057</v>
      </c>
      <c r="B80">
        <v>3</v>
      </c>
      <c r="C80">
        <v>39</v>
      </c>
      <c r="D80" t="s">
        <v>4567</v>
      </c>
      <c r="E80">
        <v>3243</v>
      </c>
      <c r="F80" s="3"/>
      <c r="G80">
        <v>3</v>
      </c>
      <c r="H80">
        <v>10</v>
      </c>
      <c r="I80">
        <f t="shared" si="17"/>
        <v>30</v>
      </c>
      <c r="J80">
        <v>0</v>
      </c>
      <c r="K80">
        <v>0</v>
      </c>
      <c r="L80">
        <f t="shared" si="15"/>
        <v>30</v>
      </c>
      <c r="M80" t="s">
        <v>5080</v>
      </c>
    </row>
    <row r="81" spans="1:13" x14ac:dyDescent="0.25">
      <c r="A81" t="s">
        <v>5057</v>
      </c>
      <c r="B81">
        <v>3</v>
      </c>
      <c r="C81">
        <v>39</v>
      </c>
      <c r="D81" t="s">
        <v>4567</v>
      </c>
      <c r="E81">
        <v>3242</v>
      </c>
      <c r="F81" s="3"/>
      <c r="G81">
        <v>4</v>
      </c>
      <c r="H81">
        <v>10</v>
      </c>
      <c r="I81">
        <f t="shared" si="17"/>
        <v>40</v>
      </c>
      <c r="J81">
        <v>0</v>
      </c>
      <c r="K81">
        <v>0</v>
      </c>
      <c r="L81">
        <f t="shared" si="15"/>
        <v>40</v>
      </c>
      <c r="M81" t="s">
        <v>5080</v>
      </c>
    </row>
    <row r="82" spans="1:13" x14ac:dyDescent="0.25">
      <c r="A82" t="s">
        <v>5057</v>
      </c>
      <c r="B82">
        <v>3</v>
      </c>
      <c r="C82">
        <v>39</v>
      </c>
      <c r="D82" t="s">
        <v>4567</v>
      </c>
      <c r="E82">
        <v>3196</v>
      </c>
      <c r="F82" s="3"/>
      <c r="G82">
        <v>36</v>
      </c>
      <c r="H82">
        <v>2</v>
      </c>
      <c r="I82">
        <f t="shared" si="17"/>
        <v>72</v>
      </c>
      <c r="J82">
        <v>0</v>
      </c>
      <c r="K82">
        <v>0</v>
      </c>
      <c r="L82">
        <f t="shared" si="15"/>
        <v>72</v>
      </c>
      <c r="M82" t="s">
        <v>5080</v>
      </c>
    </row>
    <row r="83" spans="1:13" x14ac:dyDescent="0.25">
      <c r="A83" t="s">
        <v>5057</v>
      </c>
      <c r="B83">
        <v>3</v>
      </c>
      <c r="C83">
        <v>39</v>
      </c>
      <c r="D83" t="s">
        <v>4567</v>
      </c>
      <c r="E83">
        <v>3200</v>
      </c>
      <c r="F83" s="3"/>
      <c r="G83">
        <v>6</v>
      </c>
      <c r="H83">
        <v>10</v>
      </c>
      <c r="I83">
        <f t="shared" si="17"/>
        <v>60</v>
      </c>
      <c r="J83">
        <v>0</v>
      </c>
      <c r="K83">
        <v>0</v>
      </c>
      <c r="L83">
        <f t="shared" si="15"/>
        <v>60</v>
      </c>
      <c r="M83" t="s">
        <v>5080</v>
      </c>
    </row>
    <row r="84" spans="1:13" x14ac:dyDescent="0.25">
      <c r="A84" t="s">
        <v>5057</v>
      </c>
      <c r="B84">
        <v>3</v>
      </c>
      <c r="C84">
        <v>39</v>
      </c>
      <c r="D84" t="s">
        <v>4567</v>
      </c>
      <c r="E84">
        <v>3010</v>
      </c>
      <c r="F84" s="3"/>
      <c r="G84">
        <v>0</v>
      </c>
      <c r="H84">
        <v>1</v>
      </c>
      <c r="I84">
        <f t="shared" si="17"/>
        <v>0</v>
      </c>
      <c r="J84">
        <v>13</v>
      </c>
      <c r="K84">
        <v>0</v>
      </c>
      <c r="L84">
        <f t="shared" si="15"/>
        <v>13</v>
      </c>
      <c r="M84" t="s">
        <v>5080</v>
      </c>
    </row>
    <row r="85" spans="1:13" x14ac:dyDescent="0.25">
      <c r="A85" t="s">
        <v>5057</v>
      </c>
      <c r="B85">
        <v>3</v>
      </c>
      <c r="C85">
        <v>39</v>
      </c>
      <c r="D85" t="s">
        <v>4567</v>
      </c>
      <c r="E85">
        <v>3013</v>
      </c>
      <c r="F85" s="3"/>
      <c r="G85">
        <v>0</v>
      </c>
      <c r="H85">
        <v>1</v>
      </c>
      <c r="I85">
        <f t="shared" ref="I85:I101" si="19">G85*H85</f>
        <v>0</v>
      </c>
      <c r="J85">
        <v>3</v>
      </c>
      <c r="K85">
        <v>0</v>
      </c>
      <c r="L85">
        <f t="shared" si="15"/>
        <v>3</v>
      </c>
      <c r="M85" t="s">
        <v>5080</v>
      </c>
    </row>
    <row r="86" spans="1:13" x14ac:dyDescent="0.25">
      <c r="A86" t="s">
        <v>5057</v>
      </c>
      <c r="B86">
        <v>3</v>
      </c>
      <c r="C86">
        <v>40</v>
      </c>
      <c r="D86" s="7" t="s">
        <v>4567</v>
      </c>
      <c r="E86">
        <v>1333</v>
      </c>
      <c r="F86" s="3"/>
      <c r="G86">
        <v>60</v>
      </c>
      <c r="H86">
        <v>25</v>
      </c>
      <c r="I86">
        <f t="shared" si="19"/>
        <v>1500</v>
      </c>
      <c r="J86">
        <v>0</v>
      </c>
      <c r="K86">
        <v>0</v>
      </c>
      <c r="L86">
        <f t="shared" si="15"/>
        <v>1500</v>
      </c>
      <c r="M86" t="s">
        <v>5080</v>
      </c>
    </row>
    <row r="87" spans="1:13" x14ac:dyDescent="0.25">
      <c r="A87" t="s">
        <v>5057</v>
      </c>
      <c r="B87">
        <v>3</v>
      </c>
      <c r="C87">
        <v>40</v>
      </c>
      <c r="D87" s="7" t="s">
        <v>4567</v>
      </c>
      <c r="E87">
        <v>1362</v>
      </c>
      <c r="F87" s="3"/>
      <c r="G87">
        <v>9</v>
      </c>
      <c r="H87">
        <v>25</v>
      </c>
      <c r="I87">
        <f t="shared" si="19"/>
        <v>225</v>
      </c>
      <c r="J87">
        <v>0</v>
      </c>
      <c r="K87">
        <v>0</v>
      </c>
      <c r="L87">
        <f t="shared" si="15"/>
        <v>225</v>
      </c>
      <c r="M87" t="s">
        <v>5080</v>
      </c>
    </row>
    <row r="88" spans="1:13" x14ac:dyDescent="0.25">
      <c r="A88" t="s">
        <v>5057</v>
      </c>
      <c r="B88">
        <v>3</v>
      </c>
      <c r="C88">
        <v>40</v>
      </c>
      <c r="D88" s="7" t="s">
        <v>4567</v>
      </c>
      <c r="E88">
        <v>1365</v>
      </c>
      <c r="F88" s="3"/>
      <c r="G88">
        <v>16</v>
      </c>
      <c r="H88">
        <v>45</v>
      </c>
      <c r="I88">
        <f t="shared" si="19"/>
        <v>720</v>
      </c>
      <c r="J88">
        <v>7</v>
      </c>
      <c r="K88">
        <v>0</v>
      </c>
      <c r="L88">
        <f t="shared" si="15"/>
        <v>727</v>
      </c>
      <c r="M88" t="s">
        <v>5084</v>
      </c>
    </row>
    <row r="89" spans="1:13" x14ac:dyDescent="0.25">
      <c r="A89" t="s">
        <v>5057</v>
      </c>
      <c r="B89">
        <v>3</v>
      </c>
      <c r="C89">
        <v>40</v>
      </c>
      <c r="D89" s="7" t="s">
        <v>4567</v>
      </c>
      <c r="E89">
        <v>1324</v>
      </c>
      <c r="F89" s="3"/>
      <c r="G89">
        <v>0</v>
      </c>
      <c r="H89">
        <v>1</v>
      </c>
      <c r="I89">
        <f t="shared" si="19"/>
        <v>0</v>
      </c>
      <c r="J89">
        <v>2</v>
      </c>
      <c r="K89">
        <v>0</v>
      </c>
      <c r="L89">
        <f t="shared" si="15"/>
        <v>2</v>
      </c>
      <c r="M89" t="s">
        <v>5080</v>
      </c>
    </row>
    <row r="90" spans="1:13" x14ac:dyDescent="0.25">
      <c r="A90" t="s">
        <v>5057</v>
      </c>
      <c r="B90">
        <v>3</v>
      </c>
      <c r="C90">
        <v>40</v>
      </c>
      <c r="D90" s="7" t="s">
        <v>4567</v>
      </c>
      <c r="E90">
        <v>1361</v>
      </c>
      <c r="F90" s="3"/>
      <c r="G90">
        <v>12</v>
      </c>
      <c r="H90">
        <v>1000</v>
      </c>
      <c r="I90">
        <f t="shared" si="19"/>
        <v>12000</v>
      </c>
      <c r="J90">
        <v>0</v>
      </c>
      <c r="K90">
        <v>0</v>
      </c>
      <c r="L90">
        <f t="shared" si="15"/>
        <v>12000</v>
      </c>
      <c r="M90" t="s">
        <v>5080</v>
      </c>
    </row>
    <row r="91" spans="1:13" x14ac:dyDescent="0.25">
      <c r="A91" t="s">
        <v>5057</v>
      </c>
      <c r="B91">
        <v>3</v>
      </c>
      <c r="C91">
        <v>40</v>
      </c>
      <c r="D91" s="7" t="s">
        <v>4567</v>
      </c>
      <c r="E91">
        <v>1360</v>
      </c>
      <c r="F91" s="3"/>
      <c r="G91">
        <v>8</v>
      </c>
      <c r="H91">
        <v>1000</v>
      </c>
      <c r="I91">
        <f t="shared" si="19"/>
        <v>8000</v>
      </c>
      <c r="J91">
        <v>0</v>
      </c>
      <c r="K91">
        <v>0</v>
      </c>
      <c r="L91">
        <f t="shared" si="15"/>
        <v>8000</v>
      </c>
      <c r="M91" t="s">
        <v>5085</v>
      </c>
    </row>
    <row r="92" spans="1:13" x14ac:dyDescent="0.25">
      <c r="A92" t="s">
        <v>5057</v>
      </c>
      <c r="B92">
        <v>3</v>
      </c>
      <c r="C92">
        <v>40</v>
      </c>
      <c r="D92" s="7" t="s">
        <v>4567</v>
      </c>
      <c r="E92">
        <v>1362</v>
      </c>
      <c r="F92" s="3"/>
      <c r="G92">
        <v>8</v>
      </c>
      <c r="H92">
        <v>10000</v>
      </c>
      <c r="I92">
        <f t="shared" si="19"/>
        <v>80000</v>
      </c>
      <c r="J92">
        <v>0</v>
      </c>
      <c r="K92">
        <v>0</v>
      </c>
      <c r="L92">
        <f t="shared" si="15"/>
        <v>80000</v>
      </c>
      <c r="M92" t="s">
        <v>5085</v>
      </c>
    </row>
    <row r="93" spans="1:13" x14ac:dyDescent="0.25">
      <c r="A93" t="s">
        <v>5057</v>
      </c>
      <c r="B93">
        <v>3</v>
      </c>
      <c r="C93">
        <v>40</v>
      </c>
      <c r="D93" s="7" t="s">
        <v>4567</v>
      </c>
      <c r="E93">
        <v>1363</v>
      </c>
      <c r="F93" s="3"/>
      <c r="G93">
        <v>8</v>
      </c>
      <c r="H93">
        <v>1000</v>
      </c>
      <c r="I93">
        <f t="shared" si="19"/>
        <v>8000</v>
      </c>
      <c r="J93">
        <v>0</v>
      </c>
      <c r="K93">
        <v>0</v>
      </c>
      <c r="L93">
        <f t="shared" si="15"/>
        <v>8000</v>
      </c>
      <c r="M93" t="s">
        <v>5085</v>
      </c>
    </row>
    <row r="94" spans="1:13" x14ac:dyDescent="0.25">
      <c r="A94" t="s">
        <v>5057</v>
      </c>
      <c r="B94">
        <v>3</v>
      </c>
      <c r="C94">
        <v>40</v>
      </c>
      <c r="D94" s="7" t="s">
        <v>4567</v>
      </c>
      <c r="E94">
        <v>1353</v>
      </c>
      <c r="F94" s="3"/>
      <c r="G94">
        <v>25</v>
      </c>
      <c r="H94">
        <v>96</v>
      </c>
      <c r="I94">
        <f t="shared" si="19"/>
        <v>2400</v>
      </c>
      <c r="J94">
        <v>0</v>
      </c>
      <c r="K94">
        <v>0</v>
      </c>
      <c r="L94">
        <f t="shared" si="15"/>
        <v>2400</v>
      </c>
      <c r="M94" t="s">
        <v>5080</v>
      </c>
    </row>
    <row r="95" spans="1:13" x14ac:dyDescent="0.25">
      <c r="A95" t="s">
        <v>5057</v>
      </c>
      <c r="B95">
        <v>3</v>
      </c>
      <c r="C95">
        <v>40</v>
      </c>
      <c r="D95" s="7" t="s">
        <v>4567</v>
      </c>
      <c r="E95">
        <v>3269</v>
      </c>
      <c r="F95" s="3"/>
      <c r="G95">
        <v>0</v>
      </c>
      <c r="H95">
        <v>1</v>
      </c>
      <c r="I95">
        <f t="shared" si="19"/>
        <v>0</v>
      </c>
      <c r="J95">
        <v>53</v>
      </c>
      <c r="K95">
        <v>0</v>
      </c>
      <c r="L95">
        <f t="shared" si="15"/>
        <v>53</v>
      </c>
      <c r="M95" t="s">
        <v>5080</v>
      </c>
    </row>
    <row r="96" spans="1:13" x14ac:dyDescent="0.25">
      <c r="A96" t="s">
        <v>5057</v>
      </c>
      <c r="B96">
        <v>3</v>
      </c>
      <c r="C96">
        <v>40</v>
      </c>
      <c r="D96" s="7" t="s">
        <v>4567</v>
      </c>
      <c r="E96">
        <v>3264</v>
      </c>
      <c r="F96" s="3"/>
      <c r="G96">
        <v>0</v>
      </c>
      <c r="H96">
        <v>1</v>
      </c>
      <c r="I96">
        <f t="shared" si="19"/>
        <v>0</v>
      </c>
      <c r="J96">
        <v>44</v>
      </c>
      <c r="K96">
        <v>0</v>
      </c>
      <c r="L96">
        <f t="shared" si="15"/>
        <v>44</v>
      </c>
      <c r="M96" t="s">
        <v>5080</v>
      </c>
    </row>
    <row r="97" spans="1:13" x14ac:dyDescent="0.25">
      <c r="A97" t="s">
        <v>5057</v>
      </c>
      <c r="B97">
        <v>3</v>
      </c>
      <c r="C97">
        <v>40</v>
      </c>
      <c r="D97" s="7" t="s">
        <v>4567</v>
      </c>
      <c r="E97">
        <v>3265</v>
      </c>
      <c r="F97" s="3"/>
      <c r="G97">
        <v>0</v>
      </c>
      <c r="H97">
        <v>1</v>
      </c>
      <c r="I97">
        <f t="shared" si="19"/>
        <v>0</v>
      </c>
      <c r="J97">
        <v>31</v>
      </c>
      <c r="K97">
        <v>0</v>
      </c>
      <c r="L97">
        <f t="shared" si="15"/>
        <v>31</v>
      </c>
      <c r="M97" t="s">
        <v>5080</v>
      </c>
    </row>
    <row r="98" spans="1:13" x14ac:dyDescent="0.25">
      <c r="A98" t="s">
        <v>5057</v>
      </c>
      <c r="B98">
        <v>3</v>
      </c>
      <c r="C98">
        <v>40</v>
      </c>
      <c r="D98" s="7" t="s">
        <v>4567</v>
      </c>
      <c r="E98">
        <v>3333</v>
      </c>
      <c r="F98" s="3"/>
      <c r="G98">
        <v>1</v>
      </c>
      <c r="H98">
        <v>50</v>
      </c>
      <c r="I98">
        <f t="shared" si="19"/>
        <v>50</v>
      </c>
      <c r="J98">
        <v>41</v>
      </c>
      <c r="K98">
        <v>0</v>
      </c>
      <c r="L98">
        <f t="shared" si="15"/>
        <v>91</v>
      </c>
      <c r="M98" t="s">
        <v>5080</v>
      </c>
    </row>
    <row r="99" spans="1:13" x14ac:dyDescent="0.25">
      <c r="A99" t="s">
        <v>5057</v>
      </c>
      <c r="B99">
        <v>3</v>
      </c>
      <c r="C99">
        <v>40</v>
      </c>
      <c r="D99" s="7" t="s">
        <v>4567</v>
      </c>
      <c r="E99">
        <v>3120</v>
      </c>
      <c r="F99" s="3"/>
      <c r="G99">
        <v>1</v>
      </c>
      <c r="H99">
        <v>100</v>
      </c>
      <c r="I99">
        <f t="shared" si="19"/>
        <v>100</v>
      </c>
      <c r="J99">
        <v>9</v>
      </c>
      <c r="K99">
        <v>0</v>
      </c>
      <c r="L99">
        <f t="shared" si="15"/>
        <v>109</v>
      </c>
      <c r="M99" t="s">
        <v>5080</v>
      </c>
    </row>
    <row r="100" spans="1:13" x14ac:dyDescent="0.25">
      <c r="A100" t="s">
        <v>5057</v>
      </c>
      <c r="B100">
        <v>3</v>
      </c>
      <c r="C100">
        <v>40</v>
      </c>
      <c r="D100" s="60">
        <v>46055</v>
      </c>
      <c r="E100">
        <v>3268</v>
      </c>
      <c r="F100" s="3"/>
      <c r="G100">
        <v>3</v>
      </c>
      <c r="H100">
        <v>100</v>
      </c>
      <c r="I100">
        <f t="shared" si="19"/>
        <v>300</v>
      </c>
      <c r="J100">
        <v>92</v>
      </c>
      <c r="K100">
        <v>0</v>
      </c>
      <c r="L100">
        <f t="shared" si="15"/>
        <v>392</v>
      </c>
      <c r="M100" t="s">
        <v>5080</v>
      </c>
    </row>
    <row r="101" spans="1:13" x14ac:dyDescent="0.25">
      <c r="A101" t="s">
        <v>5057</v>
      </c>
      <c r="B101">
        <v>3</v>
      </c>
      <c r="C101">
        <v>40</v>
      </c>
      <c r="D101" s="60">
        <v>46055</v>
      </c>
      <c r="E101">
        <v>3309</v>
      </c>
      <c r="F101" s="3"/>
      <c r="G101">
        <v>11</v>
      </c>
      <c r="H101">
        <v>100</v>
      </c>
      <c r="I101">
        <f t="shared" si="19"/>
        <v>1100</v>
      </c>
      <c r="J101">
        <v>14</v>
      </c>
      <c r="K101">
        <v>0</v>
      </c>
      <c r="L101">
        <f t="shared" si="15"/>
        <v>1114</v>
      </c>
      <c r="M101" t="s">
        <v>5080</v>
      </c>
    </row>
    <row r="102" spans="1:13" x14ac:dyDescent="0.25">
      <c r="A102" t="s">
        <v>5057</v>
      </c>
      <c r="B102">
        <v>3</v>
      </c>
      <c r="C102">
        <v>40</v>
      </c>
      <c r="D102" s="60">
        <v>46055</v>
      </c>
      <c r="E102">
        <v>11482</v>
      </c>
      <c r="F102" s="3"/>
      <c r="G102">
        <v>3</v>
      </c>
      <c r="H102">
        <v>60</v>
      </c>
      <c r="I102">
        <f t="shared" ref="I102:I165" si="20">G102*H102</f>
        <v>180</v>
      </c>
      <c r="J102">
        <v>0</v>
      </c>
      <c r="K102">
        <v>0</v>
      </c>
      <c r="L102">
        <f t="shared" si="15"/>
        <v>180</v>
      </c>
      <c r="M102" t="s">
        <v>5080</v>
      </c>
    </row>
    <row r="103" spans="1:13" x14ac:dyDescent="0.25">
      <c r="A103" t="s">
        <v>5057</v>
      </c>
      <c r="B103">
        <v>3</v>
      </c>
      <c r="C103">
        <v>40</v>
      </c>
      <c r="D103" s="60">
        <v>46055</v>
      </c>
      <c r="E103">
        <v>3124</v>
      </c>
      <c r="F103" s="3"/>
      <c r="G103">
        <v>13</v>
      </c>
      <c r="H103">
        <v>4</v>
      </c>
      <c r="I103">
        <f t="shared" si="20"/>
        <v>52</v>
      </c>
      <c r="J103">
        <v>0</v>
      </c>
      <c r="K103">
        <v>0</v>
      </c>
      <c r="L103">
        <f t="shared" si="15"/>
        <v>52</v>
      </c>
      <c r="M103" t="s">
        <v>5080</v>
      </c>
    </row>
    <row r="104" spans="1:13" x14ac:dyDescent="0.25">
      <c r="A104" t="s">
        <v>5057</v>
      </c>
      <c r="B104">
        <v>3</v>
      </c>
      <c r="C104">
        <v>41</v>
      </c>
      <c r="D104" s="22">
        <v>46083</v>
      </c>
      <c r="E104" s="7">
        <v>15142</v>
      </c>
      <c r="F104" s="3"/>
      <c r="G104">
        <v>2</v>
      </c>
      <c r="H104">
        <v>1</v>
      </c>
      <c r="I104">
        <f t="shared" si="20"/>
        <v>2</v>
      </c>
      <c r="J104">
        <v>0</v>
      </c>
      <c r="K104">
        <v>0</v>
      </c>
      <c r="L104">
        <f t="shared" si="15"/>
        <v>2</v>
      </c>
      <c r="M104" t="s">
        <v>5080</v>
      </c>
    </row>
    <row r="105" spans="1:13" x14ac:dyDescent="0.25">
      <c r="A105" t="s">
        <v>5057</v>
      </c>
      <c r="B105">
        <v>3</v>
      </c>
      <c r="C105">
        <v>41</v>
      </c>
      <c r="D105" s="22">
        <v>46083</v>
      </c>
      <c r="E105" s="6" t="s">
        <v>4629</v>
      </c>
      <c r="F105" s="3"/>
      <c r="G105">
        <v>3</v>
      </c>
      <c r="H105">
        <v>50</v>
      </c>
      <c r="I105">
        <f t="shared" si="20"/>
        <v>150</v>
      </c>
      <c r="J105">
        <v>0</v>
      </c>
      <c r="K105">
        <v>0</v>
      </c>
      <c r="L105">
        <f t="shared" si="15"/>
        <v>150</v>
      </c>
      <c r="M105" t="s">
        <v>5080</v>
      </c>
    </row>
    <row r="106" spans="1:13" x14ac:dyDescent="0.25">
      <c r="A106" t="s">
        <v>5057</v>
      </c>
      <c r="B106">
        <v>3</v>
      </c>
      <c r="C106">
        <v>41</v>
      </c>
      <c r="D106" s="22">
        <v>46083</v>
      </c>
      <c r="E106" s="7">
        <v>15146</v>
      </c>
      <c r="F106" s="3"/>
      <c r="G106">
        <v>8</v>
      </c>
      <c r="H106">
        <v>1</v>
      </c>
      <c r="I106">
        <f t="shared" si="20"/>
        <v>8</v>
      </c>
      <c r="J106">
        <v>0</v>
      </c>
      <c r="K106">
        <v>0</v>
      </c>
      <c r="L106">
        <f t="shared" si="15"/>
        <v>8</v>
      </c>
      <c r="M106" t="s">
        <v>5080</v>
      </c>
    </row>
    <row r="107" spans="1:13" x14ac:dyDescent="0.25">
      <c r="A107" t="s">
        <v>5057</v>
      </c>
      <c r="B107">
        <v>3</v>
      </c>
      <c r="C107">
        <v>41</v>
      </c>
      <c r="D107" s="22">
        <v>46083</v>
      </c>
      <c r="E107" s="7">
        <v>1154</v>
      </c>
      <c r="F107" s="3"/>
      <c r="G107">
        <v>4</v>
      </c>
      <c r="H107">
        <v>25</v>
      </c>
      <c r="I107">
        <f t="shared" si="20"/>
        <v>100</v>
      </c>
      <c r="J107">
        <v>0</v>
      </c>
      <c r="K107">
        <v>0</v>
      </c>
      <c r="L107">
        <f t="shared" si="15"/>
        <v>100</v>
      </c>
      <c r="M107" t="s">
        <v>5080</v>
      </c>
    </row>
    <row r="108" spans="1:13" x14ac:dyDescent="0.25">
      <c r="A108" t="s">
        <v>5057</v>
      </c>
      <c r="B108">
        <v>3</v>
      </c>
      <c r="C108">
        <v>41</v>
      </c>
      <c r="D108" s="22">
        <v>46083</v>
      </c>
      <c r="E108" s="6" t="s">
        <v>4629</v>
      </c>
      <c r="F108" s="3"/>
      <c r="G108">
        <v>1</v>
      </c>
      <c r="H108">
        <v>50</v>
      </c>
      <c r="I108">
        <f t="shared" si="20"/>
        <v>50</v>
      </c>
      <c r="J108">
        <v>0</v>
      </c>
      <c r="K108">
        <v>0</v>
      </c>
      <c r="L108">
        <f t="shared" si="15"/>
        <v>50</v>
      </c>
      <c r="M108" t="s">
        <v>5080</v>
      </c>
    </row>
    <row r="109" spans="1:13" x14ac:dyDescent="0.25">
      <c r="A109" t="s">
        <v>5057</v>
      </c>
      <c r="B109">
        <v>3</v>
      </c>
      <c r="C109">
        <v>41</v>
      </c>
      <c r="D109" s="22">
        <v>46083</v>
      </c>
      <c r="E109" s="6" t="s">
        <v>4666</v>
      </c>
      <c r="F109" s="3"/>
      <c r="G109">
        <v>4</v>
      </c>
      <c r="H109">
        <v>800</v>
      </c>
      <c r="I109">
        <f t="shared" si="20"/>
        <v>3200</v>
      </c>
      <c r="J109">
        <v>0</v>
      </c>
      <c r="K109">
        <v>0</v>
      </c>
      <c r="L109">
        <f t="shared" si="15"/>
        <v>3200</v>
      </c>
      <c r="M109" t="s">
        <v>5080</v>
      </c>
    </row>
    <row r="110" spans="1:13" x14ac:dyDescent="0.25">
      <c r="A110" t="s">
        <v>5057</v>
      </c>
      <c r="B110">
        <v>3</v>
      </c>
      <c r="C110">
        <v>41</v>
      </c>
      <c r="D110" s="22">
        <v>46083</v>
      </c>
      <c r="E110" s="7">
        <v>11541</v>
      </c>
      <c r="F110" s="3"/>
      <c r="G110">
        <v>1</v>
      </c>
      <c r="H110">
        <v>1</v>
      </c>
      <c r="I110">
        <f t="shared" ref="I110" si="21">G110*H110</f>
        <v>1</v>
      </c>
      <c r="J110">
        <v>0</v>
      </c>
      <c r="K110">
        <v>0</v>
      </c>
      <c r="L110">
        <f t="shared" si="15"/>
        <v>1</v>
      </c>
      <c r="M110" t="s">
        <v>5080</v>
      </c>
    </row>
    <row r="111" spans="1:13" x14ac:dyDescent="0.25">
      <c r="A111" t="s">
        <v>5057</v>
      </c>
      <c r="B111">
        <v>3</v>
      </c>
      <c r="C111">
        <v>42</v>
      </c>
      <c r="D111" s="22">
        <v>46083</v>
      </c>
      <c r="E111" s="7">
        <v>15147</v>
      </c>
      <c r="F111" s="3"/>
      <c r="G111">
        <v>2</v>
      </c>
      <c r="H111">
        <v>1</v>
      </c>
      <c r="I111">
        <f t="shared" si="20"/>
        <v>2</v>
      </c>
      <c r="J111">
        <v>0</v>
      </c>
      <c r="K111">
        <v>0</v>
      </c>
      <c r="L111">
        <f t="shared" si="15"/>
        <v>2</v>
      </c>
      <c r="M111" t="s">
        <v>5080</v>
      </c>
    </row>
    <row r="112" spans="1:13" x14ac:dyDescent="0.25">
      <c r="A112" t="s">
        <v>5057</v>
      </c>
      <c r="B112">
        <v>3</v>
      </c>
      <c r="C112">
        <v>42</v>
      </c>
      <c r="D112" s="22">
        <v>46083</v>
      </c>
      <c r="E112" s="7">
        <v>15146</v>
      </c>
      <c r="F112" s="3"/>
      <c r="G112">
        <v>10</v>
      </c>
      <c r="H112">
        <v>1</v>
      </c>
      <c r="I112">
        <f t="shared" si="20"/>
        <v>10</v>
      </c>
      <c r="J112">
        <v>0</v>
      </c>
      <c r="K112">
        <v>0</v>
      </c>
      <c r="L112">
        <f t="shared" si="15"/>
        <v>10</v>
      </c>
      <c r="M112" t="s">
        <v>5080</v>
      </c>
    </row>
    <row r="113" spans="1:13" x14ac:dyDescent="0.25">
      <c r="A113" t="s">
        <v>5057</v>
      </c>
      <c r="B113">
        <v>3</v>
      </c>
      <c r="C113">
        <v>42</v>
      </c>
      <c r="D113" s="22">
        <v>46083</v>
      </c>
      <c r="E113" s="6" t="s">
        <v>4593</v>
      </c>
      <c r="F113" s="3"/>
      <c r="G113">
        <v>12</v>
      </c>
      <c r="H113">
        <v>800</v>
      </c>
      <c r="I113">
        <f t="shared" si="20"/>
        <v>9600</v>
      </c>
      <c r="J113">
        <v>0</v>
      </c>
      <c r="K113">
        <v>0</v>
      </c>
      <c r="L113">
        <f t="shared" si="15"/>
        <v>9600</v>
      </c>
      <c r="M113" t="s">
        <v>5080</v>
      </c>
    </row>
    <row r="114" spans="1:13" x14ac:dyDescent="0.25">
      <c r="A114" t="s">
        <v>5057</v>
      </c>
      <c r="B114">
        <v>3</v>
      </c>
      <c r="C114">
        <v>42</v>
      </c>
      <c r="D114" s="22">
        <v>46083</v>
      </c>
      <c r="E114" s="6" t="s">
        <v>4648</v>
      </c>
      <c r="F114" s="3"/>
      <c r="G114">
        <v>4</v>
      </c>
      <c r="H114">
        <v>25</v>
      </c>
      <c r="I114">
        <f t="shared" si="20"/>
        <v>100</v>
      </c>
      <c r="J114">
        <v>0</v>
      </c>
      <c r="K114">
        <v>0</v>
      </c>
      <c r="L114">
        <f t="shared" si="15"/>
        <v>100</v>
      </c>
      <c r="M114" t="s">
        <v>5080</v>
      </c>
    </row>
    <row r="115" spans="1:13" x14ac:dyDescent="0.25">
      <c r="A115" t="s">
        <v>5057</v>
      </c>
      <c r="B115">
        <v>3</v>
      </c>
      <c r="C115">
        <v>43</v>
      </c>
      <c r="D115" s="22">
        <v>46083</v>
      </c>
      <c r="E115" s="6" t="s">
        <v>4634</v>
      </c>
      <c r="F115" s="3"/>
      <c r="G115">
        <v>27</v>
      </c>
      <c r="H115">
        <v>500</v>
      </c>
      <c r="I115">
        <f t="shared" si="20"/>
        <v>13500</v>
      </c>
      <c r="J115">
        <v>0</v>
      </c>
      <c r="K115">
        <v>0</v>
      </c>
      <c r="L115">
        <f t="shared" si="15"/>
        <v>13500</v>
      </c>
      <c r="M115" t="s">
        <v>5080</v>
      </c>
    </row>
    <row r="116" spans="1:13" x14ac:dyDescent="0.25">
      <c r="A116" t="s">
        <v>5057</v>
      </c>
      <c r="B116">
        <v>3</v>
      </c>
      <c r="C116">
        <v>43</v>
      </c>
      <c r="D116" s="22">
        <v>46083</v>
      </c>
      <c r="E116" s="6" t="s">
        <v>4635</v>
      </c>
      <c r="F116" s="3"/>
      <c r="G116">
        <v>21</v>
      </c>
      <c r="H116">
        <v>150</v>
      </c>
      <c r="I116">
        <f t="shared" si="20"/>
        <v>3150</v>
      </c>
      <c r="J116">
        <v>0</v>
      </c>
      <c r="K116">
        <v>0</v>
      </c>
      <c r="L116">
        <f t="shared" si="15"/>
        <v>3150</v>
      </c>
      <c r="M116" t="s">
        <v>5080</v>
      </c>
    </row>
    <row r="117" spans="1:13" x14ac:dyDescent="0.25">
      <c r="A117" t="s">
        <v>5057</v>
      </c>
      <c r="B117">
        <v>3</v>
      </c>
      <c r="C117">
        <v>43</v>
      </c>
      <c r="D117" s="22">
        <v>46083</v>
      </c>
      <c r="E117" s="6" t="s">
        <v>4638</v>
      </c>
      <c r="F117" s="3"/>
      <c r="G117">
        <v>27</v>
      </c>
      <c r="H117">
        <v>500</v>
      </c>
      <c r="I117">
        <f t="shared" si="20"/>
        <v>13500</v>
      </c>
      <c r="J117">
        <v>0</v>
      </c>
      <c r="K117">
        <v>0</v>
      </c>
      <c r="L117">
        <f t="shared" si="15"/>
        <v>13500</v>
      </c>
      <c r="M117" t="s">
        <v>5080</v>
      </c>
    </row>
    <row r="118" spans="1:13" x14ac:dyDescent="0.25">
      <c r="A118" t="s">
        <v>5057</v>
      </c>
      <c r="B118">
        <v>3</v>
      </c>
      <c r="C118">
        <v>43</v>
      </c>
      <c r="D118" s="22">
        <v>46083</v>
      </c>
      <c r="E118" s="6" t="s">
        <v>4639</v>
      </c>
      <c r="F118" s="3"/>
      <c r="G118">
        <v>28</v>
      </c>
      <c r="H118">
        <v>50</v>
      </c>
      <c r="I118">
        <f t="shared" si="20"/>
        <v>1400</v>
      </c>
      <c r="J118">
        <v>0</v>
      </c>
      <c r="K118">
        <v>0</v>
      </c>
      <c r="L118">
        <f t="shared" si="15"/>
        <v>1400</v>
      </c>
      <c r="M118" t="s">
        <v>5080</v>
      </c>
    </row>
    <row r="119" spans="1:13" x14ac:dyDescent="0.25">
      <c r="A119" t="s">
        <v>5057</v>
      </c>
      <c r="B119">
        <v>3</v>
      </c>
      <c r="C119">
        <v>43</v>
      </c>
      <c r="D119" s="22">
        <v>46083</v>
      </c>
      <c r="E119" s="6" t="s">
        <v>4640</v>
      </c>
      <c r="F119" s="3"/>
      <c r="G119">
        <v>22</v>
      </c>
      <c r="H119">
        <v>250</v>
      </c>
      <c r="I119">
        <f t="shared" si="20"/>
        <v>5500</v>
      </c>
      <c r="J119">
        <v>0</v>
      </c>
      <c r="K119">
        <v>0</v>
      </c>
      <c r="L119">
        <f t="shared" si="15"/>
        <v>5500</v>
      </c>
      <c r="M119" t="s">
        <v>5080</v>
      </c>
    </row>
    <row r="120" spans="1:13" x14ac:dyDescent="0.25">
      <c r="A120" t="s">
        <v>5057</v>
      </c>
      <c r="B120">
        <v>3</v>
      </c>
      <c r="C120">
        <v>43</v>
      </c>
      <c r="D120" s="22">
        <v>46083</v>
      </c>
      <c r="E120" s="6" t="s">
        <v>4641</v>
      </c>
      <c r="F120" s="3"/>
      <c r="G120">
        <v>46</v>
      </c>
      <c r="H120">
        <v>500</v>
      </c>
      <c r="I120">
        <f t="shared" si="20"/>
        <v>23000</v>
      </c>
      <c r="J120">
        <v>0</v>
      </c>
      <c r="K120">
        <v>0</v>
      </c>
      <c r="L120">
        <f t="shared" si="15"/>
        <v>23000</v>
      </c>
      <c r="M120" t="s">
        <v>5080</v>
      </c>
    </row>
    <row r="121" spans="1:13" x14ac:dyDescent="0.25">
      <c r="A121" t="s">
        <v>5057</v>
      </c>
      <c r="B121">
        <v>3</v>
      </c>
      <c r="C121">
        <v>43</v>
      </c>
      <c r="D121" s="22">
        <v>46083</v>
      </c>
      <c r="E121" s="7">
        <v>1906</v>
      </c>
      <c r="F121" s="3"/>
      <c r="G121">
        <v>0</v>
      </c>
      <c r="H121">
        <v>1</v>
      </c>
      <c r="I121">
        <f t="shared" si="20"/>
        <v>0</v>
      </c>
      <c r="J121">
        <v>1</v>
      </c>
      <c r="K121">
        <v>0</v>
      </c>
      <c r="L121">
        <f t="shared" si="15"/>
        <v>1</v>
      </c>
      <c r="M121" t="s">
        <v>5080</v>
      </c>
    </row>
    <row r="122" spans="1:13" x14ac:dyDescent="0.25">
      <c r="A122" t="s">
        <v>5057</v>
      </c>
      <c r="B122">
        <v>3</v>
      </c>
      <c r="C122">
        <v>43</v>
      </c>
      <c r="D122" s="22">
        <v>46083</v>
      </c>
      <c r="E122" s="7">
        <v>1307</v>
      </c>
      <c r="F122" s="3"/>
      <c r="G122">
        <v>0</v>
      </c>
      <c r="H122">
        <v>1</v>
      </c>
      <c r="I122">
        <f t="shared" si="20"/>
        <v>0</v>
      </c>
      <c r="J122">
        <v>4</v>
      </c>
      <c r="K122">
        <v>0</v>
      </c>
      <c r="L122">
        <f t="shared" si="15"/>
        <v>4</v>
      </c>
      <c r="M122" t="s">
        <v>5080</v>
      </c>
    </row>
    <row r="123" spans="1:13" x14ac:dyDescent="0.25">
      <c r="A123" t="s">
        <v>5057</v>
      </c>
      <c r="B123">
        <v>3</v>
      </c>
      <c r="C123">
        <v>43</v>
      </c>
      <c r="D123" s="22">
        <v>46083</v>
      </c>
      <c r="E123" s="7">
        <v>1309</v>
      </c>
      <c r="F123" s="3"/>
      <c r="G123">
        <v>0</v>
      </c>
      <c r="H123">
        <v>1</v>
      </c>
      <c r="I123">
        <f t="shared" si="20"/>
        <v>0</v>
      </c>
      <c r="J123">
        <v>34</v>
      </c>
      <c r="K123">
        <v>0</v>
      </c>
      <c r="L123">
        <f t="shared" si="15"/>
        <v>34</v>
      </c>
      <c r="M123" t="s">
        <v>5080</v>
      </c>
    </row>
    <row r="124" spans="1:13" x14ac:dyDescent="0.25">
      <c r="A124" t="s">
        <v>5057</v>
      </c>
      <c r="B124">
        <v>3</v>
      </c>
      <c r="C124">
        <v>43</v>
      </c>
      <c r="D124" s="22">
        <v>46083</v>
      </c>
      <c r="E124" s="7">
        <v>1305</v>
      </c>
      <c r="F124" s="3"/>
      <c r="G124">
        <v>6</v>
      </c>
      <c r="H124">
        <v>10</v>
      </c>
      <c r="I124">
        <f t="shared" si="20"/>
        <v>60</v>
      </c>
      <c r="J124">
        <v>0</v>
      </c>
      <c r="K124">
        <v>0</v>
      </c>
      <c r="L124">
        <f t="shared" si="15"/>
        <v>60</v>
      </c>
      <c r="M124" t="s">
        <v>5087</v>
      </c>
    </row>
    <row r="125" spans="1:13" x14ac:dyDescent="0.25">
      <c r="A125" t="s">
        <v>5057</v>
      </c>
      <c r="B125">
        <v>3</v>
      </c>
      <c r="C125">
        <v>43</v>
      </c>
      <c r="D125" s="22">
        <v>46083</v>
      </c>
      <c r="E125" s="7">
        <v>1306</v>
      </c>
      <c r="F125" s="3"/>
      <c r="G125">
        <v>4</v>
      </c>
      <c r="H125">
        <v>5</v>
      </c>
      <c r="I125">
        <f t="shared" si="20"/>
        <v>20</v>
      </c>
      <c r="J125">
        <v>0</v>
      </c>
      <c r="K125">
        <v>0</v>
      </c>
      <c r="L125">
        <f t="shared" si="15"/>
        <v>20</v>
      </c>
      <c r="M125" t="s">
        <v>5080</v>
      </c>
    </row>
    <row r="126" spans="1:13" x14ac:dyDescent="0.25">
      <c r="A126" t="s">
        <v>5057</v>
      </c>
      <c r="B126">
        <v>3</v>
      </c>
      <c r="C126">
        <v>43</v>
      </c>
      <c r="D126" s="22">
        <v>46083</v>
      </c>
      <c r="E126" s="7">
        <v>3334</v>
      </c>
      <c r="F126" s="3"/>
      <c r="G126">
        <v>2</v>
      </c>
      <c r="H126">
        <v>30</v>
      </c>
      <c r="I126">
        <f t="shared" si="20"/>
        <v>60</v>
      </c>
      <c r="J126">
        <v>0</v>
      </c>
      <c r="K126">
        <v>0</v>
      </c>
      <c r="L126">
        <f>2*30</f>
        <v>60</v>
      </c>
      <c r="M126" t="s">
        <v>5080</v>
      </c>
    </row>
    <row r="127" spans="1:13" x14ac:dyDescent="0.25">
      <c r="A127" t="s">
        <v>5057</v>
      </c>
      <c r="B127">
        <v>3</v>
      </c>
      <c r="C127">
        <v>43</v>
      </c>
      <c r="D127" s="22">
        <v>46083</v>
      </c>
      <c r="E127" s="7">
        <v>16351</v>
      </c>
      <c r="F127" s="3"/>
      <c r="G127">
        <v>0</v>
      </c>
      <c r="H127">
        <v>1</v>
      </c>
      <c r="I127">
        <f t="shared" si="20"/>
        <v>0</v>
      </c>
      <c r="J127">
        <v>2</v>
      </c>
      <c r="K127">
        <v>0</v>
      </c>
      <c r="L127">
        <f t="shared" si="15"/>
        <v>2</v>
      </c>
      <c r="M127" t="s">
        <v>5080</v>
      </c>
    </row>
    <row r="128" spans="1:13" x14ac:dyDescent="0.25">
      <c r="A128" t="s">
        <v>5057</v>
      </c>
      <c r="B128">
        <v>3</v>
      </c>
      <c r="C128">
        <v>43</v>
      </c>
      <c r="D128" s="22">
        <v>46083</v>
      </c>
      <c r="E128" s="7">
        <v>1635</v>
      </c>
      <c r="F128" s="3"/>
      <c r="G128">
        <v>0</v>
      </c>
      <c r="H128">
        <v>1</v>
      </c>
      <c r="I128">
        <f t="shared" si="20"/>
        <v>0</v>
      </c>
      <c r="J128">
        <v>4</v>
      </c>
      <c r="K128">
        <v>0</v>
      </c>
      <c r="L128">
        <f t="shared" si="15"/>
        <v>4</v>
      </c>
      <c r="M128" t="s">
        <v>5080</v>
      </c>
    </row>
    <row r="129" spans="1:13" x14ac:dyDescent="0.25">
      <c r="A129" t="s">
        <v>5057</v>
      </c>
      <c r="B129">
        <v>3</v>
      </c>
      <c r="C129">
        <v>43</v>
      </c>
      <c r="D129" s="22">
        <v>46083</v>
      </c>
      <c r="E129" s="7">
        <v>1634</v>
      </c>
      <c r="F129" s="3"/>
      <c r="G129">
        <v>0</v>
      </c>
      <c r="H129">
        <v>6</v>
      </c>
      <c r="I129">
        <f t="shared" si="20"/>
        <v>0</v>
      </c>
      <c r="J129">
        <v>6</v>
      </c>
      <c r="K129">
        <v>0</v>
      </c>
      <c r="L129">
        <f t="shared" si="15"/>
        <v>6</v>
      </c>
      <c r="M129" t="s">
        <v>5086</v>
      </c>
    </row>
    <row r="130" spans="1:13" x14ac:dyDescent="0.25">
      <c r="A130" t="s">
        <v>5057</v>
      </c>
      <c r="B130">
        <v>3</v>
      </c>
      <c r="C130">
        <v>43</v>
      </c>
      <c r="D130" s="22">
        <v>46083</v>
      </c>
      <c r="E130" s="7">
        <v>1633</v>
      </c>
      <c r="F130" s="3"/>
      <c r="G130">
        <v>1</v>
      </c>
      <c r="H130">
        <v>1</v>
      </c>
      <c r="I130">
        <f t="shared" si="20"/>
        <v>1</v>
      </c>
      <c r="J130">
        <v>0</v>
      </c>
      <c r="K130">
        <v>0</v>
      </c>
      <c r="L130">
        <f t="shared" si="15"/>
        <v>1</v>
      </c>
      <c r="M130" t="s">
        <v>5088</v>
      </c>
    </row>
    <row r="131" spans="1:13" x14ac:dyDescent="0.25">
      <c r="A131" t="s">
        <v>5057</v>
      </c>
      <c r="B131">
        <v>3</v>
      </c>
      <c r="C131">
        <v>43</v>
      </c>
      <c r="D131" s="22">
        <v>46083</v>
      </c>
      <c r="E131" s="7">
        <v>8012</v>
      </c>
      <c r="F131" s="3"/>
      <c r="G131">
        <v>0</v>
      </c>
      <c r="H131">
        <v>1</v>
      </c>
      <c r="I131">
        <f t="shared" si="20"/>
        <v>0</v>
      </c>
      <c r="J131">
        <v>370</v>
      </c>
      <c r="K131">
        <v>0</v>
      </c>
      <c r="L131">
        <f t="shared" ref="L131:L134" si="22">I131+J131+K131</f>
        <v>370</v>
      </c>
      <c r="M131" t="s">
        <v>5080</v>
      </c>
    </row>
    <row r="132" spans="1:13" x14ac:dyDescent="0.25">
      <c r="A132" s="8" t="s">
        <v>5057</v>
      </c>
      <c r="B132" s="8">
        <v>3</v>
      </c>
      <c r="C132" s="8">
        <v>43</v>
      </c>
      <c r="D132" s="61">
        <v>46083</v>
      </c>
      <c r="E132" s="48" t="s">
        <v>4651</v>
      </c>
      <c r="F132" s="12"/>
      <c r="G132" s="8">
        <v>32</v>
      </c>
      <c r="H132" s="8">
        <v>25</v>
      </c>
      <c r="I132" s="8">
        <f t="shared" si="20"/>
        <v>800</v>
      </c>
      <c r="J132" s="8">
        <v>4</v>
      </c>
      <c r="K132" s="8">
        <v>0</v>
      </c>
      <c r="L132" s="8">
        <f t="shared" si="22"/>
        <v>804</v>
      </c>
      <c r="M132" t="s">
        <v>5089</v>
      </c>
    </row>
    <row r="133" spans="1:13" x14ac:dyDescent="0.25">
      <c r="A133" t="s">
        <v>5057</v>
      </c>
      <c r="B133">
        <v>3</v>
      </c>
      <c r="C133">
        <v>43</v>
      </c>
      <c r="D133" s="22">
        <v>46083</v>
      </c>
      <c r="E133" s="7">
        <v>3002</v>
      </c>
      <c r="F133" s="3"/>
      <c r="G133">
        <v>39</v>
      </c>
      <c r="H133">
        <v>1</v>
      </c>
      <c r="I133">
        <f t="shared" si="20"/>
        <v>39</v>
      </c>
      <c r="J133">
        <v>1</v>
      </c>
      <c r="K133">
        <v>0</v>
      </c>
      <c r="L133">
        <f t="shared" si="22"/>
        <v>40</v>
      </c>
      <c r="M133" t="s">
        <v>5080</v>
      </c>
    </row>
    <row r="134" spans="1:13" x14ac:dyDescent="0.25">
      <c r="A134" t="s">
        <v>5057</v>
      </c>
      <c r="B134">
        <v>3</v>
      </c>
      <c r="C134">
        <v>43</v>
      </c>
      <c r="D134" s="22">
        <v>46083</v>
      </c>
      <c r="E134" s="7">
        <v>3003</v>
      </c>
      <c r="F134" s="3"/>
      <c r="G134">
        <v>30</v>
      </c>
      <c r="H134">
        <v>1</v>
      </c>
      <c r="I134">
        <f t="shared" si="20"/>
        <v>30</v>
      </c>
      <c r="J134">
        <v>0</v>
      </c>
      <c r="K134">
        <v>0</v>
      </c>
      <c r="L134">
        <f t="shared" si="22"/>
        <v>30</v>
      </c>
      <c r="M134" t="s">
        <v>5080</v>
      </c>
    </row>
    <row r="135" spans="1:13" x14ac:dyDescent="0.25">
      <c r="A135" t="s">
        <v>5057</v>
      </c>
      <c r="B135">
        <v>3</v>
      </c>
      <c r="C135">
        <v>44</v>
      </c>
      <c r="D135" s="22">
        <v>46083</v>
      </c>
      <c r="E135">
        <v>1303</v>
      </c>
      <c r="F135" s="3"/>
      <c r="G135">
        <v>0</v>
      </c>
      <c r="H135">
        <v>1</v>
      </c>
      <c r="I135">
        <f t="shared" si="20"/>
        <v>0</v>
      </c>
      <c r="J135">
        <v>8</v>
      </c>
      <c r="K135">
        <v>0</v>
      </c>
      <c r="L135">
        <f t="shared" ref="L133:L181" si="23">I135+J135+K135</f>
        <v>8</v>
      </c>
      <c r="M135" t="s">
        <v>5080</v>
      </c>
    </row>
    <row r="136" spans="1:13" x14ac:dyDescent="0.25">
      <c r="A136" t="s">
        <v>5057</v>
      </c>
      <c r="B136">
        <v>3</v>
      </c>
      <c r="C136">
        <v>44</v>
      </c>
      <c r="D136" s="22">
        <v>46083</v>
      </c>
      <c r="E136">
        <v>1315</v>
      </c>
      <c r="F136" s="3"/>
      <c r="G136">
        <v>0</v>
      </c>
      <c r="H136">
        <v>1</v>
      </c>
      <c r="I136">
        <f t="shared" si="20"/>
        <v>0</v>
      </c>
      <c r="J136">
        <v>4</v>
      </c>
      <c r="K136">
        <v>0</v>
      </c>
      <c r="L136">
        <f t="shared" si="23"/>
        <v>4</v>
      </c>
      <c r="M136" t="s">
        <v>5080</v>
      </c>
    </row>
    <row r="137" spans="1:13" x14ac:dyDescent="0.25">
      <c r="A137" t="s">
        <v>5057</v>
      </c>
      <c r="B137">
        <v>3</v>
      </c>
      <c r="C137">
        <v>44</v>
      </c>
      <c r="D137" s="22">
        <v>46083</v>
      </c>
      <c r="E137">
        <v>1316</v>
      </c>
      <c r="F137" s="3"/>
      <c r="G137">
        <v>0</v>
      </c>
      <c r="H137">
        <v>1</v>
      </c>
      <c r="I137">
        <f t="shared" si="20"/>
        <v>0</v>
      </c>
      <c r="J137">
        <v>5</v>
      </c>
      <c r="K137">
        <v>0</v>
      </c>
      <c r="L137">
        <f t="shared" si="23"/>
        <v>5</v>
      </c>
      <c r="M137" t="s">
        <v>5080</v>
      </c>
    </row>
    <row r="138" spans="1:13" x14ac:dyDescent="0.25">
      <c r="A138" t="s">
        <v>5057</v>
      </c>
      <c r="B138">
        <v>3</v>
      </c>
      <c r="C138">
        <v>44</v>
      </c>
      <c r="D138" s="22">
        <v>46083</v>
      </c>
      <c r="E138">
        <v>1302</v>
      </c>
      <c r="F138" s="3"/>
      <c r="G138">
        <v>3</v>
      </c>
      <c r="H138">
        <v>50</v>
      </c>
      <c r="I138">
        <f t="shared" si="20"/>
        <v>150</v>
      </c>
      <c r="J138">
        <v>0</v>
      </c>
      <c r="K138">
        <v>0</v>
      </c>
      <c r="L138">
        <f t="shared" si="23"/>
        <v>150</v>
      </c>
      <c r="M138" t="s">
        <v>5080</v>
      </c>
    </row>
    <row r="139" spans="1:13" x14ac:dyDescent="0.25">
      <c r="A139" t="s">
        <v>5057</v>
      </c>
      <c r="B139">
        <v>3</v>
      </c>
      <c r="C139">
        <v>44</v>
      </c>
      <c r="D139" s="22">
        <v>46083</v>
      </c>
      <c r="E139">
        <v>1312</v>
      </c>
      <c r="F139" s="3"/>
      <c r="G139">
        <v>7</v>
      </c>
      <c r="H139">
        <v>75</v>
      </c>
      <c r="I139">
        <f t="shared" si="20"/>
        <v>525</v>
      </c>
      <c r="J139">
        <v>25</v>
      </c>
      <c r="K139">
        <v>0</v>
      </c>
      <c r="L139">
        <f t="shared" si="23"/>
        <v>550</v>
      </c>
      <c r="M139" t="s">
        <v>5080</v>
      </c>
    </row>
    <row r="140" spans="1:13" x14ac:dyDescent="0.25">
      <c r="A140" t="s">
        <v>5057</v>
      </c>
      <c r="B140">
        <v>3</v>
      </c>
      <c r="C140">
        <v>44</v>
      </c>
      <c r="D140" s="22">
        <v>46083</v>
      </c>
      <c r="E140">
        <v>1311</v>
      </c>
      <c r="F140" s="3"/>
      <c r="G140">
        <v>0</v>
      </c>
      <c r="H140">
        <v>1</v>
      </c>
      <c r="I140">
        <f t="shared" si="20"/>
        <v>0</v>
      </c>
      <c r="J140">
        <v>0</v>
      </c>
      <c r="K140">
        <v>0</v>
      </c>
      <c r="L140">
        <f t="shared" si="23"/>
        <v>0</v>
      </c>
      <c r="M140" t="s">
        <v>5090</v>
      </c>
    </row>
    <row r="141" spans="1:13" x14ac:dyDescent="0.25">
      <c r="A141" t="s">
        <v>5057</v>
      </c>
      <c r="B141">
        <v>3</v>
      </c>
      <c r="C141">
        <v>44</v>
      </c>
      <c r="D141" s="22">
        <v>46083</v>
      </c>
      <c r="E141">
        <v>1313</v>
      </c>
      <c r="F141" s="3"/>
      <c r="G141">
        <v>0</v>
      </c>
      <c r="H141">
        <v>1</v>
      </c>
      <c r="I141">
        <f t="shared" si="20"/>
        <v>0</v>
      </c>
      <c r="J141">
        <v>16</v>
      </c>
      <c r="K141">
        <v>0</v>
      </c>
      <c r="L141">
        <f t="shared" si="23"/>
        <v>16</v>
      </c>
      <c r="M141" t="s">
        <v>5080</v>
      </c>
    </row>
    <row r="142" spans="1:13" x14ac:dyDescent="0.25">
      <c r="A142" t="s">
        <v>5057</v>
      </c>
      <c r="B142">
        <v>3</v>
      </c>
      <c r="C142">
        <v>44</v>
      </c>
      <c r="D142" s="22">
        <v>46083</v>
      </c>
      <c r="E142">
        <v>1301</v>
      </c>
      <c r="F142" s="3"/>
      <c r="G142">
        <v>3</v>
      </c>
      <c r="H142">
        <v>50</v>
      </c>
      <c r="I142">
        <f t="shared" si="20"/>
        <v>150</v>
      </c>
      <c r="J142">
        <v>0</v>
      </c>
      <c r="K142">
        <v>0</v>
      </c>
      <c r="L142">
        <f t="shared" si="23"/>
        <v>150</v>
      </c>
      <c r="M142" t="s">
        <v>5080</v>
      </c>
    </row>
    <row r="143" spans="1:13" x14ac:dyDescent="0.25">
      <c r="A143" t="s">
        <v>5057</v>
      </c>
      <c r="B143">
        <v>3</v>
      </c>
      <c r="C143">
        <v>44</v>
      </c>
      <c r="D143" s="22">
        <v>46083</v>
      </c>
      <c r="E143">
        <v>1299</v>
      </c>
      <c r="F143" s="3"/>
      <c r="G143">
        <v>1</v>
      </c>
      <c r="H143">
        <v>50</v>
      </c>
      <c r="I143">
        <f t="shared" si="20"/>
        <v>50</v>
      </c>
      <c r="J143">
        <v>0</v>
      </c>
      <c r="K143">
        <v>0</v>
      </c>
      <c r="L143">
        <f t="shared" si="23"/>
        <v>50</v>
      </c>
      <c r="M143" t="s">
        <v>5080</v>
      </c>
    </row>
    <row r="144" spans="1:13" x14ac:dyDescent="0.25">
      <c r="A144" t="s">
        <v>5057</v>
      </c>
      <c r="B144">
        <v>3</v>
      </c>
      <c r="C144">
        <v>44</v>
      </c>
      <c r="D144" s="22">
        <v>46083</v>
      </c>
      <c r="E144">
        <v>3335</v>
      </c>
      <c r="F144" s="3"/>
      <c r="G144">
        <v>1</v>
      </c>
      <c r="H144">
        <v>22</v>
      </c>
      <c r="I144">
        <f t="shared" si="20"/>
        <v>22</v>
      </c>
      <c r="J144">
        <v>9</v>
      </c>
      <c r="K144">
        <v>0</v>
      </c>
      <c r="L144">
        <f t="shared" si="23"/>
        <v>31</v>
      </c>
      <c r="M144" t="s">
        <v>5080</v>
      </c>
    </row>
    <row r="145" spans="1:13" x14ac:dyDescent="0.25">
      <c r="A145" t="s">
        <v>5057</v>
      </c>
      <c r="B145">
        <v>3</v>
      </c>
      <c r="C145">
        <v>44</v>
      </c>
      <c r="D145" s="22">
        <v>46083</v>
      </c>
      <c r="E145" s="7">
        <v>3506</v>
      </c>
      <c r="F145" s="3"/>
      <c r="G145">
        <v>3</v>
      </c>
      <c r="H145">
        <v>500</v>
      </c>
      <c r="I145">
        <f t="shared" si="20"/>
        <v>1500</v>
      </c>
      <c r="J145">
        <v>0</v>
      </c>
      <c r="K145">
        <v>0</v>
      </c>
      <c r="L145">
        <f t="shared" si="23"/>
        <v>1500</v>
      </c>
      <c r="M145" t="s">
        <v>5080</v>
      </c>
    </row>
    <row r="146" spans="1:13" x14ac:dyDescent="0.25">
      <c r="A146" t="s">
        <v>5057</v>
      </c>
      <c r="B146">
        <v>3</v>
      </c>
      <c r="C146">
        <v>44</v>
      </c>
      <c r="D146" s="22">
        <v>46083</v>
      </c>
      <c r="E146" s="6" t="s">
        <v>4657</v>
      </c>
      <c r="F146" s="3"/>
      <c r="G146">
        <v>4</v>
      </c>
      <c r="H146">
        <v>500</v>
      </c>
      <c r="I146">
        <f t="shared" si="20"/>
        <v>2000</v>
      </c>
      <c r="J146">
        <v>0</v>
      </c>
      <c r="K146">
        <v>0</v>
      </c>
      <c r="L146">
        <f t="shared" si="23"/>
        <v>2000</v>
      </c>
      <c r="M146" t="s">
        <v>5080</v>
      </c>
    </row>
    <row r="147" spans="1:13" x14ac:dyDescent="0.25">
      <c r="A147" t="s">
        <v>5057</v>
      </c>
      <c r="B147">
        <v>3</v>
      </c>
      <c r="C147">
        <v>44</v>
      </c>
      <c r="D147" s="22">
        <v>46083</v>
      </c>
      <c r="E147" s="6" t="s">
        <v>4658</v>
      </c>
      <c r="F147" s="3"/>
      <c r="G147">
        <v>4</v>
      </c>
      <c r="H147">
        <v>50</v>
      </c>
      <c r="I147">
        <f t="shared" si="20"/>
        <v>200</v>
      </c>
      <c r="J147">
        <v>0</v>
      </c>
      <c r="K147">
        <v>0</v>
      </c>
      <c r="L147">
        <f t="shared" si="23"/>
        <v>200</v>
      </c>
      <c r="M147" t="s">
        <v>5080</v>
      </c>
    </row>
    <row r="148" spans="1:13" x14ac:dyDescent="0.25">
      <c r="A148" t="s">
        <v>5057</v>
      </c>
      <c r="B148">
        <v>3</v>
      </c>
      <c r="C148">
        <v>44</v>
      </c>
      <c r="D148" s="22">
        <v>46083</v>
      </c>
      <c r="E148" s="7">
        <v>3124</v>
      </c>
      <c r="F148" s="3"/>
      <c r="G148">
        <v>7</v>
      </c>
      <c r="H148">
        <v>4</v>
      </c>
      <c r="I148">
        <f t="shared" si="20"/>
        <v>28</v>
      </c>
      <c r="J148">
        <v>0</v>
      </c>
      <c r="K148">
        <v>0</v>
      </c>
      <c r="L148">
        <f t="shared" si="23"/>
        <v>28</v>
      </c>
      <c r="M148" t="s">
        <v>5080</v>
      </c>
    </row>
    <row r="149" spans="1:13" x14ac:dyDescent="0.25">
      <c r="A149" t="s">
        <v>5057</v>
      </c>
      <c r="B149">
        <v>3</v>
      </c>
      <c r="C149">
        <v>45</v>
      </c>
      <c r="D149" s="22">
        <v>46055</v>
      </c>
      <c r="E149" s="6" t="s">
        <v>4669</v>
      </c>
      <c r="F149" s="3"/>
      <c r="G149">
        <v>9</v>
      </c>
      <c r="H149">
        <v>10</v>
      </c>
      <c r="I149">
        <f t="shared" si="20"/>
        <v>90</v>
      </c>
      <c r="J149">
        <v>0</v>
      </c>
      <c r="K149">
        <v>0</v>
      </c>
      <c r="L149">
        <f t="shared" si="23"/>
        <v>90</v>
      </c>
      <c r="M149" t="s">
        <v>5080</v>
      </c>
    </row>
    <row r="150" spans="1:13" x14ac:dyDescent="0.25">
      <c r="A150" t="s">
        <v>5057</v>
      </c>
      <c r="B150">
        <v>3</v>
      </c>
      <c r="C150">
        <v>45</v>
      </c>
      <c r="D150" s="22">
        <v>46055</v>
      </c>
      <c r="E150" s="6" t="s">
        <v>4670</v>
      </c>
      <c r="F150" s="3"/>
      <c r="G150">
        <v>28</v>
      </c>
      <c r="H150">
        <v>25</v>
      </c>
      <c r="I150">
        <f t="shared" si="20"/>
        <v>700</v>
      </c>
      <c r="J150">
        <v>0</v>
      </c>
      <c r="K150">
        <v>0</v>
      </c>
      <c r="L150">
        <f t="shared" si="23"/>
        <v>700</v>
      </c>
      <c r="M150" t="s">
        <v>5080</v>
      </c>
    </row>
    <row r="151" spans="1:13" x14ac:dyDescent="0.25">
      <c r="A151" t="s">
        <v>5057</v>
      </c>
      <c r="B151">
        <v>3</v>
      </c>
      <c r="C151">
        <v>46</v>
      </c>
      <c r="D151" s="22">
        <v>46055</v>
      </c>
      <c r="E151" s="6" t="s">
        <v>4674</v>
      </c>
      <c r="F151" s="3"/>
      <c r="G151">
        <v>2</v>
      </c>
      <c r="H151">
        <v>200</v>
      </c>
      <c r="I151">
        <f t="shared" si="20"/>
        <v>400</v>
      </c>
      <c r="J151">
        <v>0</v>
      </c>
      <c r="K151">
        <v>0</v>
      </c>
      <c r="L151">
        <f t="shared" si="23"/>
        <v>400</v>
      </c>
      <c r="M151" t="s">
        <v>5080</v>
      </c>
    </row>
    <row r="152" spans="1:13" x14ac:dyDescent="0.25">
      <c r="A152" t="s">
        <v>5057</v>
      </c>
      <c r="B152">
        <v>3</v>
      </c>
      <c r="C152">
        <v>46</v>
      </c>
      <c r="D152" s="22">
        <v>46055</v>
      </c>
      <c r="E152" s="6" t="s">
        <v>4677</v>
      </c>
      <c r="F152" s="3"/>
      <c r="G152">
        <v>7</v>
      </c>
      <c r="H152">
        <v>100</v>
      </c>
      <c r="I152">
        <f t="shared" si="20"/>
        <v>700</v>
      </c>
      <c r="J152">
        <v>0</v>
      </c>
      <c r="K152">
        <v>0</v>
      </c>
      <c r="L152">
        <f t="shared" si="23"/>
        <v>700</v>
      </c>
      <c r="M152" t="s">
        <v>5080</v>
      </c>
    </row>
    <row r="153" spans="1:13" x14ac:dyDescent="0.25">
      <c r="A153" t="s">
        <v>5057</v>
      </c>
      <c r="B153">
        <v>3</v>
      </c>
      <c r="C153">
        <v>46</v>
      </c>
      <c r="D153" s="22">
        <v>46055</v>
      </c>
      <c r="E153" s="6" t="s">
        <v>4678</v>
      </c>
      <c r="F153" s="3"/>
      <c r="G153">
        <v>3</v>
      </c>
      <c r="H153">
        <v>100</v>
      </c>
      <c r="I153">
        <f t="shared" si="20"/>
        <v>300</v>
      </c>
      <c r="J153">
        <v>0</v>
      </c>
      <c r="K153">
        <v>0</v>
      </c>
      <c r="L153">
        <f t="shared" si="23"/>
        <v>300</v>
      </c>
      <c r="M153" t="s">
        <v>5080</v>
      </c>
    </row>
    <row r="154" spans="1:13" x14ac:dyDescent="0.25">
      <c r="A154" t="s">
        <v>5057</v>
      </c>
      <c r="B154">
        <v>3</v>
      </c>
      <c r="C154">
        <v>46</v>
      </c>
      <c r="D154" s="22">
        <v>46055</v>
      </c>
      <c r="E154" s="6" t="s">
        <v>4679</v>
      </c>
      <c r="F154" s="3"/>
      <c r="G154">
        <v>2</v>
      </c>
      <c r="H154">
        <v>200</v>
      </c>
      <c r="I154">
        <f t="shared" si="20"/>
        <v>400</v>
      </c>
      <c r="J154">
        <v>0</v>
      </c>
      <c r="K154">
        <v>0</v>
      </c>
      <c r="L154">
        <f t="shared" si="23"/>
        <v>400</v>
      </c>
      <c r="M154" t="s">
        <v>5080</v>
      </c>
    </row>
    <row r="155" spans="1:13" x14ac:dyDescent="0.25">
      <c r="A155" t="s">
        <v>5057</v>
      </c>
      <c r="B155">
        <v>3</v>
      </c>
      <c r="C155">
        <v>46</v>
      </c>
      <c r="D155" s="22">
        <v>46055</v>
      </c>
      <c r="E155" s="6" t="s">
        <v>4680</v>
      </c>
      <c r="F155" s="3"/>
      <c r="G155">
        <v>6</v>
      </c>
      <c r="H155">
        <v>32</v>
      </c>
      <c r="I155">
        <f t="shared" si="20"/>
        <v>192</v>
      </c>
      <c r="J155">
        <v>0</v>
      </c>
      <c r="K155">
        <v>0</v>
      </c>
      <c r="L155">
        <f t="shared" si="23"/>
        <v>192</v>
      </c>
      <c r="M155" t="s">
        <v>5080</v>
      </c>
    </row>
    <row r="156" spans="1:13" x14ac:dyDescent="0.25">
      <c r="A156" t="s">
        <v>5057</v>
      </c>
      <c r="B156">
        <v>3</v>
      </c>
      <c r="C156">
        <v>46</v>
      </c>
      <c r="D156" s="22">
        <v>46055</v>
      </c>
      <c r="E156" s="6" t="s">
        <v>4681</v>
      </c>
      <c r="F156" s="3"/>
      <c r="G156">
        <v>8</v>
      </c>
      <c r="H156">
        <v>25</v>
      </c>
      <c r="I156">
        <f t="shared" si="20"/>
        <v>200</v>
      </c>
      <c r="J156">
        <v>0</v>
      </c>
      <c r="K156">
        <v>0</v>
      </c>
      <c r="L156">
        <f t="shared" si="23"/>
        <v>200</v>
      </c>
      <c r="M156" t="s">
        <v>5080</v>
      </c>
    </row>
    <row r="157" spans="1:13" x14ac:dyDescent="0.25">
      <c r="A157" t="s">
        <v>5057</v>
      </c>
      <c r="B157">
        <v>3</v>
      </c>
      <c r="C157">
        <v>46</v>
      </c>
      <c r="D157" s="22">
        <v>46055</v>
      </c>
      <c r="E157" s="6" t="s">
        <v>4666</v>
      </c>
      <c r="F157" s="3"/>
      <c r="G157">
        <v>16</v>
      </c>
      <c r="H157">
        <v>6</v>
      </c>
      <c r="I157">
        <f t="shared" si="20"/>
        <v>96</v>
      </c>
      <c r="J157">
        <v>0</v>
      </c>
      <c r="K157">
        <v>0</v>
      </c>
      <c r="L157">
        <f t="shared" si="23"/>
        <v>96</v>
      </c>
      <c r="M157" t="s">
        <v>5080</v>
      </c>
    </row>
    <row r="158" spans="1:13" x14ac:dyDescent="0.25">
      <c r="A158" t="s">
        <v>5057</v>
      </c>
      <c r="B158">
        <v>3</v>
      </c>
      <c r="C158">
        <v>47</v>
      </c>
      <c r="D158" s="22">
        <v>46055</v>
      </c>
      <c r="E158" s="6" t="s">
        <v>4686</v>
      </c>
      <c r="F158" s="3"/>
      <c r="G158">
        <v>2</v>
      </c>
      <c r="H158">
        <v>50</v>
      </c>
      <c r="I158">
        <f t="shared" si="20"/>
        <v>100</v>
      </c>
      <c r="J158">
        <v>0</v>
      </c>
      <c r="K158">
        <v>0</v>
      </c>
      <c r="L158">
        <f t="shared" si="23"/>
        <v>100</v>
      </c>
      <c r="M158" t="s">
        <v>5091</v>
      </c>
    </row>
    <row r="159" spans="1:13" x14ac:dyDescent="0.25">
      <c r="A159" t="s">
        <v>5057</v>
      </c>
      <c r="B159">
        <v>3</v>
      </c>
      <c r="C159">
        <v>47</v>
      </c>
      <c r="D159" s="22">
        <v>46055</v>
      </c>
      <c r="E159" s="6" t="s">
        <v>4687</v>
      </c>
      <c r="F159" s="3"/>
      <c r="G159">
        <v>2</v>
      </c>
      <c r="H159">
        <v>3</v>
      </c>
      <c r="I159">
        <f t="shared" si="20"/>
        <v>6</v>
      </c>
      <c r="J159">
        <v>0</v>
      </c>
      <c r="K159">
        <v>0</v>
      </c>
      <c r="L159">
        <f t="shared" si="23"/>
        <v>6</v>
      </c>
      <c r="M159" t="s">
        <v>5091</v>
      </c>
    </row>
    <row r="160" spans="1:13" x14ac:dyDescent="0.25">
      <c r="A160" t="s">
        <v>5057</v>
      </c>
      <c r="B160">
        <v>3</v>
      </c>
      <c r="C160">
        <v>47</v>
      </c>
      <c r="D160" s="22">
        <v>46055</v>
      </c>
      <c r="E160" s="6" t="s">
        <v>4688</v>
      </c>
      <c r="F160" s="3"/>
      <c r="G160">
        <v>5</v>
      </c>
      <c r="H160">
        <v>50</v>
      </c>
      <c r="I160">
        <f t="shared" si="20"/>
        <v>250</v>
      </c>
      <c r="J160">
        <v>0</v>
      </c>
      <c r="K160">
        <v>0</v>
      </c>
      <c r="L160">
        <f t="shared" si="23"/>
        <v>250</v>
      </c>
      <c r="M160" t="s">
        <v>5091</v>
      </c>
    </row>
    <row r="161" spans="1:13" x14ac:dyDescent="0.25">
      <c r="A161" t="s">
        <v>5057</v>
      </c>
      <c r="B161">
        <v>3</v>
      </c>
      <c r="C161">
        <v>47</v>
      </c>
      <c r="D161" s="22">
        <v>46055</v>
      </c>
      <c r="E161" s="6" t="s">
        <v>4689</v>
      </c>
      <c r="F161" s="3"/>
      <c r="G161">
        <v>8</v>
      </c>
      <c r="H161">
        <v>5</v>
      </c>
      <c r="I161">
        <f t="shared" si="20"/>
        <v>40</v>
      </c>
      <c r="J161">
        <v>0</v>
      </c>
      <c r="K161">
        <v>0</v>
      </c>
      <c r="L161">
        <f t="shared" si="23"/>
        <v>40</v>
      </c>
      <c r="M161" t="s">
        <v>5091</v>
      </c>
    </row>
    <row r="162" spans="1:13" x14ac:dyDescent="0.25">
      <c r="A162" t="s">
        <v>5057</v>
      </c>
      <c r="B162">
        <v>3</v>
      </c>
      <c r="C162">
        <v>47</v>
      </c>
      <c r="D162" s="22">
        <v>46055</v>
      </c>
      <c r="E162" s="6" t="s">
        <v>4690</v>
      </c>
      <c r="F162" s="3"/>
      <c r="G162">
        <v>48</v>
      </c>
      <c r="H162">
        <v>150</v>
      </c>
      <c r="I162">
        <f t="shared" si="20"/>
        <v>7200</v>
      </c>
      <c r="J162">
        <v>0</v>
      </c>
      <c r="K162">
        <v>0</v>
      </c>
      <c r="L162">
        <f t="shared" si="23"/>
        <v>7200</v>
      </c>
      <c r="M162" t="s">
        <v>5091</v>
      </c>
    </row>
    <row r="163" spans="1:13" x14ac:dyDescent="0.25">
      <c r="A163" t="s">
        <v>5057</v>
      </c>
      <c r="B163">
        <v>3</v>
      </c>
      <c r="C163">
        <v>47</v>
      </c>
      <c r="D163" s="22">
        <v>46055</v>
      </c>
      <c r="E163" s="6" t="s">
        <v>4669</v>
      </c>
      <c r="F163" s="3"/>
      <c r="G163">
        <v>10</v>
      </c>
      <c r="H163">
        <v>10</v>
      </c>
      <c r="I163">
        <f t="shared" si="20"/>
        <v>100</v>
      </c>
      <c r="J163">
        <v>0</v>
      </c>
      <c r="K163">
        <v>0</v>
      </c>
      <c r="L163">
        <f t="shared" si="23"/>
        <v>100</v>
      </c>
      <c r="M163" t="s">
        <v>5091</v>
      </c>
    </row>
    <row r="164" spans="1:13" x14ac:dyDescent="0.25">
      <c r="A164" t="s">
        <v>5057</v>
      </c>
      <c r="B164">
        <v>3</v>
      </c>
      <c r="C164">
        <v>48</v>
      </c>
      <c r="D164" s="22">
        <v>46055</v>
      </c>
      <c r="E164" s="6" t="s">
        <v>4695</v>
      </c>
      <c r="F164" s="3"/>
      <c r="G164">
        <v>6</v>
      </c>
      <c r="H164">
        <v>25</v>
      </c>
      <c r="I164">
        <f t="shared" si="20"/>
        <v>150</v>
      </c>
      <c r="J164">
        <v>0</v>
      </c>
      <c r="K164">
        <v>0</v>
      </c>
      <c r="L164">
        <f t="shared" si="23"/>
        <v>150</v>
      </c>
      <c r="M164" t="s">
        <v>5080</v>
      </c>
    </row>
    <row r="165" spans="1:13" x14ac:dyDescent="0.25">
      <c r="A165" t="s">
        <v>5057</v>
      </c>
      <c r="B165">
        <v>3</v>
      </c>
      <c r="C165">
        <v>48</v>
      </c>
      <c r="D165" s="22">
        <v>46055</v>
      </c>
      <c r="E165" s="6" t="s">
        <v>4696</v>
      </c>
      <c r="F165" s="3"/>
      <c r="G165">
        <v>3</v>
      </c>
      <c r="H165">
        <v>125</v>
      </c>
      <c r="I165">
        <f t="shared" si="20"/>
        <v>375</v>
      </c>
      <c r="J165">
        <v>0</v>
      </c>
      <c r="K165">
        <v>0</v>
      </c>
      <c r="L165">
        <f t="shared" si="23"/>
        <v>375</v>
      </c>
      <c r="M165" t="s">
        <v>5080</v>
      </c>
    </row>
    <row r="166" spans="1:13" x14ac:dyDescent="0.25">
      <c r="A166" t="s">
        <v>5057</v>
      </c>
      <c r="B166">
        <v>3</v>
      </c>
      <c r="C166">
        <v>48</v>
      </c>
      <c r="D166" s="22">
        <v>46055</v>
      </c>
      <c r="E166" s="6" t="s">
        <v>4697</v>
      </c>
      <c r="F166" s="3"/>
      <c r="G166">
        <v>3</v>
      </c>
      <c r="H166">
        <v>150</v>
      </c>
      <c r="I166">
        <f t="shared" ref="I166:I181" si="24">G166*H166</f>
        <v>450</v>
      </c>
      <c r="J166">
        <v>0</v>
      </c>
      <c r="K166">
        <v>0</v>
      </c>
      <c r="L166">
        <f t="shared" si="23"/>
        <v>450</v>
      </c>
      <c r="M166" t="s">
        <v>5080</v>
      </c>
    </row>
    <row r="167" spans="1:13" x14ac:dyDescent="0.25">
      <c r="A167" t="s">
        <v>5057</v>
      </c>
      <c r="B167">
        <v>3</v>
      </c>
      <c r="C167">
        <v>48</v>
      </c>
      <c r="D167" s="22">
        <v>46055</v>
      </c>
      <c r="E167" s="6" t="s">
        <v>4698</v>
      </c>
      <c r="F167" s="3"/>
      <c r="G167">
        <v>8</v>
      </c>
      <c r="H167">
        <v>75</v>
      </c>
      <c r="I167">
        <f t="shared" si="24"/>
        <v>600</v>
      </c>
      <c r="J167">
        <v>0</v>
      </c>
      <c r="K167">
        <v>0</v>
      </c>
      <c r="L167">
        <f t="shared" si="23"/>
        <v>600</v>
      </c>
      <c r="M167" t="s">
        <v>5080</v>
      </c>
    </row>
    <row r="168" spans="1:13" x14ac:dyDescent="0.25">
      <c r="A168" t="s">
        <v>5057</v>
      </c>
      <c r="B168">
        <v>3</v>
      </c>
      <c r="C168">
        <v>48</v>
      </c>
      <c r="D168" s="22">
        <v>46055</v>
      </c>
      <c r="E168" s="6" t="s">
        <v>4703</v>
      </c>
      <c r="F168" s="3"/>
      <c r="G168">
        <v>16</v>
      </c>
      <c r="H168">
        <v>100</v>
      </c>
      <c r="I168">
        <f t="shared" si="24"/>
        <v>1600</v>
      </c>
      <c r="J168">
        <v>0</v>
      </c>
      <c r="K168">
        <v>0</v>
      </c>
      <c r="L168">
        <f t="shared" si="23"/>
        <v>1600</v>
      </c>
      <c r="M168" t="s">
        <v>5080</v>
      </c>
    </row>
    <row r="169" spans="1:13" x14ac:dyDescent="0.25">
      <c r="A169" t="s">
        <v>5057</v>
      </c>
      <c r="B169">
        <v>3</v>
      </c>
      <c r="C169">
        <v>48</v>
      </c>
      <c r="D169" s="22">
        <v>46055</v>
      </c>
      <c r="E169" s="6" t="s">
        <v>4704</v>
      </c>
      <c r="F169" s="3"/>
      <c r="G169">
        <v>0</v>
      </c>
      <c r="H169">
        <v>1</v>
      </c>
      <c r="I169">
        <f t="shared" si="24"/>
        <v>0</v>
      </c>
      <c r="J169">
        <v>82</v>
      </c>
      <c r="K169">
        <v>0</v>
      </c>
      <c r="L169">
        <f t="shared" si="23"/>
        <v>82</v>
      </c>
      <c r="M169" t="s">
        <v>5080</v>
      </c>
    </row>
    <row r="170" spans="1:13" x14ac:dyDescent="0.25">
      <c r="A170" t="s">
        <v>5057</v>
      </c>
      <c r="B170">
        <v>3</v>
      </c>
      <c r="C170">
        <v>48</v>
      </c>
      <c r="D170" s="22">
        <v>46055</v>
      </c>
      <c r="E170" s="6" t="s">
        <v>4705</v>
      </c>
      <c r="F170" s="3"/>
      <c r="G170">
        <v>6</v>
      </c>
      <c r="H170">
        <v>4</v>
      </c>
      <c r="I170">
        <f t="shared" si="24"/>
        <v>24</v>
      </c>
      <c r="J170">
        <v>0</v>
      </c>
      <c r="K170">
        <v>0</v>
      </c>
      <c r="L170">
        <f t="shared" si="23"/>
        <v>24</v>
      </c>
      <c r="M170" t="s">
        <v>5080</v>
      </c>
    </row>
    <row r="171" spans="1:13" x14ac:dyDescent="0.25">
      <c r="A171" s="8" t="s">
        <v>5057</v>
      </c>
      <c r="B171" s="8">
        <v>3</v>
      </c>
      <c r="C171" s="8">
        <v>48</v>
      </c>
      <c r="D171" s="61">
        <v>46055</v>
      </c>
      <c r="E171" s="15">
        <v>3281</v>
      </c>
      <c r="F171" s="12"/>
      <c r="G171" s="8">
        <v>1</v>
      </c>
      <c r="H171" s="8">
        <v>1</v>
      </c>
      <c r="I171" s="8">
        <f t="shared" si="24"/>
        <v>1</v>
      </c>
      <c r="J171" s="8">
        <v>0</v>
      </c>
      <c r="K171" s="8">
        <v>0</v>
      </c>
      <c r="L171" s="8">
        <f t="shared" si="23"/>
        <v>1</v>
      </c>
      <c r="M171" t="s">
        <v>5092</v>
      </c>
    </row>
    <row r="172" spans="1:13" x14ac:dyDescent="0.25">
      <c r="A172" t="s">
        <v>5057</v>
      </c>
      <c r="B172">
        <v>3</v>
      </c>
      <c r="C172">
        <v>48</v>
      </c>
      <c r="D172" s="22">
        <v>46055</v>
      </c>
      <c r="E172" s="6" t="s">
        <v>4706</v>
      </c>
      <c r="F172" s="3"/>
      <c r="G172">
        <v>0</v>
      </c>
      <c r="H172">
        <v>1</v>
      </c>
      <c r="I172">
        <f t="shared" si="24"/>
        <v>0</v>
      </c>
      <c r="J172">
        <v>30</v>
      </c>
      <c r="K172">
        <v>0</v>
      </c>
      <c r="L172">
        <f t="shared" si="23"/>
        <v>30</v>
      </c>
      <c r="M172" t="s">
        <v>5080</v>
      </c>
    </row>
    <row r="173" spans="1:13" x14ac:dyDescent="0.25">
      <c r="A173" t="s">
        <v>5057</v>
      </c>
      <c r="B173">
        <v>3</v>
      </c>
      <c r="C173">
        <v>48</v>
      </c>
      <c r="D173" s="22">
        <v>46055</v>
      </c>
      <c r="E173" s="7">
        <v>3020</v>
      </c>
      <c r="F173" s="3"/>
      <c r="G173">
        <v>0</v>
      </c>
      <c r="H173">
        <v>1</v>
      </c>
      <c r="I173">
        <f t="shared" si="24"/>
        <v>0</v>
      </c>
      <c r="J173">
        <v>9</v>
      </c>
      <c r="K173">
        <v>0</v>
      </c>
      <c r="L173">
        <f t="shared" si="23"/>
        <v>9</v>
      </c>
      <c r="M173" t="s">
        <v>5080</v>
      </c>
    </row>
    <row r="174" spans="1:13" x14ac:dyDescent="0.25">
      <c r="A174" t="s">
        <v>5057</v>
      </c>
      <c r="B174">
        <v>3</v>
      </c>
      <c r="C174">
        <v>48</v>
      </c>
      <c r="D174" s="22">
        <v>46055</v>
      </c>
      <c r="E174" s="7">
        <v>3006</v>
      </c>
      <c r="F174" s="3"/>
      <c r="G174">
        <v>0</v>
      </c>
      <c r="H174">
        <v>1</v>
      </c>
      <c r="I174">
        <f t="shared" si="24"/>
        <v>0</v>
      </c>
      <c r="J174">
        <v>10</v>
      </c>
      <c r="K174">
        <v>0</v>
      </c>
      <c r="L174">
        <f t="shared" si="23"/>
        <v>10</v>
      </c>
      <c r="M174" t="s">
        <v>5080</v>
      </c>
    </row>
    <row r="175" spans="1:13" x14ac:dyDescent="0.25">
      <c r="A175" t="s">
        <v>5057</v>
      </c>
      <c r="B175">
        <v>3</v>
      </c>
      <c r="C175">
        <v>48</v>
      </c>
      <c r="D175" s="22">
        <v>46055</v>
      </c>
      <c r="E175" s="7">
        <v>3028</v>
      </c>
      <c r="F175" s="3"/>
      <c r="G175">
        <v>0</v>
      </c>
      <c r="H175">
        <v>1</v>
      </c>
      <c r="I175">
        <f t="shared" si="24"/>
        <v>0</v>
      </c>
      <c r="J175">
        <v>4</v>
      </c>
      <c r="K175">
        <v>0</v>
      </c>
      <c r="L175">
        <f t="shared" si="23"/>
        <v>4</v>
      </c>
      <c r="M175" t="s">
        <v>5080</v>
      </c>
    </row>
    <row r="176" spans="1:13" x14ac:dyDescent="0.25">
      <c r="A176" t="s">
        <v>5057</v>
      </c>
      <c r="B176">
        <v>3</v>
      </c>
      <c r="C176">
        <v>48</v>
      </c>
      <c r="D176" s="22">
        <v>46055</v>
      </c>
      <c r="E176" s="7">
        <v>3005</v>
      </c>
      <c r="F176" s="3"/>
      <c r="G176">
        <v>0</v>
      </c>
      <c r="H176">
        <v>1</v>
      </c>
      <c r="I176">
        <f t="shared" si="24"/>
        <v>0</v>
      </c>
      <c r="J176">
        <v>5</v>
      </c>
      <c r="K176">
        <v>0</v>
      </c>
      <c r="L176">
        <f t="shared" si="23"/>
        <v>5</v>
      </c>
      <c r="M176" t="s">
        <v>5080</v>
      </c>
    </row>
    <row r="177" spans="1:13" x14ac:dyDescent="0.25">
      <c r="A177" t="s">
        <v>5057</v>
      </c>
      <c r="B177">
        <v>3</v>
      </c>
      <c r="C177">
        <v>48</v>
      </c>
      <c r="D177" s="22">
        <v>46055</v>
      </c>
      <c r="E177" s="7">
        <v>3027</v>
      </c>
      <c r="F177" s="3"/>
      <c r="G177">
        <v>0</v>
      </c>
      <c r="H177">
        <v>1</v>
      </c>
      <c r="I177">
        <f t="shared" si="24"/>
        <v>0</v>
      </c>
      <c r="J177">
        <v>3</v>
      </c>
      <c r="K177">
        <v>0</v>
      </c>
      <c r="L177">
        <f t="shared" si="23"/>
        <v>3</v>
      </c>
      <c r="M177" t="s">
        <v>5080</v>
      </c>
    </row>
    <row r="178" spans="1:13" x14ac:dyDescent="0.25">
      <c r="A178" t="s">
        <v>5057</v>
      </c>
      <c r="B178">
        <v>3</v>
      </c>
      <c r="C178">
        <v>48</v>
      </c>
      <c r="D178" s="22">
        <v>46055</v>
      </c>
      <c r="E178" s="7">
        <v>2998</v>
      </c>
      <c r="F178" s="3"/>
      <c r="G178">
        <v>0</v>
      </c>
      <c r="H178">
        <v>1</v>
      </c>
      <c r="I178">
        <f t="shared" si="24"/>
        <v>0</v>
      </c>
      <c r="J178">
        <v>23</v>
      </c>
      <c r="K178">
        <v>0</v>
      </c>
      <c r="L178">
        <f t="shared" si="23"/>
        <v>23</v>
      </c>
      <c r="M178" t="s">
        <v>5080</v>
      </c>
    </row>
    <row r="179" spans="1:13" x14ac:dyDescent="0.25">
      <c r="A179" t="s">
        <v>5057</v>
      </c>
      <c r="B179">
        <v>3</v>
      </c>
      <c r="C179">
        <v>48</v>
      </c>
      <c r="D179" s="22">
        <v>46055</v>
      </c>
      <c r="E179" s="6" t="s">
        <v>5093</v>
      </c>
      <c r="F179" s="3"/>
      <c r="G179">
        <v>8</v>
      </c>
      <c r="H179">
        <v>50</v>
      </c>
      <c r="I179">
        <f t="shared" si="24"/>
        <v>400</v>
      </c>
      <c r="J179">
        <v>0</v>
      </c>
      <c r="K179">
        <v>0</v>
      </c>
      <c r="L179">
        <f t="shared" si="23"/>
        <v>400</v>
      </c>
      <c r="M179" t="s">
        <v>5080</v>
      </c>
    </row>
    <row r="180" spans="1:13" x14ac:dyDescent="0.25">
      <c r="A180" t="s">
        <v>5057</v>
      </c>
      <c r="B180">
        <v>3</v>
      </c>
      <c r="C180">
        <v>48</v>
      </c>
      <c r="D180" s="22">
        <v>46055</v>
      </c>
      <c r="E180" s="7">
        <v>3018</v>
      </c>
      <c r="F180" s="3"/>
      <c r="G180">
        <v>0</v>
      </c>
      <c r="H180">
        <v>1</v>
      </c>
      <c r="I180">
        <f t="shared" si="24"/>
        <v>0</v>
      </c>
      <c r="J180">
        <v>10</v>
      </c>
      <c r="K180">
        <v>0</v>
      </c>
      <c r="L180">
        <f t="shared" si="23"/>
        <v>10</v>
      </c>
      <c r="M180" t="s">
        <v>5080</v>
      </c>
    </row>
    <row r="181" spans="1:13" x14ac:dyDescent="0.25">
      <c r="A181" t="s">
        <v>5057</v>
      </c>
      <c r="B181">
        <v>3</v>
      </c>
      <c r="C181">
        <v>48</v>
      </c>
      <c r="D181" s="22">
        <v>46055</v>
      </c>
      <c r="E181" s="6" t="s">
        <v>4658</v>
      </c>
      <c r="F181" s="3"/>
      <c r="G181">
        <v>8</v>
      </c>
      <c r="H181">
        <v>5</v>
      </c>
      <c r="I181">
        <f t="shared" si="24"/>
        <v>40</v>
      </c>
      <c r="J181">
        <v>0</v>
      </c>
      <c r="K181">
        <v>0</v>
      </c>
      <c r="L181">
        <f t="shared" si="23"/>
        <v>40</v>
      </c>
      <c r="M181" t="s">
        <v>5080</v>
      </c>
    </row>
  </sheetData>
  <autoFilter ref="A1:M181" xr:uid="{A9C0E6E6-A803-434C-BA7C-D359AA955913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F4437-A9C6-490B-8803-1E083C3EFB33}">
  <dimension ref="A1:M1048556"/>
  <sheetViews>
    <sheetView tabSelected="1" zoomScale="98" zoomScaleNormal="98" workbookViewId="0"/>
  </sheetViews>
  <sheetFormatPr defaultColWidth="11.42578125" defaultRowHeight="15" x14ac:dyDescent="0.25"/>
  <cols>
    <col min="1" max="1" width="17" bestFit="1" customWidth="1"/>
    <col min="2" max="2" width="13.140625" bestFit="1" customWidth="1"/>
    <col min="3" max="3" width="10.28515625" bestFit="1" customWidth="1"/>
    <col min="4" max="4" width="14" bestFit="1" customWidth="1"/>
    <col min="5" max="5" width="12.42578125" bestFit="1" customWidth="1"/>
    <col min="6" max="6" width="13.7109375" bestFit="1" customWidth="1"/>
    <col min="7" max="7" width="11.5703125" bestFit="1" customWidth="1"/>
    <col min="8" max="8" width="13.42578125" bestFit="1" customWidth="1"/>
    <col min="9" max="9" width="14.85546875" bestFit="1" customWidth="1"/>
    <col min="10" max="10" width="12.140625" bestFit="1" customWidth="1"/>
    <col min="11" max="11" width="9.7109375" bestFit="1" customWidth="1"/>
    <col min="12" max="12" width="8.140625" bestFit="1" customWidth="1"/>
    <col min="13" max="13" width="28.140625" bestFit="1" customWidth="1"/>
    <col min="15" max="15" width="71.5703125" bestFit="1" customWidth="1"/>
  </cols>
  <sheetData>
    <row r="1" spans="1:13" ht="15.75" x14ac:dyDescent="0.25">
      <c r="A1" s="28" t="s">
        <v>5044</v>
      </c>
      <c r="B1" s="28" t="s">
        <v>5054</v>
      </c>
      <c r="C1" s="28" t="s">
        <v>5055</v>
      </c>
      <c r="D1" s="28" t="s">
        <v>5045</v>
      </c>
      <c r="E1" s="28" t="s">
        <v>5046</v>
      </c>
      <c r="F1" s="28" t="s">
        <v>4434</v>
      </c>
      <c r="G1" s="28" t="s">
        <v>5047</v>
      </c>
      <c r="H1" s="28" t="s">
        <v>5048</v>
      </c>
      <c r="I1" s="28" t="s">
        <v>5049</v>
      </c>
      <c r="J1" s="28" t="s">
        <v>5050</v>
      </c>
      <c r="K1" s="28" t="s">
        <v>5051</v>
      </c>
      <c r="L1" s="28" t="s">
        <v>5052</v>
      </c>
      <c r="M1" s="28" t="s">
        <v>5058</v>
      </c>
    </row>
    <row r="2" spans="1:13" x14ac:dyDescent="0.25">
      <c r="A2" t="s">
        <v>5057</v>
      </c>
      <c r="B2">
        <v>4</v>
      </c>
      <c r="C2">
        <v>1</v>
      </c>
      <c r="D2" s="22">
        <v>46083</v>
      </c>
      <c r="E2" s="7">
        <v>3322</v>
      </c>
      <c r="F2" s="3"/>
      <c r="G2">
        <v>0</v>
      </c>
      <c r="H2">
        <v>1</v>
      </c>
      <c r="I2">
        <f>G2*H2</f>
        <v>0</v>
      </c>
      <c r="J2">
        <v>36</v>
      </c>
      <c r="K2">
        <v>0</v>
      </c>
      <c r="L2">
        <f>I2+J2+K2</f>
        <v>36</v>
      </c>
      <c r="M2" t="s">
        <v>5095</v>
      </c>
    </row>
    <row r="3" spans="1:13" x14ac:dyDescent="0.25">
      <c r="A3" t="s">
        <v>5057</v>
      </c>
      <c r="B3">
        <v>4</v>
      </c>
      <c r="C3">
        <v>1</v>
      </c>
      <c r="D3" s="22">
        <v>46083</v>
      </c>
      <c r="E3" s="7">
        <v>1652</v>
      </c>
      <c r="F3" s="3"/>
      <c r="G3">
        <v>0</v>
      </c>
      <c r="H3">
        <v>1</v>
      </c>
      <c r="I3">
        <f>G3*H3</f>
        <v>0</v>
      </c>
      <c r="J3">
        <v>6</v>
      </c>
      <c r="K3">
        <v>0</v>
      </c>
      <c r="L3">
        <f>I3+J3+K3</f>
        <v>6</v>
      </c>
      <c r="M3" t="s">
        <v>5095</v>
      </c>
    </row>
    <row r="4" spans="1:13" x14ac:dyDescent="0.25">
      <c r="A4" t="s">
        <v>5057</v>
      </c>
      <c r="B4">
        <v>4</v>
      </c>
      <c r="C4">
        <v>1</v>
      </c>
      <c r="D4" s="22">
        <v>46083</v>
      </c>
      <c r="E4" s="15">
        <v>7187</v>
      </c>
      <c r="F4" s="3"/>
      <c r="G4">
        <v>0</v>
      </c>
      <c r="H4">
        <v>1</v>
      </c>
      <c r="I4">
        <f>G4*H4</f>
        <v>0</v>
      </c>
      <c r="J4">
        <v>1</v>
      </c>
      <c r="K4">
        <v>0</v>
      </c>
      <c r="L4">
        <f>I4+J4+K4</f>
        <v>1</v>
      </c>
      <c r="M4" t="s">
        <v>5096</v>
      </c>
    </row>
    <row r="5" spans="1:13" x14ac:dyDescent="0.25">
      <c r="A5" t="s">
        <v>5057</v>
      </c>
      <c r="B5">
        <v>4</v>
      </c>
      <c r="C5">
        <v>1</v>
      </c>
      <c r="D5" s="22">
        <v>46083</v>
      </c>
      <c r="E5" s="7">
        <v>1654</v>
      </c>
      <c r="F5" s="3"/>
      <c r="G5">
        <v>7</v>
      </c>
      <c r="H5">
        <v>1</v>
      </c>
      <c r="I5">
        <f>G5*H5</f>
        <v>7</v>
      </c>
      <c r="J5">
        <v>0</v>
      </c>
      <c r="K5">
        <v>0</v>
      </c>
      <c r="L5">
        <f>I5+J5+K5</f>
        <v>7</v>
      </c>
      <c r="M5" t="s">
        <v>5095</v>
      </c>
    </row>
    <row r="6" spans="1:13" x14ac:dyDescent="0.25">
      <c r="A6" t="s">
        <v>5057</v>
      </c>
      <c r="B6">
        <v>4</v>
      </c>
      <c r="C6">
        <v>1</v>
      </c>
      <c r="D6" s="22">
        <v>46083</v>
      </c>
      <c r="E6" s="6" t="s">
        <v>4710</v>
      </c>
      <c r="F6" s="3"/>
      <c r="G6">
        <v>94</v>
      </c>
      <c r="H6">
        <v>50</v>
      </c>
      <c r="I6">
        <f t="shared" ref="I6:I69" si="0">G6*H6</f>
        <v>4700</v>
      </c>
      <c r="J6">
        <v>0</v>
      </c>
      <c r="K6">
        <v>0</v>
      </c>
      <c r="L6">
        <f t="shared" ref="L6:L69" si="1">I6+J6+K6</f>
        <v>4700</v>
      </c>
      <c r="M6" t="s">
        <v>5094</v>
      </c>
    </row>
    <row r="7" spans="1:13" x14ac:dyDescent="0.25">
      <c r="A7" t="s">
        <v>5057</v>
      </c>
      <c r="B7">
        <v>4</v>
      </c>
      <c r="C7">
        <v>1</v>
      </c>
      <c r="D7" s="22">
        <v>46083</v>
      </c>
      <c r="E7" s="6" t="s">
        <v>4711</v>
      </c>
      <c r="F7" s="3"/>
      <c r="G7">
        <v>31</v>
      </c>
      <c r="H7">
        <v>50</v>
      </c>
      <c r="I7">
        <f t="shared" si="0"/>
        <v>1550</v>
      </c>
      <c r="J7">
        <v>0</v>
      </c>
      <c r="K7">
        <v>0</v>
      </c>
      <c r="L7">
        <f t="shared" si="1"/>
        <v>1550</v>
      </c>
      <c r="M7" t="s">
        <v>5094</v>
      </c>
    </row>
    <row r="8" spans="1:13" x14ac:dyDescent="0.25">
      <c r="A8" t="s">
        <v>5057</v>
      </c>
      <c r="B8">
        <v>4</v>
      </c>
      <c r="C8">
        <v>2</v>
      </c>
      <c r="D8" s="22">
        <v>46083</v>
      </c>
      <c r="E8" s="7">
        <v>12431</v>
      </c>
      <c r="F8" s="3"/>
      <c r="G8">
        <v>1</v>
      </c>
      <c r="H8">
        <v>12</v>
      </c>
      <c r="I8">
        <f t="shared" si="0"/>
        <v>12</v>
      </c>
      <c r="J8">
        <v>5</v>
      </c>
      <c r="K8">
        <v>0</v>
      </c>
      <c r="L8">
        <f t="shared" si="1"/>
        <v>17</v>
      </c>
      <c r="M8" t="s">
        <v>5094</v>
      </c>
    </row>
    <row r="9" spans="1:13" x14ac:dyDescent="0.25">
      <c r="A9" t="s">
        <v>5057</v>
      </c>
      <c r="B9">
        <v>4</v>
      </c>
      <c r="C9">
        <v>2</v>
      </c>
      <c r="D9" s="22">
        <v>46083</v>
      </c>
      <c r="E9" s="7">
        <v>1249</v>
      </c>
      <c r="F9" s="3"/>
      <c r="G9">
        <v>5</v>
      </c>
      <c r="H9">
        <v>6</v>
      </c>
      <c r="I9">
        <f t="shared" si="0"/>
        <v>30</v>
      </c>
      <c r="J9">
        <v>3</v>
      </c>
      <c r="K9">
        <v>0</v>
      </c>
      <c r="L9">
        <f t="shared" si="1"/>
        <v>33</v>
      </c>
      <c r="M9" t="s">
        <v>5094</v>
      </c>
    </row>
    <row r="10" spans="1:13" x14ac:dyDescent="0.25">
      <c r="A10" t="s">
        <v>5057</v>
      </c>
      <c r="B10">
        <v>4</v>
      </c>
      <c r="C10">
        <v>2</v>
      </c>
      <c r="D10" s="22">
        <v>46083</v>
      </c>
      <c r="E10" s="7">
        <v>1246</v>
      </c>
      <c r="F10" s="3"/>
      <c r="G10">
        <v>5</v>
      </c>
      <c r="H10">
        <v>8</v>
      </c>
      <c r="I10">
        <f t="shared" si="0"/>
        <v>40</v>
      </c>
      <c r="J10">
        <v>0</v>
      </c>
      <c r="K10">
        <v>0</v>
      </c>
      <c r="L10">
        <f t="shared" si="1"/>
        <v>40</v>
      </c>
      <c r="M10" t="s">
        <v>5094</v>
      </c>
    </row>
    <row r="11" spans="1:13" x14ac:dyDescent="0.25">
      <c r="A11" t="s">
        <v>5057</v>
      </c>
      <c r="B11">
        <v>4</v>
      </c>
      <c r="C11">
        <v>2</v>
      </c>
      <c r="D11" s="22">
        <v>46083</v>
      </c>
      <c r="E11" s="7">
        <v>12521</v>
      </c>
      <c r="F11" s="3"/>
      <c r="G11">
        <v>2</v>
      </c>
      <c r="H11">
        <v>5</v>
      </c>
      <c r="I11">
        <f t="shared" si="0"/>
        <v>10</v>
      </c>
      <c r="J11">
        <v>2</v>
      </c>
      <c r="K11">
        <v>0</v>
      </c>
      <c r="L11">
        <f t="shared" si="1"/>
        <v>12</v>
      </c>
      <c r="M11" t="s">
        <v>5094</v>
      </c>
    </row>
    <row r="12" spans="1:13" x14ac:dyDescent="0.25">
      <c r="A12" t="s">
        <v>5057</v>
      </c>
      <c r="B12">
        <v>4</v>
      </c>
      <c r="C12">
        <v>2</v>
      </c>
      <c r="D12" s="22">
        <v>46083</v>
      </c>
      <c r="E12" s="7">
        <v>12441</v>
      </c>
      <c r="F12" s="3"/>
      <c r="G12">
        <v>1</v>
      </c>
      <c r="H12">
        <v>10</v>
      </c>
      <c r="I12">
        <f t="shared" si="0"/>
        <v>10</v>
      </c>
      <c r="J12">
        <v>8</v>
      </c>
      <c r="K12">
        <v>0</v>
      </c>
      <c r="L12">
        <f t="shared" si="1"/>
        <v>18</v>
      </c>
      <c r="M12" t="s">
        <v>5094</v>
      </c>
    </row>
    <row r="13" spans="1:13" x14ac:dyDescent="0.25">
      <c r="A13" t="s">
        <v>5057</v>
      </c>
      <c r="B13">
        <v>4</v>
      </c>
      <c r="C13">
        <v>2</v>
      </c>
      <c r="D13" s="22">
        <v>46083</v>
      </c>
      <c r="E13" s="7">
        <v>12451</v>
      </c>
      <c r="F13" s="3"/>
      <c r="G13">
        <v>3</v>
      </c>
      <c r="H13">
        <v>10</v>
      </c>
      <c r="I13">
        <f t="shared" si="0"/>
        <v>30</v>
      </c>
      <c r="J13">
        <v>1</v>
      </c>
      <c r="K13">
        <v>0</v>
      </c>
      <c r="L13">
        <f t="shared" si="1"/>
        <v>31</v>
      </c>
      <c r="M13" t="s">
        <v>5094</v>
      </c>
    </row>
    <row r="14" spans="1:13" x14ac:dyDescent="0.25">
      <c r="A14" t="s">
        <v>5057</v>
      </c>
      <c r="B14">
        <v>4</v>
      </c>
      <c r="C14">
        <v>2</v>
      </c>
      <c r="D14" s="22">
        <v>46083</v>
      </c>
      <c r="E14" s="7">
        <v>1247</v>
      </c>
      <c r="F14" s="3"/>
      <c r="G14">
        <v>1</v>
      </c>
      <c r="H14">
        <v>8</v>
      </c>
      <c r="I14">
        <f t="shared" si="0"/>
        <v>8</v>
      </c>
      <c r="J14">
        <v>4</v>
      </c>
      <c r="K14">
        <v>0</v>
      </c>
      <c r="L14">
        <f t="shared" si="1"/>
        <v>12</v>
      </c>
      <c r="M14" t="s">
        <v>5094</v>
      </c>
    </row>
    <row r="15" spans="1:13" x14ac:dyDescent="0.25">
      <c r="A15" t="s">
        <v>5057</v>
      </c>
      <c r="B15">
        <v>4</v>
      </c>
      <c r="C15">
        <v>2</v>
      </c>
      <c r="D15" s="22">
        <v>46083</v>
      </c>
      <c r="E15" s="7">
        <v>1248</v>
      </c>
      <c r="F15" s="3"/>
      <c r="G15">
        <v>3</v>
      </c>
      <c r="H15">
        <v>10</v>
      </c>
      <c r="I15">
        <f t="shared" si="0"/>
        <v>30</v>
      </c>
      <c r="J15">
        <v>0</v>
      </c>
      <c r="K15">
        <v>0</v>
      </c>
      <c r="L15">
        <f t="shared" si="1"/>
        <v>30</v>
      </c>
      <c r="M15" t="s">
        <v>5094</v>
      </c>
    </row>
    <row r="16" spans="1:13" x14ac:dyDescent="0.25">
      <c r="A16" t="s">
        <v>5057</v>
      </c>
      <c r="B16">
        <v>4</v>
      </c>
      <c r="C16">
        <v>2</v>
      </c>
      <c r="D16" s="22">
        <v>46083</v>
      </c>
      <c r="E16" s="7">
        <v>12501</v>
      </c>
      <c r="F16" s="3"/>
      <c r="G16">
        <v>5</v>
      </c>
      <c r="H16">
        <v>6</v>
      </c>
      <c r="I16">
        <f t="shared" si="0"/>
        <v>30</v>
      </c>
      <c r="J16">
        <v>0</v>
      </c>
      <c r="K16">
        <v>0</v>
      </c>
      <c r="L16">
        <f t="shared" si="1"/>
        <v>30</v>
      </c>
      <c r="M16" t="s">
        <v>5094</v>
      </c>
    </row>
    <row r="17" spans="1:13" x14ac:dyDescent="0.25">
      <c r="A17" t="s">
        <v>5057</v>
      </c>
      <c r="B17">
        <v>4</v>
      </c>
      <c r="C17">
        <v>3</v>
      </c>
      <c r="D17" s="22">
        <v>46083</v>
      </c>
      <c r="E17" s="7">
        <v>12541</v>
      </c>
      <c r="F17" s="3"/>
      <c r="G17">
        <v>1</v>
      </c>
      <c r="H17">
        <v>10</v>
      </c>
      <c r="I17">
        <f t="shared" si="0"/>
        <v>10</v>
      </c>
      <c r="J17">
        <v>6</v>
      </c>
      <c r="K17">
        <v>0</v>
      </c>
      <c r="L17">
        <f t="shared" si="1"/>
        <v>16</v>
      </c>
      <c r="M17" t="s">
        <v>5094</v>
      </c>
    </row>
    <row r="18" spans="1:13" x14ac:dyDescent="0.25">
      <c r="A18" t="s">
        <v>5057</v>
      </c>
      <c r="B18">
        <v>4</v>
      </c>
      <c r="C18">
        <v>3</v>
      </c>
      <c r="D18" s="22">
        <v>46083</v>
      </c>
      <c r="E18" s="7">
        <v>12601</v>
      </c>
      <c r="F18" s="3"/>
      <c r="G18">
        <v>3</v>
      </c>
      <c r="H18">
        <v>6</v>
      </c>
      <c r="I18">
        <f t="shared" si="0"/>
        <v>18</v>
      </c>
      <c r="J18">
        <v>5</v>
      </c>
      <c r="K18">
        <v>0</v>
      </c>
      <c r="L18">
        <f t="shared" si="1"/>
        <v>23</v>
      </c>
      <c r="M18" t="s">
        <v>5094</v>
      </c>
    </row>
    <row r="19" spans="1:13" x14ac:dyDescent="0.25">
      <c r="A19" t="s">
        <v>5057</v>
      </c>
      <c r="B19">
        <v>4</v>
      </c>
      <c r="C19">
        <v>3</v>
      </c>
      <c r="D19" s="22">
        <v>46083</v>
      </c>
      <c r="E19" s="7">
        <v>12551</v>
      </c>
      <c r="F19" s="3"/>
      <c r="G19">
        <v>2</v>
      </c>
      <c r="H19">
        <v>10</v>
      </c>
      <c r="I19">
        <f t="shared" si="0"/>
        <v>20</v>
      </c>
      <c r="J19">
        <v>0</v>
      </c>
      <c r="K19">
        <v>0</v>
      </c>
      <c r="L19">
        <f t="shared" si="1"/>
        <v>20</v>
      </c>
      <c r="M19" t="s">
        <v>5094</v>
      </c>
    </row>
    <row r="20" spans="1:13" x14ac:dyDescent="0.25">
      <c r="A20" t="s">
        <v>5057</v>
      </c>
      <c r="B20">
        <v>4</v>
      </c>
      <c r="C20">
        <v>3</v>
      </c>
      <c r="D20" s="22">
        <v>46083</v>
      </c>
      <c r="E20" s="7">
        <v>12603</v>
      </c>
      <c r="F20" s="3"/>
      <c r="G20">
        <v>0</v>
      </c>
      <c r="H20">
        <v>1</v>
      </c>
      <c r="I20">
        <f t="shared" si="0"/>
        <v>0</v>
      </c>
      <c r="J20">
        <v>2</v>
      </c>
      <c r="K20">
        <v>0</v>
      </c>
      <c r="L20">
        <f t="shared" si="1"/>
        <v>2</v>
      </c>
      <c r="M20" t="s">
        <v>5094</v>
      </c>
    </row>
    <row r="21" spans="1:13" x14ac:dyDescent="0.25">
      <c r="A21" t="s">
        <v>5057</v>
      </c>
      <c r="B21">
        <v>4</v>
      </c>
      <c r="C21">
        <v>3</v>
      </c>
      <c r="D21" s="22">
        <v>46083</v>
      </c>
      <c r="E21" s="7">
        <v>12602</v>
      </c>
      <c r="F21" s="3"/>
      <c r="G21">
        <v>1</v>
      </c>
      <c r="H21">
        <v>5</v>
      </c>
      <c r="I21">
        <f t="shared" si="0"/>
        <v>5</v>
      </c>
      <c r="J21">
        <v>3</v>
      </c>
      <c r="K21">
        <v>0</v>
      </c>
      <c r="L21">
        <f t="shared" si="1"/>
        <v>8</v>
      </c>
      <c r="M21" t="s">
        <v>5094</v>
      </c>
    </row>
    <row r="22" spans="1:13" x14ac:dyDescent="0.25">
      <c r="A22" t="s">
        <v>5057</v>
      </c>
      <c r="B22">
        <v>4</v>
      </c>
      <c r="C22">
        <v>3</v>
      </c>
      <c r="D22" s="22">
        <v>46083</v>
      </c>
      <c r="E22" s="7">
        <v>12561</v>
      </c>
      <c r="F22" s="3"/>
      <c r="G22">
        <v>1</v>
      </c>
      <c r="H22">
        <v>10</v>
      </c>
      <c r="I22">
        <f t="shared" si="0"/>
        <v>10</v>
      </c>
      <c r="J22">
        <v>7</v>
      </c>
      <c r="K22">
        <v>0</v>
      </c>
      <c r="L22">
        <f t="shared" si="1"/>
        <v>17</v>
      </c>
      <c r="M22" t="s">
        <v>5094</v>
      </c>
    </row>
    <row r="23" spans="1:13" x14ac:dyDescent="0.25">
      <c r="A23" t="s">
        <v>5057</v>
      </c>
      <c r="B23">
        <v>4</v>
      </c>
      <c r="C23">
        <v>4</v>
      </c>
      <c r="D23" s="22">
        <v>46083</v>
      </c>
      <c r="E23" s="7">
        <v>12533</v>
      </c>
      <c r="F23" s="3"/>
      <c r="G23">
        <v>11</v>
      </c>
      <c r="H23">
        <v>2</v>
      </c>
      <c r="I23">
        <f t="shared" si="0"/>
        <v>22</v>
      </c>
      <c r="J23">
        <v>1</v>
      </c>
      <c r="K23">
        <v>0</v>
      </c>
      <c r="L23">
        <f t="shared" si="1"/>
        <v>23</v>
      </c>
      <c r="M23" t="s">
        <v>5094</v>
      </c>
    </row>
    <row r="24" spans="1:13" x14ac:dyDescent="0.25">
      <c r="A24" t="s">
        <v>5057</v>
      </c>
      <c r="B24">
        <v>4</v>
      </c>
      <c r="C24">
        <v>4</v>
      </c>
      <c r="D24" s="22">
        <v>46083</v>
      </c>
      <c r="E24" s="7">
        <v>1277</v>
      </c>
      <c r="F24" s="3"/>
      <c r="G24">
        <v>9</v>
      </c>
      <c r="H24">
        <v>2</v>
      </c>
      <c r="I24">
        <f t="shared" si="0"/>
        <v>18</v>
      </c>
      <c r="J24">
        <v>1</v>
      </c>
      <c r="K24">
        <v>0</v>
      </c>
      <c r="L24">
        <f t="shared" si="1"/>
        <v>19</v>
      </c>
      <c r="M24" t="s">
        <v>5094</v>
      </c>
    </row>
    <row r="25" spans="1:13" x14ac:dyDescent="0.25">
      <c r="A25" t="s">
        <v>5057</v>
      </c>
      <c r="B25">
        <v>4</v>
      </c>
      <c r="C25">
        <v>5</v>
      </c>
      <c r="D25" s="22">
        <v>46083</v>
      </c>
      <c r="E25" s="62" t="s">
        <v>4726</v>
      </c>
      <c r="F25" s="3"/>
      <c r="G25">
        <v>21</v>
      </c>
      <c r="H25">
        <v>10</v>
      </c>
      <c r="I25">
        <f t="shared" si="0"/>
        <v>210</v>
      </c>
      <c r="J25">
        <v>0</v>
      </c>
      <c r="K25">
        <v>0</v>
      </c>
      <c r="L25">
        <f t="shared" si="1"/>
        <v>210</v>
      </c>
      <c r="M25" t="s">
        <v>5094</v>
      </c>
    </row>
    <row r="26" spans="1:13" x14ac:dyDescent="0.25">
      <c r="A26" t="s">
        <v>5057</v>
      </c>
      <c r="B26">
        <v>4</v>
      </c>
      <c r="C26">
        <v>5</v>
      </c>
      <c r="D26" s="22">
        <v>46083</v>
      </c>
      <c r="E26" s="62" t="s">
        <v>4727</v>
      </c>
      <c r="F26" s="3"/>
      <c r="G26">
        <v>42</v>
      </c>
      <c r="H26">
        <v>15</v>
      </c>
      <c r="I26">
        <f t="shared" si="0"/>
        <v>630</v>
      </c>
      <c r="J26">
        <v>90</v>
      </c>
      <c r="K26">
        <v>0</v>
      </c>
      <c r="L26">
        <f t="shared" si="1"/>
        <v>720</v>
      </c>
      <c r="M26" t="s">
        <v>5097</v>
      </c>
    </row>
    <row r="27" spans="1:13" x14ac:dyDescent="0.25">
      <c r="A27" t="s">
        <v>5057</v>
      </c>
      <c r="B27">
        <v>4</v>
      </c>
      <c r="C27">
        <v>5</v>
      </c>
      <c r="D27" s="22">
        <v>46083</v>
      </c>
      <c r="E27" s="62" t="s">
        <v>4728</v>
      </c>
      <c r="F27" s="3"/>
      <c r="G27">
        <v>13</v>
      </c>
      <c r="H27">
        <v>50</v>
      </c>
      <c r="I27">
        <f t="shared" si="0"/>
        <v>650</v>
      </c>
      <c r="J27">
        <v>0</v>
      </c>
      <c r="K27">
        <v>0</v>
      </c>
      <c r="L27">
        <f t="shared" si="1"/>
        <v>650</v>
      </c>
      <c r="M27" t="s">
        <v>5094</v>
      </c>
    </row>
    <row r="28" spans="1:13" x14ac:dyDescent="0.25">
      <c r="A28" t="s">
        <v>5057</v>
      </c>
      <c r="B28">
        <v>4</v>
      </c>
      <c r="C28">
        <v>5</v>
      </c>
      <c r="D28" s="22">
        <v>46083</v>
      </c>
      <c r="E28" s="62" t="s">
        <v>4729</v>
      </c>
      <c r="F28" s="3"/>
      <c r="G28">
        <v>22</v>
      </c>
      <c r="H28">
        <v>50</v>
      </c>
      <c r="I28">
        <f t="shared" si="0"/>
        <v>1100</v>
      </c>
      <c r="J28">
        <v>0</v>
      </c>
      <c r="K28">
        <v>0</v>
      </c>
      <c r="L28">
        <f t="shared" si="1"/>
        <v>1100</v>
      </c>
      <c r="M28" t="s">
        <v>5094</v>
      </c>
    </row>
    <row r="29" spans="1:13" x14ac:dyDescent="0.25">
      <c r="A29" t="s">
        <v>5057</v>
      </c>
      <c r="B29">
        <v>4</v>
      </c>
      <c r="C29">
        <v>5</v>
      </c>
      <c r="D29" s="22">
        <v>46114</v>
      </c>
      <c r="E29" s="62" t="s">
        <v>4731</v>
      </c>
      <c r="F29" s="3"/>
      <c r="G29">
        <v>42</v>
      </c>
      <c r="H29">
        <v>20</v>
      </c>
      <c r="I29">
        <f t="shared" si="0"/>
        <v>840</v>
      </c>
      <c r="J29">
        <v>0</v>
      </c>
      <c r="K29">
        <v>0</v>
      </c>
      <c r="L29">
        <f t="shared" si="1"/>
        <v>840</v>
      </c>
      <c r="M29" t="s">
        <v>5094</v>
      </c>
    </row>
    <row r="30" spans="1:13" x14ac:dyDescent="0.25">
      <c r="A30" t="s">
        <v>5057</v>
      </c>
      <c r="B30">
        <v>4</v>
      </c>
      <c r="C30">
        <v>6</v>
      </c>
      <c r="D30" s="22">
        <v>46114</v>
      </c>
      <c r="E30" s="7">
        <v>1262</v>
      </c>
      <c r="F30" s="3"/>
      <c r="G30">
        <v>1</v>
      </c>
      <c r="H30">
        <v>10</v>
      </c>
      <c r="I30">
        <f t="shared" si="0"/>
        <v>10</v>
      </c>
      <c r="J30">
        <v>8</v>
      </c>
      <c r="K30">
        <v>0</v>
      </c>
      <c r="L30">
        <f t="shared" si="1"/>
        <v>18</v>
      </c>
      <c r="M30" t="s">
        <v>5094</v>
      </c>
    </row>
    <row r="31" spans="1:13" x14ac:dyDescent="0.25">
      <c r="A31" t="s">
        <v>5057</v>
      </c>
      <c r="B31">
        <v>4</v>
      </c>
      <c r="C31">
        <v>6</v>
      </c>
      <c r="D31" s="22">
        <v>46114</v>
      </c>
      <c r="E31" s="7">
        <v>1274</v>
      </c>
      <c r="F31" s="3"/>
      <c r="G31">
        <v>4</v>
      </c>
      <c r="H31">
        <v>5</v>
      </c>
      <c r="I31">
        <f t="shared" si="0"/>
        <v>20</v>
      </c>
      <c r="J31">
        <v>0</v>
      </c>
      <c r="K31">
        <v>0</v>
      </c>
      <c r="L31">
        <f t="shared" si="1"/>
        <v>20</v>
      </c>
      <c r="M31" t="s">
        <v>5094</v>
      </c>
    </row>
    <row r="32" spans="1:13" x14ac:dyDescent="0.25">
      <c r="A32" t="s">
        <v>5057</v>
      </c>
      <c r="B32">
        <v>4</v>
      </c>
      <c r="C32">
        <v>6</v>
      </c>
      <c r="D32" s="22">
        <v>46114</v>
      </c>
      <c r="E32" s="7">
        <v>1264</v>
      </c>
      <c r="F32" s="3"/>
      <c r="G32">
        <v>2</v>
      </c>
      <c r="H32">
        <v>8</v>
      </c>
      <c r="I32">
        <f t="shared" si="0"/>
        <v>16</v>
      </c>
      <c r="J32">
        <v>0</v>
      </c>
      <c r="K32">
        <v>0</v>
      </c>
      <c r="L32">
        <f t="shared" si="1"/>
        <v>16</v>
      </c>
      <c r="M32" t="s">
        <v>5094</v>
      </c>
    </row>
    <row r="33" spans="1:13" x14ac:dyDescent="0.25">
      <c r="A33" t="s">
        <v>5057</v>
      </c>
      <c r="B33">
        <v>4</v>
      </c>
      <c r="C33">
        <v>6</v>
      </c>
      <c r="D33" s="22">
        <v>46114</v>
      </c>
      <c r="E33" s="7">
        <v>1271</v>
      </c>
      <c r="F33" s="3"/>
      <c r="G33">
        <v>4</v>
      </c>
      <c r="H33">
        <v>6</v>
      </c>
      <c r="I33">
        <f t="shared" si="0"/>
        <v>24</v>
      </c>
      <c r="J33">
        <v>0</v>
      </c>
      <c r="K33">
        <v>0</v>
      </c>
      <c r="L33">
        <f t="shared" si="1"/>
        <v>24</v>
      </c>
      <c r="M33" t="s">
        <v>5094</v>
      </c>
    </row>
    <row r="34" spans="1:13" x14ac:dyDescent="0.25">
      <c r="A34" t="s">
        <v>5057</v>
      </c>
      <c r="B34">
        <v>4</v>
      </c>
      <c r="C34">
        <v>6</v>
      </c>
      <c r="D34" s="22">
        <v>46114</v>
      </c>
      <c r="E34" s="7">
        <v>1261</v>
      </c>
      <c r="F34" s="3"/>
      <c r="G34">
        <v>2</v>
      </c>
      <c r="H34">
        <v>12</v>
      </c>
      <c r="I34">
        <f t="shared" si="0"/>
        <v>24</v>
      </c>
      <c r="J34">
        <v>6</v>
      </c>
      <c r="K34">
        <v>0</v>
      </c>
      <c r="L34">
        <f t="shared" si="1"/>
        <v>30</v>
      </c>
      <c r="M34" t="s">
        <v>5094</v>
      </c>
    </row>
    <row r="35" spans="1:13" x14ac:dyDescent="0.25">
      <c r="A35" t="s">
        <v>5057</v>
      </c>
      <c r="B35">
        <v>4</v>
      </c>
      <c r="C35">
        <v>6</v>
      </c>
      <c r="D35" s="22">
        <v>46114</v>
      </c>
      <c r="E35" s="7">
        <v>12532</v>
      </c>
      <c r="F35" s="3"/>
      <c r="G35">
        <v>2</v>
      </c>
      <c r="H35">
        <v>5</v>
      </c>
      <c r="I35">
        <f t="shared" si="0"/>
        <v>10</v>
      </c>
      <c r="J35">
        <v>4</v>
      </c>
      <c r="K35">
        <v>0</v>
      </c>
      <c r="L35">
        <f t="shared" si="1"/>
        <v>14</v>
      </c>
      <c r="M35" t="s">
        <v>5094</v>
      </c>
    </row>
    <row r="36" spans="1:13" x14ac:dyDescent="0.25">
      <c r="A36" t="s">
        <v>5057</v>
      </c>
      <c r="B36">
        <v>4</v>
      </c>
      <c r="C36">
        <v>6</v>
      </c>
      <c r="D36" s="22">
        <v>46114</v>
      </c>
      <c r="E36" s="7">
        <v>12531</v>
      </c>
      <c r="F36" s="3"/>
      <c r="G36">
        <v>9</v>
      </c>
      <c r="H36">
        <v>5</v>
      </c>
      <c r="I36">
        <f t="shared" si="0"/>
        <v>45</v>
      </c>
      <c r="J36">
        <v>0</v>
      </c>
      <c r="K36">
        <v>0</v>
      </c>
      <c r="L36">
        <f t="shared" si="1"/>
        <v>45</v>
      </c>
      <c r="M36" t="s">
        <v>5094</v>
      </c>
    </row>
    <row r="37" spans="1:13" x14ac:dyDescent="0.25">
      <c r="A37" t="s">
        <v>5057</v>
      </c>
      <c r="B37">
        <v>4</v>
      </c>
      <c r="C37">
        <v>6</v>
      </c>
      <c r="D37" s="22">
        <v>46114</v>
      </c>
      <c r="E37" s="7">
        <v>12511</v>
      </c>
      <c r="F37" s="3"/>
      <c r="G37">
        <v>5</v>
      </c>
      <c r="H37">
        <v>6</v>
      </c>
      <c r="I37">
        <f t="shared" si="0"/>
        <v>30</v>
      </c>
      <c r="J37">
        <v>4</v>
      </c>
      <c r="K37">
        <v>0</v>
      </c>
      <c r="L37">
        <f t="shared" si="1"/>
        <v>34</v>
      </c>
      <c r="M37" t="s">
        <v>5094</v>
      </c>
    </row>
    <row r="38" spans="1:13" x14ac:dyDescent="0.25">
      <c r="A38" t="s">
        <v>5057</v>
      </c>
      <c r="B38">
        <v>4</v>
      </c>
      <c r="C38">
        <v>7</v>
      </c>
      <c r="D38" s="22">
        <v>46114</v>
      </c>
      <c r="E38" s="7">
        <v>12581</v>
      </c>
      <c r="F38" s="3"/>
      <c r="G38">
        <v>4</v>
      </c>
      <c r="H38">
        <v>6</v>
      </c>
      <c r="I38">
        <f t="shared" si="0"/>
        <v>24</v>
      </c>
      <c r="J38">
        <v>0</v>
      </c>
      <c r="K38">
        <v>0</v>
      </c>
      <c r="L38">
        <f t="shared" si="1"/>
        <v>24</v>
      </c>
      <c r="M38" t="s">
        <v>5094</v>
      </c>
    </row>
    <row r="39" spans="1:13" x14ac:dyDescent="0.25">
      <c r="A39" t="s">
        <v>5057</v>
      </c>
      <c r="B39">
        <v>4</v>
      </c>
      <c r="C39">
        <v>7</v>
      </c>
      <c r="D39" s="22">
        <v>46114</v>
      </c>
      <c r="E39" s="7">
        <v>12591</v>
      </c>
      <c r="F39" s="3"/>
      <c r="G39">
        <v>4</v>
      </c>
      <c r="H39">
        <v>6</v>
      </c>
      <c r="I39">
        <f t="shared" si="0"/>
        <v>24</v>
      </c>
      <c r="J39">
        <v>10</v>
      </c>
      <c r="K39">
        <v>0</v>
      </c>
      <c r="L39">
        <f t="shared" si="1"/>
        <v>34</v>
      </c>
      <c r="M39" t="s">
        <v>5094</v>
      </c>
    </row>
    <row r="40" spans="1:13" x14ac:dyDescent="0.25">
      <c r="A40" t="s">
        <v>5057</v>
      </c>
      <c r="B40">
        <v>4</v>
      </c>
      <c r="C40">
        <v>7</v>
      </c>
      <c r="D40" s="22">
        <v>46114</v>
      </c>
      <c r="E40" s="7">
        <v>1284</v>
      </c>
      <c r="F40" s="3"/>
      <c r="G40">
        <v>9</v>
      </c>
      <c r="H40">
        <v>1</v>
      </c>
      <c r="I40">
        <f t="shared" si="0"/>
        <v>9</v>
      </c>
      <c r="J40">
        <v>0</v>
      </c>
      <c r="K40">
        <v>0</v>
      </c>
      <c r="L40">
        <f t="shared" si="1"/>
        <v>9</v>
      </c>
      <c r="M40" t="s">
        <v>5094</v>
      </c>
    </row>
    <row r="41" spans="1:13" x14ac:dyDescent="0.25">
      <c r="A41" t="s">
        <v>5057</v>
      </c>
      <c r="B41">
        <v>4</v>
      </c>
      <c r="C41">
        <v>7</v>
      </c>
      <c r="D41" s="22">
        <v>46114</v>
      </c>
      <c r="E41" s="7">
        <v>12605</v>
      </c>
      <c r="F41" s="3"/>
      <c r="G41">
        <v>2</v>
      </c>
      <c r="H41">
        <v>6</v>
      </c>
      <c r="I41">
        <f t="shared" si="0"/>
        <v>12</v>
      </c>
      <c r="J41">
        <v>5</v>
      </c>
      <c r="K41">
        <v>0</v>
      </c>
      <c r="L41">
        <f t="shared" si="1"/>
        <v>17</v>
      </c>
      <c r="M41" t="s">
        <v>5094</v>
      </c>
    </row>
    <row r="42" spans="1:13" x14ac:dyDescent="0.25">
      <c r="A42" t="s">
        <v>5057</v>
      </c>
      <c r="B42">
        <v>4</v>
      </c>
      <c r="C42">
        <v>7</v>
      </c>
      <c r="D42" s="22">
        <v>46114</v>
      </c>
      <c r="E42" s="7">
        <v>1285</v>
      </c>
      <c r="F42" s="3"/>
      <c r="G42">
        <v>21</v>
      </c>
      <c r="H42">
        <v>1</v>
      </c>
      <c r="I42">
        <f t="shared" si="0"/>
        <v>21</v>
      </c>
      <c r="J42">
        <v>0</v>
      </c>
      <c r="K42">
        <v>0</v>
      </c>
      <c r="L42">
        <f t="shared" si="1"/>
        <v>21</v>
      </c>
      <c r="M42" t="s">
        <v>5094</v>
      </c>
    </row>
    <row r="43" spans="1:13" x14ac:dyDescent="0.25">
      <c r="A43" t="s">
        <v>5057</v>
      </c>
      <c r="B43">
        <v>4</v>
      </c>
      <c r="C43">
        <v>8</v>
      </c>
      <c r="D43" s="22">
        <v>46114</v>
      </c>
      <c r="E43" s="7">
        <v>1283</v>
      </c>
      <c r="F43" s="3"/>
      <c r="G43">
        <v>15</v>
      </c>
      <c r="H43">
        <v>1</v>
      </c>
      <c r="I43">
        <f t="shared" si="0"/>
        <v>15</v>
      </c>
      <c r="J43">
        <v>0</v>
      </c>
      <c r="K43">
        <v>0</v>
      </c>
      <c r="L43">
        <f t="shared" si="1"/>
        <v>15</v>
      </c>
      <c r="M43" t="s">
        <v>5094</v>
      </c>
    </row>
    <row r="44" spans="1:13" x14ac:dyDescent="0.25">
      <c r="A44" t="s">
        <v>5057</v>
      </c>
      <c r="B44">
        <v>4</v>
      </c>
      <c r="C44">
        <v>8</v>
      </c>
      <c r="D44" s="22">
        <v>46114</v>
      </c>
      <c r="E44" s="7">
        <v>1282</v>
      </c>
      <c r="F44" s="3"/>
      <c r="G44">
        <v>12</v>
      </c>
      <c r="H44">
        <v>1</v>
      </c>
      <c r="I44">
        <f t="shared" si="0"/>
        <v>12</v>
      </c>
      <c r="J44">
        <v>0</v>
      </c>
      <c r="K44">
        <v>0</v>
      </c>
      <c r="L44">
        <f t="shared" si="1"/>
        <v>12</v>
      </c>
      <c r="M44" t="s">
        <v>5094</v>
      </c>
    </row>
    <row r="45" spans="1:13" x14ac:dyDescent="0.25">
      <c r="A45" t="s">
        <v>5057</v>
      </c>
      <c r="B45">
        <v>4</v>
      </c>
      <c r="C45">
        <v>8</v>
      </c>
      <c r="D45" s="22">
        <v>46114</v>
      </c>
      <c r="E45" s="7">
        <v>1281</v>
      </c>
      <c r="F45" s="3"/>
      <c r="G45">
        <v>22</v>
      </c>
      <c r="H45">
        <v>1</v>
      </c>
      <c r="I45">
        <f t="shared" si="0"/>
        <v>22</v>
      </c>
      <c r="J45">
        <v>0</v>
      </c>
      <c r="K45">
        <v>0</v>
      </c>
      <c r="L45">
        <f t="shared" si="1"/>
        <v>22</v>
      </c>
      <c r="M45" t="s">
        <v>5094</v>
      </c>
    </row>
    <row r="46" spans="1:13" x14ac:dyDescent="0.25">
      <c r="A46" t="s">
        <v>5057</v>
      </c>
      <c r="B46">
        <v>4</v>
      </c>
      <c r="C46">
        <v>8</v>
      </c>
      <c r="D46" s="22">
        <v>46114</v>
      </c>
      <c r="E46" s="7">
        <v>1293</v>
      </c>
      <c r="F46" s="3"/>
      <c r="G46">
        <v>4</v>
      </c>
      <c r="H46">
        <v>1</v>
      </c>
      <c r="I46">
        <f t="shared" si="0"/>
        <v>4</v>
      </c>
      <c r="J46">
        <v>0</v>
      </c>
      <c r="K46">
        <v>0</v>
      </c>
      <c r="L46">
        <f t="shared" si="1"/>
        <v>4</v>
      </c>
      <c r="M46" t="s">
        <v>5094</v>
      </c>
    </row>
    <row r="47" spans="1:13" x14ac:dyDescent="0.25">
      <c r="A47" t="s">
        <v>5057</v>
      </c>
      <c r="B47">
        <v>4</v>
      </c>
      <c r="C47">
        <v>8</v>
      </c>
      <c r="D47" s="22">
        <v>46114</v>
      </c>
      <c r="E47" s="7">
        <v>12607</v>
      </c>
      <c r="F47" s="3"/>
      <c r="G47">
        <v>6</v>
      </c>
      <c r="H47">
        <v>3</v>
      </c>
      <c r="I47">
        <f t="shared" si="0"/>
        <v>18</v>
      </c>
      <c r="J47">
        <v>0</v>
      </c>
      <c r="K47">
        <v>0</v>
      </c>
      <c r="L47">
        <f t="shared" si="1"/>
        <v>18</v>
      </c>
      <c r="M47" t="s">
        <v>5098</v>
      </c>
    </row>
    <row r="48" spans="1:13" x14ac:dyDescent="0.25">
      <c r="A48" t="s">
        <v>5057</v>
      </c>
      <c r="B48">
        <v>4</v>
      </c>
      <c r="C48">
        <v>9</v>
      </c>
      <c r="D48" s="22">
        <v>46114</v>
      </c>
      <c r="E48" s="6" t="s">
        <v>4756</v>
      </c>
      <c r="F48" s="3"/>
      <c r="G48">
        <v>63</v>
      </c>
      <c r="H48">
        <v>10</v>
      </c>
      <c r="I48">
        <f t="shared" si="0"/>
        <v>630</v>
      </c>
      <c r="J48">
        <v>0</v>
      </c>
      <c r="K48">
        <v>0</v>
      </c>
      <c r="L48">
        <f t="shared" si="1"/>
        <v>630</v>
      </c>
      <c r="M48" t="s">
        <v>5094</v>
      </c>
    </row>
    <row r="49" spans="1:13" x14ac:dyDescent="0.25">
      <c r="A49" t="s">
        <v>5057</v>
      </c>
      <c r="B49">
        <v>4</v>
      </c>
      <c r="C49">
        <v>9</v>
      </c>
      <c r="D49" s="22">
        <v>46114</v>
      </c>
      <c r="E49" s="6" t="s">
        <v>4757</v>
      </c>
      <c r="F49" s="3"/>
      <c r="G49">
        <v>12</v>
      </c>
      <c r="H49">
        <v>5</v>
      </c>
      <c r="I49">
        <f t="shared" si="0"/>
        <v>60</v>
      </c>
      <c r="J49">
        <v>0</v>
      </c>
      <c r="K49">
        <v>0</v>
      </c>
      <c r="L49">
        <f t="shared" si="1"/>
        <v>60</v>
      </c>
      <c r="M49" t="s">
        <v>5094</v>
      </c>
    </row>
    <row r="50" spans="1:13" x14ac:dyDescent="0.25">
      <c r="A50" t="s">
        <v>5057</v>
      </c>
      <c r="B50">
        <v>4</v>
      </c>
      <c r="C50">
        <v>9</v>
      </c>
      <c r="D50" s="22">
        <v>46114</v>
      </c>
      <c r="E50" s="6" t="s">
        <v>4758</v>
      </c>
      <c r="F50" s="3"/>
      <c r="G50">
        <v>24</v>
      </c>
      <c r="H50">
        <v>5</v>
      </c>
      <c r="I50">
        <f t="shared" si="0"/>
        <v>120</v>
      </c>
      <c r="J50">
        <v>0</v>
      </c>
      <c r="K50">
        <v>0</v>
      </c>
      <c r="L50">
        <f t="shared" si="1"/>
        <v>120</v>
      </c>
      <c r="M50" t="s">
        <v>5094</v>
      </c>
    </row>
    <row r="51" spans="1:13" x14ac:dyDescent="0.25">
      <c r="A51" t="s">
        <v>5057</v>
      </c>
      <c r="B51">
        <v>4</v>
      </c>
      <c r="C51">
        <v>9</v>
      </c>
      <c r="D51" s="22">
        <v>46114</v>
      </c>
      <c r="E51" s="6" t="s">
        <v>4731</v>
      </c>
      <c r="F51" s="3"/>
      <c r="G51">
        <v>2</v>
      </c>
      <c r="H51">
        <v>800</v>
      </c>
      <c r="I51">
        <f t="shared" si="0"/>
        <v>1600</v>
      </c>
      <c r="J51">
        <v>0</v>
      </c>
      <c r="K51">
        <v>0</v>
      </c>
      <c r="L51">
        <f t="shared" si="1"/>
        <v>1600</v>
      </c>
      <c r="M51" t="s">
        <v>5094</v>
      </c>
    </row>
    <row r="52" spans="1:13" x14ac:dyDescent="0.25">
      <c r="A52" t="s">
        <v>5057</v>
      </c>
      <c r="B52">
        <v>4</v>
      </c>
      <c r="C52">
        <v>10</v>
      </c>
      <c r="D52" s="22">
        <v>46114</v>
      </c>
      <c r="E52" s="7">
        <v>1276</v>
      </c>
      <c r="F52" s="3"/>
      <c r="G52">
        <v>3</v>
      </c>
      <c r="H52">
        <v>5</v>
      </c>
      <c r="I52">
        <f t="shared" si="0"/>
        <v>15</v>
      </c>
      <c r="J52">
        <v>2</v>
      </c>
      <c r="K52">
        <v>0</v>
      </c>
      <c r="L52">
        <f t="shared" si="1"/>
        <v>17</v>
      </c>
      <c r="M52" t="s">
        <v>5094</v>
      </c>
    </row>
    <row r="53" spans="1:13" x14ac:dyDescent="0.25">
      <c r="A53" t="s">
        <v>5057</v>
      </c>
      <c r="B53">
        <v>4</v>
      </c>
      <c r="C53">
        <v>10</v>
      </c>
      <c r="D53" s="22">
        <v>46114</v>
      </c>
      <c r="E53" s="7">
        <v>1275</v>
      </c>
      <c r="F53" s="3"/>
      <c r="G53">
        <v>2</v>
      </c>
      <c r="H53">
        <v>5</v>
      </c>
      <c r="I53">
        <f t="shared" si="0"/>
        <v>10</v>
      </c>
      <c r="J53">
        <v>4</v>
      </c>
      <c r="K53">
        <v>0</v>
      </c>
      <c r="L53">
        <f t="shared" si="1"/>
        <v>14</v>
      </c>
      <c r="M53" t="s">
        <v>5094</v>
      </c>
    </row>
    <row r="54" spans="1:13" x14ac:dyDescent="0.25">
      <c r="A54" t="s">
        <v>5057</v>
      </c>
      <c r="B54">
        <v>4</v>
      </c>
      <c r="C54">
        <v>10</v>
      </c>
      <c r="D54" s="22">
        <v>46114</v>
      </c>
      <c r="E54" s="7">
        <v>1269</v>
      </c>
      <c r="F54" s="3"/>
      <c r="G54">
        <v>3</v>
      </c>
      <c r="H54">
        <v>8</v>
      </c>
      <c r="I54">
        <f t="shared" si="0"/>
        <v>24</v>
      </c>
      <c r="J54">
        <v>4</v>
      </c>
      <c r="K54">
        <v>0</v>
      </c>
      <c r="L54">
        <f t="shared" si="1"/>
        <v>28</v>
      </c>
      <c r="M54" t="s">
        <v>5094</v>
      </c>
    </row>
    <row r="55" spans="1:13" x14ac:dyDescent="0.25">
      <c r="A55" t="s">
        <v>5057</v>
      </c>
      <c r="B55">
        <v>4</v>
      </c>
      <c r="C55">
        <v>10</v>
      </c>
      <c r="D55" s="22">
        <v>46114</v>
      </c>
      <c r="E55" s="7">
        <v>1270</v>
      </c>
      <c r="F55" s="3"/>
      <c r="G55">
        <v>4</v>
      </c>
      <c r="H55">
        <v>8</v>
      </c>
      <c r="I55">
        <f t="shared" si="0"/>
        <v>32</v>
      </c>
      <c r="J55">
        <v>2</v>
      </c>
      <c r="K55">
        <v>0</v>
      </c>
      <c r="L55">
        <f t="shared" si="1"/>
        <v>34</v>
      </c>
      <c r="M55" t="s">
        <v>5094</v>
      </c>
    </row>
    <row r="56" spans="1:13" x14ac:dyDescent="0.25">
      <c r="A56" t="s">
        <v>5057</v>
      </c>
      <c r="B56">
        <v>4</v>
      </c>
      <c r="C56">
        <v>10</v>
      </c>
      <c r="D56" s="22">
        <v>46114</v>
      </c>
      <c r="E56" s="7">
        <v>1273</v>
      </c>
      <c r="F56" s="3"/>
      <c r="G56">
        <v>1</v>
      </c>
      <c r="H56">
        <v>6</v>
      </c>
      <c r="I56">
        <f t="shared" si="0"/>
        <v>6</v>
      </c>
      <c r="J56">
        <v>4</v>
      </c>
      <c r="K56">
        <v>0</v>
      </c>
      <c r="L56">
        <f t="shared" si="1"/>
        <v>10</v>
      </c>
      <c r="M56" t="s">
        <v>5094</v>
      </c>
    </row>
    <row r="57" spans="1:13" x14ac:dyDescent="0.25">
      <c r="A57" t="s">
        <v>5057</v>
      </c>
      <c r="B57">
        <v>4</v>
      </c>
      <c r="C57">
        <v>10</v>
      </c>
      <c r="D57" s="22">
        <v>46114</v>
      </c>
      <c r="E57" s="7">
        <v>1263</v>
      </c>
      <c r="F57" s="3"/>
      <c r="G57">
        <v>1</v>
      </c>
      <c r="H57">
        <v>10</v>
      </c>
      <c r="I57">
        <f t="shared" si="0"/>
        <v>10</v>
      </c>
      <c r="J57">
        <v>2</v>
      </c>
      <c r="K57">
        <v>0</v>
      </c>
      <c r="L57">
        <f t="shared" si="1"/>
        <v>12</v>
      </c>
      <c r="M57" t="s">
        <v>5094</v>
      </c>
    </row>
    <row r="58" spans="1:13" x14ac:dyDescent="0.25">
      <c r="A58" t="s">
        <v>5057</v>
      </c>
      <c r="B58">
        <v>4</v>
      </c>
      <c r="C58">
        <v>10</v>
      </c>
      <c r="D58" s="22">
        <v>46114</v>
      </c>
      <c r="E58" s="7">
        <v>1272</v>
      </c>
      <c r="F58" s="3"/>
      <c r="G58">
        <v>2</v>
      </c>
      <c r="H58">
        <v>6</v>
      </c>
      <c r="I58">
        <f t="shared" si="0"/>
        <v>12</v>
      </c>
      <c r="J58">
        <v>0</v>
      </c>
      <c r="K58">
        <v>0</v>
      </c>
      <c r="L58">
        <f t="shared" si="1"/>
        <v>12</v>
      </c>
      <c r="M58" t="s">
        <v>5094</v>
      </c>
    </row>
    <row r="59" spans="1:13" x14ac:dyDescent="0.25">
      <c r="A59" t="s">
        <v>5057</v>
      </c>
      <c r="B59">
        <v>4</v>
      </c>
      <c r="C59">
        <v>11</v>
      </c>
      <c r="D59" s="22">
        <v>46114</v>
      </c>
      <c r="E59" s="7">
        <v>1286</v>
      </c>
      <c r="F59" s="3"/>
      <c r="G59">
        <v>17</v>
      </c>
      <c r="H59">
        <v>1</v>
      </c>
      <c r="I59">
        <f t="shared" si="0"/>
        <v>17</v>
      </c>
      <c r="J59">
        <v>0</v>
      </c>
      <c r="K59">
        <v>0</v>
      </c>
      <c r="L59">
        <f t="shared" si="1"/>
        <v>17</v>
      </c>
      <c r="M59" t="s">
        <v>5094</v>
      </c>
    </row>
    <row r="60" spans="1:13" x14ac:dyDescent="0.25">
      <c r="A60" t="s">
        <v>5057</v>
      </c>
      <c r="B60">
        <v>4</v>
      </c>
      <c r="C60">
        <v>11</v>
      </c>
      <c r="D60" s="22">
        <v>46114</v>
      </c>
      <c r="E60" s="7">
        <v>1287</v>
      </c>
      <c r="F60" s="3"/>
      <c r="G60">
        <v>21</v>
      </c>
      <c r="H60">
        <v>1</v>
      </c>
      <c r="I60">
        <f t="shared" si="0"/>
        <v>21</v>
      </c>
      <c r="J60">
        <v>0</v>
      </c>
      <c r="K60">
        <v>0</v>
      </c>
      <c r="L60">
        <f t="shared" si="1"/>
        <v>21</v>
      </c>
      <c r="M60" t="s">
        <v>5094</v>
      </c>
    </row>
    <row r="61" spans="1:13" x14ac:dyDescent="0.25">
      <c r="A61" t="s">
        <v>5057</v>
      </c>
      <c r="B61">
        <v>4</v>
      </c>
      <c r="C61">
        <v>11</v>
      </c>
      <c r="D61" s="22">
        <v>46114</v>
      </c>
      <c r="E61" s="7">
        <v>1288</v>
      </c>
      <c r="F61" s="3"/>
      <c r="G61">
        <v>21</v>
      </c>
      <c r="H61">
        <v>1</v>
      </c>
      <c r="I61">
        <f t="shared" si="0"/>
        <v>21</v>
      </c>
      <c r="J61">
        <v>0</v>
      </c>
      <c r="K61">
        <v>0</v>
      </c>
      <c r="L61">
        <f t="shared" si="1"/>
        <v>21</v>
      </c>
      <c r="M61" t="s">
        <v>5094</v>
      </c>
    </row>
    <row r="62" spans="1:13" x14ac:dyDescent="0.25">
      <c r="A62" t="s">
        <v>5057</v>
      </c>
      <c r="B62">
        <v>4</v>
      </c>
      <c r="C62">
        <v>11</v>
      </c>
      <c r="D62" s="22">
        <v>46114</v>
      </c>
      <c r="E62" s="7">
        <v>1289</v>
      </c>
      <c r="F62" s="3"/>
      <c r="G62">
        <v>21</v>
      </c>
      <c r="H62">
        <v>1</v>
      </c>
      <c r="I62">
        <f t="shared" si="0"/>
        <v>21</v>
      </c>
      <c r="J62">
        <v>0</v>
      </c>
      <c r="K62">
        <v>0</v>
      </c>
      <c r="L62">
        <f t="shared" si="1"/>
        <v>21</v>
      </c>
      <c r="M62" t="s">
        <v>5094</v>
      </c>
    </row>
    <row r="63" spans="1:13" x14ac:dyDescent="0.25">
      <c r="A63" t="s">
        <v>5057</v>
      </c>
      <c r="B63">
        <v>4</v>
      </c>
      <c r="C63">
        <v>11</v>
      </c>
      <c r="D63" s="22">
        <v>46114</v>
      </c>
      <c r="E63" s="7">
        <v>1290</v>
      </c>
      <c r="F63" s="3"/>
      <c r="G63">
        <v>12</v>
      </c>
      <c r="H63">
        <v>1</v>
      </c>
      <c r="I63">
        <f t="shared" si="0"/>
        <v>12</v>
      </c>
      <c r="J63">
        <v>0</v>
      </c>
      <c r="K63">
        <v>0</v>
      </c>
      <c r="L63">
        <f t="shared" si="1"/>
        <v>12</v>
      </c>
      <c r="M63" t="s">
        <v>5094</v>
      </c>
    </row>
    <row r="64" spans="1:13" x14ac:dyDescent="0.25">
      <c r="A64" t="s">
        <v>5057</v>
      </c>
      <c r="B64">
        <v>4</v>
      </c>
      <c r="C64">
        <v>11</v>
      </c>
      <c r="D64" s="22">
        <v>46114</v>
      </c>
      <c r="E64" s="7">
        <v>1291</v>
      </c>
      <c r="F64" s="3"/>
      <c r="G64">
        <v>17</v>
      </c>
      <c r="H64">
        <v>1</v>
      </c>
      <c r="I64">
        <f t="shared" si="0"/>
        <v>17</v>
      </c>
      <c r="J64">
        <v>0</v>
      </c>
      <c r="K64">
        <v>0</v>
      </c>
      <c r="L64">
        <f t="shared" si="1"/>
        <v>17</v>
      </c>
      <c r="M64" t="s">
        <v>5094</v>
      </c>
    </row>
    <row r="65" spans="1:13" x14ac:dyDescent="0.25">
      <c r="A65" t="s">
        <v>5057</v>
      </c>
      <c r="B65">
        <v>4</v>
      </c>
      <c r="C65">
        <v>11</v>
      </c>
      <c r="D65" s="22">
        <v>46114</v>
      </c>
      <c r="E65" s="7">
        <v>1292</v>
      </c>
      <c r="F65" s="3"/>
      <c r="G65">
        <v>7</v>
      </c>
      <c r="H65">
        <v>1</v>
      </c>
      <c r="I65">
        <f t="shared" si="0"/>
        <v>7</v>
      </c>
      <c r="J65">
        <v>0</v>
      </c>
      <c r="K65">
        <v>0</v>
      </c>
      <c r="L65">
        <f t="shared" si="1"/>
        <v>7</v>
      </c>
      <c r="M65" t="s">
        <v>5094</v>
      </c>
    </row>
    <row r="66" spans="1:13" x14ac:dyDescent="0.25">
      <c r="A66" t="s">
        <v>5057</v>
      </c>
      <c r="B66">
        <v>4</v>
      </c>
      <c r="C66">
        <v>12</v>
      </c>
      <c r="D66" s="22">
        <v>46114</v>
      </c>
      <c r="E66" s="7">
        <v>1260</v>
      </c>
      <c r="F66" s="3"/>
      <c r="G66">
        <v>9</v>
      </c>
      <c r="H66">
        <v>5</v>
      </c>
      <c r="I66">
        <f t="shared" si="0"/>
        <v>45</v>
      </c>
      <c r="J66">
        <v>3</v>
      </c>
      <c r="K66">
        <v>0</v>
      </c>
      <c r="L66">
        <f t="shared" si="1"/>
        <v>48</v>
      </c>
      <c r="M66" t="s">
        <v>5094</v>
      </c>
    </row>
    <row r="67" spans="1:13" x14ac:dyDescent="0.25">
      <c r="A67" t="s">
        <v>5057</v>
      </c>
      <c r="B67">
        <v>4</v>
      </c>
      <c r="C67">
        <v>12</v>
      </c>
      <c r="D67" s="22">
        <v>46114</v>
      </c>
      <c r="E67" s="7">
        <v>1253</v>
      </c>
      <c r="F67" s="3"/>
      <c r="G67">
        <v>0</v>
      </c>
      <c r="H67">
        <v>1</v>
      </c>
      <c r="I67">
        <f t="shared" si="0"/>
        <v>0</v>
      </c>
      <c r="J67">
        <v>4</v>
      </c>
      <c r="K67">
        <v>0</v>
      </c>
      <c r="L67">
        <f t="shared" si="1"/>
        <v>4</v>
      </c>
      <c r="M67" t="s">
        <v>5094</v>
      </c>
    </row>
    <row r="68" spans="1:13" x14ac:dyDescent="0.25">
      <c r="A68" t="s">
        <v>5057</v>
      </c>
      <c r="B68">
        <v>4</v>
      </c>
      <c r="C68">
        <v>12</v>
      </c>
      <c r="D68" s="22">
        <v>46114</v>
      </c>
      <c r="E68" s="7">
        <v>1245</v>
      </c>
      <c r="F68" s="3"/>
      <c r="G68">
        <v>8</v>
      </c>
      <c r="H68">
        <v>5</v>
      </c>
      <c r="I68">
        <f t="shared" si="0"/>
        <v>40</v>
      </c>
      <c r="J68">
        <v>5</v>
      </c>
      <c r="K68">
        <v>0</v>
      </c>
      <c r="L68">
        <f t="shared" si="1"/>
        <v>45</v>
      </c>
      <c r="M68" t="s">
        <v>5094</v>
      </c>
    </row>
    <row r="69" spans="1:13" x14ac:dyDescent="0.25">
      <c r="A69" t="s">
        <v>5057</v>
      </c>
      <c r="B69">
        <v>4</v>
      </c>
      <c r="C69">
        <v>12</v>
      </c>
      <c r="D69" s="22">
        <v>46114</v>
      </c>
      <c r="E69" s="7">
        <v>1267</v>
      </c>
      <c r="F69" s="3"/>
      <c r="G69">
        <v>5</v>
      </c>
      <c r="H69">
        <v>5</v>
      </c>
      <c r="I69">
        <f t="shared" si="0"/>
        <v>25</v>
      </c>
      <c r="J69">
        <v>5</v>
      </c>
      <c r="K69">
        <v>0</v>
      </c>
      <c r="L69">
        <f t="shared" si="1"/>
        <v>30</v>
      </c>
      <c r="M69" t="s">
        <v>5094</v>
      </c>
    </row>
    <row r="70" spans="1:13" x14ac:dyDescent="0.25">
      <c r="A70" t="s">
        <v>5057</v>
      </c>
      <c r="B70">
        <v>4</v>
      </c>
      <c r="C70">
        <v>33</v>
      </c>
      <c r="D70" s="22">
        <v>46114</v>
      </c>
      <c r="E70" s="7">
        <v>3328</v>
      </c>
      <c r="F70" s="3"/>
      <c r="G70">
        <v>2</v>
      </c>
      <c r="H70">
        <v>30</v>
      </c>
      <c r="I70">
        <f t="shared" ref="I70:I133" si="2">G70*H70</f>
        <v>60</v>
      </c>
      <c r="J70">
        <v>0</v>
      </c>
      <c r="K70">
        <v>0</v>
      </c>
      <c r="L70">
        <f t="shared" ref="L70:L132" si="3">I70+J70+K70</f>
        <v>60</v>
      </c>
      <c r="M70" t="s">
        <v>5094</v>
      </c>
    </row>
    <row r="71" spans="1:13" x14ac:dyDescent="0.25">
      <c r="A71" t="s">
        <v>5057</v>
      </c>
      <c r="B71">
        <v>4</v>
      </c>
      <c r="C71">
        <v>33</v>
      </c>
      <c r="D71" s="22">
        <v>46114</v>
      </c>
      <c r="E71" s="7">
        <v>1808</v>
      </c>
      <c r="F71" s="3"/>
      <c r="G71">
        <v>5</v>
      </c>
      <c r="H71">
        <v>1</v>
      </c>
      <c r="I71">
        <f t="shared" si="2"/>
        <v>5</v>
      </c>
      <c r="J71">
        <v>0</v>
      </c>
      <c r="K71">
        <v>0</v>
      </c>
      <c r="L71">
        <f t="shared" si="3"/>
        <v>5</v>
      </c>
      <c r="M71" t="s">
        <v>5094</v>
      </c>
    </row>
    <row r="72" spans="1:13" x14ac:dyDescent="0.25">
      <c r="A72" t="s">
        <v>5057</v>
      </c>
      <c r="B72">
        <v>4</v>
      </c>
      <c r="C72">
        <v>29</v>
      </c>
      <c r="D72" s="22">
        <v>46114</v>
      </c>
      <c r="E72" s="7">
        <v>3229</v>
      </c>
      <c r="F72" s="3"/>
      <c r="G72">
        <v>75</v>
      </c>
      <c r="H72">
        <v>1</v>
      </c>
      <c r="I72">
        <f t="shared" si="2"/>
        <v>75</v>
      </c>
      <c r="J72">
        <v>0</v>
      </c>
      <c r="K72">
        <v>0</v>
      </c>
      <c r="L72">
        <f t="shared" si="3"/>
        <v>75</v>
      </c>
      <c r="M72" t="s">
        <v>5094</v>
      </c>
    </row>
    <row r="73" spans="1:13" x14ac:dyDescent="0.25">
      <c r="A73" t="s">
        <v>5057</v>
      </c>
      <c r="B73">
        <v>4</v>
      </c>
      <c r="C73">
        <v>36</v>
      </c>
      <c r="D73" s="22">
        <v>46114</v>
      </c>
      <c r="E73" s="7">
        <v>1878</v>
      </c>
      <c r="F73" s="3"/>
      <c r="G73">
        <v>0</v>
      </c>
      <c r="H73">
        <v>1</v>
      </c>
      <c r="I73">
        <f t="shared" si="2"/>
        <v>0</v>
      </c>
      <c r="J73">
        <v>1</v>
      </c>
      <c r="K73">
        <v>0</v>
      </c>
      <c r="L73">
        <f t="shared" si="3"/>
        <v>1</v>
      </c>
      <c r="M73" t="s">
        <v>5094</v>
      </c>
    </row>
    <row r="74" spans="1:13" x14ac:dyDescent="0.25">
      <c r="A74" t="s">
        <v>5057</v>
      </c>
      <c r="B74">
        <v>4</v>
      </c>
      <c r="C74">
        <v>36</v>
      </c>
      <c r="D74" s="22">
        <v>46114</v>
      </c>
      <c r="E74" s="7">
        <v>1879</v>
      </c>
      <c r="F74" s="3"/>
      <c r="G74">
        <v>0</v>
      </c>
      <c r="H74">
        <v>1</v>
      </c>
      <c r="I74">
        <f t="shared" si="2"/>
        <v>0</v>
      </c>
      <c r="J74">
        <v>2</v>
      </c>
      <c r="K74">
        <v>0</v>
      </c>
      <c r="L74">
        <f t="shared" si="3"/>
        <v>2</v>
      </c>
      <c r="M74" t="s">
        <v>5094</v>
      </c>
    </row>
    <row r="75" spans="1:13" x14ac:dyDescent="0.25">
      <c r="A75" t="s">
        <v>5057</v>
      </c>
      <c r="B75">
        <v>4</v>
      </c>
      <c r="C75">
        <v>32</v>
      </c>
      <c r="D75" s="22">
        <v>46114</v>
      </c>
      <c r="E75" s="7">
        <v>4203</v>
      </c>
      <c r="F75" s="3"/>
      <c r="G75">
        <v>2</v>
      </c>
      <c r="H75">
        <v>5</v>
      </c>
      <c r="I75">
        <f t="shared" si="2"/>
        <v>10</v>
      </c>
      <c r="J75">
        <v>12</v>
      </c>
      <c r="K75">
        <v>0</v>
      </c>
      <c r="L75">
        <f t="shared" si="3"/>
        <v>22</v>
      </c>
      <c r="M75" t="s">
        <v>5094</v>
      </c>
    </row>
    <row r="76" spans="1:13" x14ac:dyDescent="0.25">
      <c r="A76" t="s">
        <v>5057</v>
      </c>
      <c r="B76">
        <v>4</v>
      </c>
      <c r="C76">
        <v>32</v>
      </c>
      <c r="D76" s="22">
        <v>46114</v>
      </c>
      <c r="E76" s="7">
        <v>4207</v>
      </c>
      <c r="F76" s="3"/>
      <c r="G76">
        <v>0</v>
      </c>
      <c r="H76">
        <v>1</v>
      </c>
      <c r="I76">
        <f t="shared" si="2"/>
        <v>0</v>
      </c>
      <c r="J76">
        <v>7</v>
      </c>
      <c r="K76">
        <v>0</v>
      </c>
      <c r="L76">
        <f t="shared" si="3"/>
        <v>7</v>
      </c>
      <c r="M76" t="s">
        <v>5094</v>
      </c>
    </row>
    <row r="77" spans="1:13" x14ac:dyDescent="0.25">
      <c r="A77" t="s">
        <v>5057</v>
      </c>
      <c r="B77">
        <v>4</v>
      </c>
      <c r="C77">
        <v>32</v>
      </c>
      <c r="D77" s="22">
        <v>46114</v>
      </c>
      <c r="E77" s="7">
        <v>4205</v>
      </c>
      <c r="F77" s="3"/>
      <c r="G77">
        <v>0</v>
      </c>
      <c r="H77">
        <v>0</v>
      </c>
      <c r="I77">
        <f t="shared" si="2"/>
        <v>0</v>
      </c>
      <c r="J77">
        <v>26</v>
      </c>
      <c r="K77">
        <v>0</v>
      </c>
      <c r="L77">
        <f t="shared" si="3"/>
        <v>26</v>
      </c>
      <c r="M77" t="s">
        <v>5094</v>
      </c>
    </row>
    <row r="78" spans="1:13" x14ac:dyDescent="0.25">
      <c r="A78" t="s">
        <v>5057</v>
      </c>
      <c r="B78">
        <v>4</v>
      </c>
      <c r="C78">
        <v>32</v>
      </c>
      <c r="D78" s="22">
        <v>46114</v>
      </c>
      <c r="E78" s="7">
        <v>4204</v>
      </c>
      <c r="F78" s="3"/>
      <c r="G78">
        <v>3</v>
      </c>
      <c r="H78">
        <v>60</v>
      </c>
      <c r="I78">
        <f t="shared" si="2"/>
        <v>180</v>
      </c>
      <c r="J78">
        <v>6</v>
      </c>
      <c r="K78">
        <v>0</v>
      </c>
      <c r="L78">
        <f t="shared" si="3"/>
        <v>186</v>
      </c>
      <c r="M78" t="s">
        <v>5094</v>
      </c>
    </row>
    <row r="79" spans="1:13" x14ac:dyDescent="0.25">
      <c r="A79" t="s">
        <v>5057</v>
      </c>
      <c r="B79">
        <v>4</v>
      </c>
      <c r="C79">
        <v>32</v>
      </c>
      <c r="D79" s="22">
        <v>46114</v>
      </c>
      <c r="E79" s="7">
        <v>4210</v>
      </c>
      <c r="F79" s="3"/>
      <c r="G79">
        <v>1</v>
      </c>
      <c r="H79">
        <v>20</v>
      </c>
      <c r="I79">
        <f t="shared" si="2"/>
        <v>20</v>
      </c>
      <c r="J79">
        <v>18</v>
      </c>
      <c r="K79">
        <v>0</v>
      </c>
      <c r="L79">
        <f t="shared" si="3"/>
        <v>38</v>
      </c>
      <c r="M79" t="s">
        <v>5100</v>
      </c>
    </row>
    <row r="80" spans="1:13" x14ac:dyDescent="0.25">
      <c r="A80" t="s">
        <v>5057</v>
      </c>
      <c r="B80">
        <v>4</v>
      </c>
      <c r="C80">
        <v>32</v>
      </c>
      <c r="D80" s="22">
        <v>46114</v>
      </c>
      <c r="E80" s="7">
        <v>4208</v>
      </c>
      <c r="F80" s="3"/>
      <c r="G80">
        <v>1</v>
      </c>
      <c r="H80">
        <v>50</v>
      </c>
      <c r="I80">
        <f t="shared" si="2"/>
        <v>50</v>
      </c>
      <c r="J80">
        <v>49</v>
      </c>
      <c r="K80">
        <v>0</v>
      </c>
      <c r="L80">
        <f t="shared" si="3"/>
        <v>99</v>
      </c>
      <c r="M80" t="s">
        <v>5100</v>
      </c>
    </row>
    <row r="81" spans="1:13" x14ac:dyDescent="0.25">
      <c r="A81" t="s">
        <v>5057</v>
      </c>
      <c r="B81">
        <v>4</v>
      </c>
      <c r="C81">
        <v>32</v>
      </c>
      <c r="D81" s="22">
        <v>46114</v>
      </c>
      <c r="E81" s="7">
        <v>4201</v>
      </c>
      <c r="F81" s="3"/>
      <c r="G81">
        <v>0</v>
      </c>
      <c r="H81">
        <v>1</v>
      </c>
      <c r="I81">
        <f t="shared" si="2"/>
        <v>0</v>
      </c>
      <c r="J81">
        <v>27</v>
      </c>
      <c r="K81">
        <v>0</v>
      </c>
      <c r="L81">
        <f t="shared" si="3"/>
        <v>27</v>
      </c>
      <c r="M81" t="s">
        <v>5100</v>
      </c>
    </row>
    <row r="82" spans="1:13" x14ac:dyDescent="0.25">
      <c r="A82" t="s">
        <v>5057</v>
      </c>
      <c r="B82">
        <v>4</v>
      </c>
      <c r="C82">
        <v>32</v>
      </c>
      <c r="D82" s="22">
        <v>46114</v>
      </c>
      <c r="E82" s="7">
        <v>4200</v>
      </c>
      <c r="F82" s="3"/>
      <c r="G82">
        <v>1</v>
      </c>
      <c r="H82">
        <v>120</v>
      </c>
      <c r="I82">
        <f t="shared" si="2"/>
        <v>120</v>
      </c>
      <c r="J82">
        <v>45</v>
      </c>
      <c r="K82">
        <v>0</v>
      </c>
      <c r="L82">
        <f t="shared" si="3"/>
        <v>165</v>
      </c>
      <c r="M82" t="s">
        <v>5100</v>
      </c>
    </row>
    <row r="83" spans="1:13" x14ac:dyDescent="0.25">
      <c r="A83" t="s">
        <v>5057</v>
      </c>
      <c r="B83">
        <v>4</v>
      </c>
      <c r="C83">
        <v>32</v>
      </c>
      <c r="D83" s="22">
        <v>46114</v>
      </c>
      <c r="E83" s="6" t="s">
        <v>4779</v>
      </c>
      <c r="F83" s="3"/>
      <c r="G83">
        <v>1</v>
      </c>
      <c r="H83">
        <v>500</v>
      </c>
      <c r="I83">
        <f t="shared" si="2"/>
        <v>500</v>
      </c>
      <c r="J83">
        <v>70</v>
      </c>
      <c r="K83">
        <v>0</v>
      </c>
      <c r="L83">
        <f t="shared" si="3"/>
        <v>570</v>
      </c>
      <c r="M83" t="s">
        <v>5094</v>
      </c>
    </row>
    <row r="84" spans="1:13" x14ac:dyDescent="0.25">
      <c r="A84" t="s">
        <v>5057</v>
      </c>
      <c r="B84">
        <v>4</v>
      </c>
      <c r="C84">
        <v>32</v>
      </c>
      <c r="D84" s="22">
        <v>46114</v>
      </c>
      <c r="E84" s="6" t="s">
        <v>4780</v>
      </c>
      <c r="F84" s="3"/>
      <c r="G84">
        <v>1</v>
      </c>
      <c r="H84">
        <v>100</v>
      </c>
      <c r="I84">
        <f t="shared" si="2"/>
        <v>100</v>
      </c>
      <c r="J84">
        <v>0</v>
      </c>
      <c r="K84">
        <v>0</v>
      </c>
      <c r="L84">
        <f t="shared" si="3"/>
        <v>100</v>
      </c>
      <c r="M84" t="s">
        <v>5094</v>
      </c>
    </row>
    <row r="85" spans="1:13" x14ac:dyDescent="0.25">
      <c r="A85" t="s">
        <v>5057</v>
      </c>
      <c r="B85">
        <v>4</v>
      </c>
      <c r="C85">
        <v>32</v>
      </c>
      <c r="D85" s="22">
        <v>46114</v>
      </c>
      <c r="E85" s="6" t="s">
        <v>4781</v>
      </c>
      <c r="F85" s="3"/>
      <c r="G85">
        <v>3</v>
      </c>
      <c r="H85">
        <v>100</v>
      </c>
      <c r="I85">
        <f t="shared" si="2"/>
        <v>300</v>
      </c>
      <c r="J85">
        <v>0</v>
      </c>
      <c r="K85">
        <v>0</v>
      </c>
      <c r="L85">
        <f t="shared" si="3"/>
        <v>300</v>
      </c>
      <c r="M85" t="s">
        <v>5094</v>
      </c>
    </row>
    <row r="86" spans="1:13" x14ac:dyDescent="0.25">
      <c r="A86" t="s">
        <v>5057</v>
      </c>
      <c r="B86">
        <v>4</v>
      </c>
      <c r="C86">
        <v>32</v>
      </c>
      <c r="D86" s="22">
        <v>46114</v>
      </c>
      <c r="E86" s="7">
        <v>1804</v>
      </c>
      <c r="F86" s="3"/>
      <c r="G86">
        <v>23</v>
      </c>
      <c r="H86">
        <v>1</v>
      </c>
      <c r="I86">
        <f t="shared" si="2"/>
        <v>23</v>
      </c>
      <c r="J86">
        <v>2</v>
      </c>
      <c r="K86">
        <v>0</v>
      </c>
      <c r="L86">
        <f t="shared" si="3"/>
        <v>25</v>
      </c>
      <c r="M86" t="s">
        <v>5094</v>
      </c>
    </row>
    <row r="87" spans="1:13" x14ac:dyDescent="0.25">
      <c r="A87" t="s">
        <v>5057</v>
      </c>
      <c r="B87">
        <v>4</v>
      </c>
      <c r="C87">
        <v>32</v>
      </c>
      <c r="D87" s="22">
        <v>46114</v>
      </c>
      <c r="E87" s="7">
        <v>19271</v>
      </c>
      <c r="F87" s="3"/>
      <c r="G87">
        <v>1</v>
      </c>
      <c r="H87">
        <v>1</v>
      </c>
      <c r="I87">
        <f t="shared" si="2"/>
        <v>1</v>
      </c>
      <c r="J87">
        <v>0</v>
      </c>
      <c r="K87">
        <v>0</v>
      </c>
      <c r="L87">
        <f t="shared" si="3"/>
        <v>1</v>
      </c>
      <c r="M87" t="s">
        <v>5094</v>
      </c>
    </row>
    <row r="88" spans="1:13" x14ac:dyDescent="0.25">
      <c r="A88" t="s">
        <v>5057</v>
      </c>
      <c r="B88">
        <v>4</v>
      </c>
      <c r="C88">
        <v>32</v>
      </c>
      <c r="D88" s="22">
        <v>46114</v>
      </c>
      <c r="E88" s="7">
        <v>1653</v>
      </c>
      <c r="F88" s="3"/>
      <c r="G88">
        <v>5</v>
      </c>
      <c r="H88">
        <v>1</v>
      </c>
      <c r="I88">
        <f t="shared" si="2"/>
        <v>5</v>
      </c>
      <c r="J88">
        <v>0</v>
      </c>
      <c r="K88">
        <v>0</v>
      </c>
      <c r="L88">
        <f t="shared" si="3"/>
        <v>5</v>
      </c>
      <c r="M88" t="s">
        <v>5094</v>
      </c>
    </row>
    <row r="89" spans="1:13" x14ac:dyDescent="0.25">
      <c r="A89" t="s">
        <v>5057</v>
      </c>
      <c r="B89">
        <v>4</v>
      </c>
      <c r="C89">
        <v>32</v>
      </c>
      <c r="D89" s="22">
        <v>46114</v>
      </c>
      <c r="E89" s="7">
        <v>1862</v>
      </c>
      <c r="F89" s="3"/>
      <c r="G89">
        <v>3</v>
      </c>
      <c r="H89">
        <v>1</v>
      </c>
      <c r="I89">
        <f t="shared" si="2"/>
        <v>3</v>
      </c>
      <c r="J89">
        <v>0</v>
      </c>
      <c r="K89">
        <v>0</v>
      </c>
      <c r="L89">
        <f t="shared" si="3"/>
        <v>3</v>
      </c>
      <c r="M89" t="s">
        <v>5094</v>
      </c>
    </row>
    <row r="90" spans="1:13" x14ac:dyDescent="0.25">
      <c r="A90" t="s">
        <v>5057</v>
      </c>
      <c r="B90">
        <v>4</v>
      </c>
      <c r="C90">
        <v>32</v>
      </c>
      <c r="D90" s="22">
        <v>46114</v>
      </c>
      <c r="E90" s="7">
        <v>1852</v>
      </c>
      <c r="F90" s="3"/>
      <c r="G90">
        <v>1</v>
      </c>
      <c r="H90">
        <v>28</v>
      </c>
      <c r="I90">
        <f t="shared" si="2"/>
        <v>28</v>
      </c>
      <c r="J90">
        <v>0</v>
      </c>
      <c r="K90">
        <v>0</v>
      </c>
      <c r="L90">
        <f t="shared" si="3"/>
        <v>28</v>
      </c>
      <c r="M90" t="s">
        <v>5094</v>
      </c>
    </row>
    <row r="91" spans="1:13" x14ac:dyDescent="0.25">
      <c r="A91" t="s">
        <v>5057</v>
      </c>
      <c r="B91">
        <v>4</v>
      </c>
      <c r="C91">
        <v>32</v>
      </c>
      <c r="D91" s="22">
        <v>46144</v>
      </c>
      <c r="E91" s="7">
        <v>1644</v>
      </c>
      <c r="F91" s="3"/>
      <c r="G91">
        <v>0</v>
      </c>
      <c r="H91">
        <v>1</v>
      </c>
      <c r="I91">
        <f t="shared" si="2"/>
        <v>0</v>
      </c>
      <c r="J91">
        <v>1</v>
      </c>
      <c r="K91">
        <v>0</v>
      </c>
      <c r="L91">
        <f t="shared" si="3"/>
        <v>1</v>
      </c>
      <c r="M91" t="s">
        <v>5094</v>
      </c>
    </row>
    <row r="92" spans="1:13" x14ac:dyDescent="0.25">
      <c r="A92" t="s">
        <v>5057</v>
      </c>
      <c r="B92">
        <v>4</v>
      </c>
      <c r="C92">
        <v>32</v>
      </c>
      <c r="D92" s="22">
        <v>46144</v>
      </c>
      <c r="E92" s="7">
        <v>1632</v>
      </c>
      <c r="F92" s="3"/>
      <c r="G92">
        <v>0</v>
      </c>
      <c r="H92">
        <v>1</v>
      </c>
      <c r="I92">
        <f t="shared" si="2"/>
        <v>0</v>
      </c>
      <c r="J92">
        <v>10</v>
      </c>
      <c r="K92">
        <v>0</v>
      </c>
      <c r="L92">
        <f t="shared" si="3"/>
        <v>10</v>
      </c>
      <c r="M92" t="s">
        <v>5094</v>
      </c>
    </row>
    <row r="93" spans="1:13" x14ac:dyDescent="0.25">
      <c r="A93" t="s">
        <v>5057</v>
      </c>
      <c r="B93">
        <v>4</v>
      </c>
      <c r="C93">
        <v>32</v>
      </c>
      <c r="D93" s="22">
        <v>46144</v>
      </c>
      <c r="E93" s="7">
        <v>1840</v>
      </c>
      <c r="F93" s="3"/>
      <c r="G93">
        <v>0</v>
      </c>
      <c r="H93">
        <v>1</v>
      </c>
      <c r="I93">
        <f t="shared" si="2"/>
        <v>0</v>
      </c>
      <c r="J93">
        <v>4</v>
      </c>
      <c r="K93">
        <v>0</v>
      </c>
      <c r="L93">
        <f t="shared" si="3"/>
        <v>4</v>
      </c>
      <c r="M93" t="s">
        <v>5094</v>
      </c>
    </row>
    <row r="94" spans="1:13" x14ac:dyDescent="0.25">
      <c r="A94" t="s">
        <v>5057</v>
      </c>
      <c r="B94">
        <v>4</v>
      </c>
      <c r="C94">
        <v>32</v>
      </c>
      <c r="D94" s="22">
        <v>46144</v>
      </c>
      <c r="E94" s="7">
        <v>1637</v>
      </c>
      <c r="F94" s="3"/>
      <c r="G94">
        <v>0</v>
      </c>
      <c r="H94">
        <v>1</v>
      </c>
      <c r="I94">
        <f t="shared" si="2"/>
        <v>0</v>
      </c>
      <c r="J94">
        <v>1</v>
      </c>
      <c r="K94">
        <v>0</v>
      </c>
      <c r="L94">
        <f t="shared" si="3"/>
        <v>1</v>
      </c>
      <c r="M94" t="s">
        <v>5094</v>
      </c>
    </row>
    <row r="95" spans="1:13" x14ac:dyDescent="0.25">
      <c r="A95" t="s">
        <v>5057</v>
      </c>
      <c r="B95">
        <v>4</v>
      </c>
      <c r="C95">
        <v>32</v>
      </c>
      <c r="D95" s="22">
        <v>46144</v>
      </c>
      <c r="E95" s="7">
        <v>1628</v>
      </c>
      <c r="F95" s="3"/>
      <c r="G95">
        <v>0</v>
      </c>
      <c r="H95">
        <v>1</v>
      </c>
      <c r="I95">
        <f t="shared" si="2"/>
        <v>0</v>
      </c>
      <c r="J95">
        <v>4</v>
      </c>
      <c r="K95">
        <v>0</v>
      </c>
      <c r="L95">
        <f t="shared" si="3"/>
        <v>4</v>
      </c>
      <c r="M95" t="s">
        <v>5094</v>
      </c>
    </row>
    <row r="96" spans="1:13" x14ac:dyDescent="0.25">
      <c r="A96" s="51" t="s">
        <v>5057</v>
      </c>
      <c r="B96" s="51">
        <v>4</v>
      </c>
      <c r="C96" s="51">
        <v>32</v>
      </c>
      <c r="D96" s="63">
        <v>46144</v>
      </c>
      <c r="E96" s="51"/>
      <c r="F96" s="52"/>
      <c r="G96" s="51">
        <v>6</v>
      </c>
      <c r="H96" s="51">
        <v>2</v>
      </c>
      <c r="I96" s="51">
        <f t="shared" si="2"/>
        <v>12</v>
      </c>
      <c r="J96" s="51">
        <v>2</v>
      </c>
      <c r="K96" s="51">
        <v>0</v>
      </c>
      <c r="L96" s="51">
        <f t="shared" si="3"/>
        <v>14</v>
      </c>
      <c r="M96" t="s">
        <v>5101</v>
      </c>
    </row>
    <row r="97" spans="1:13" x14ac:dyDescent="0.25">
      <c r="A97" t="s">
        <v>5057</v>
      </c>
      <c r="B97">
        <v>4</v>
      </c>
      <c r="C97">
        <v>32</v>
      </c>
      <c r="D97" s="22">
        <v>46144</v>
      </c>
      <c r="E97">
        <v>1650</v>
      </c>
      <c r="F97" s="3"/>
      <c r="G97">
        <v>0</v>
      </c>
      <c r="H97">
        <v>1</v>
      </c>
      <c r="I97">
        <f t="shared" si="2"/>
        <v>0</v>
      </c>
      <c r="J97">
        <v>12</v>
      </c>
      <c r="K97">
        <v>0</v>
      </c>
      <c r="L97">
        <f t="shared" si="3"/>
        <v>12</v>
      </c>
      <c r="M97" t="s">
        <v>5094</v>
      </c>
    </row>
    <row r="98" spans="1:13" x14ac:dyDescent="0.25">
      <c r="A98" t="s">
        <v>5057</v>
      </c>
      <c r="B98">
        <v>4</v>
      </c>
      <c r="C98">
        <v>32</v>
      </c>
      <c r="D98" s="22">
        <v>46144</v>
      </c>
      <c r="E98">
        <v>1831</v>
      </c>
      <c r="F98" s="3"/>
      <c r="G98">
        <v>0</v>
      </c>
      <c r="H98">
        <v>1</v>
      </c>
      <c r="I98">
        <f t="shared" si="2"/>
        <v>0</v>
      </c>
      <c r="J98">
        <v>16</v>
      </c>
      <c r="K98">
        <v>0</v>
      </c>
      <c r="L98">
        <f t="shared" si="3"/>
        <v>16</v>
      </c>
      <c r="M98" t="s">
        <v>5094</v>
      </c>
    </row>
    <row r="99" spans="1:13" x14ac:dyDescent="0.25">
      <c r="A99" t="s">
        <v>5057</v>
      </c>
      <c r="B99">
        <v>4</v>
      </c>
      <c r="C99">
        <v>32</v>
      </c>
      <c r="D99" s="22">
        <v>46144</v>
      </c>
      <c r="E99">
        <v>1822</v>
      </c>
      <c r="F99" s="3"/>
      <c r="G99">
        <v>0</v>
      </c>
      <c r="H99">
        <v>1</v>
      </c>
      <c r="I99">
        <f t="shared" si="2"/>
        <v>0</v>
      </c>
      <c r="J99">
        <v>3</v>
      </c>
      <c r="K99">
        <v>0</v>
      </c>
      <c r="L99">
        <f t="shared" si="3"/>
        <v>3</v>
      </c>
      <c r="M99" t="s">
        <v>5094</v>
      </c>
    </row>
    <row r="100" spans="1:13" x14ac:dyDescent="0.25">
      <c r="A100" t="s">
        <v>5057</v>
      </c>
      <c r="B100">
        <v>4</v>
      </c>
      <c r="C100">
        <v>25</v>
      </c>
      <c r="D100" s="22">
        <v>46114</v>
      </c>
      <c r="E100">
        <v>1802</v>
      </c>
      <c r="F100" s="3"/>
      <c r="G100">
        <v>2</v>
      </c>
      <c r="H100">
        <v>2</v>
      </c>
      <c r="I100">
        <f t="shared" si="2"/>
        <v>4</v>
      </c>
      <c r="J100">
        <v>1</v>
      </c>
      <c r="K100">
        <v>0</v>
      </c>
      <c r="L100">
        <f t="shared" si="3"/>
        <v>5</v>
      </c>
      <c r="M100" t="s">
        <v>5094</v>
      </c>
    </row>
    <row r="101" spans="1:13" x14ac:dyDescent="0.25">
      <c r="A101" t="s">
        <v>5057</v>
      </c>
      <c r="B101">
        <v>4</v>
      </c>
      <c r="C101">
        <v>25</v>
      </c>
      <c r="D101" s="22">
        <v>46114</v>
      </c>
      <c r="E101">
        <v>1804</v>
      </c>
      <c r="F101" s="3"/>
      <c r="G101">
        <v>1</v>
      </c>
      <c r="H101">
        <v>1</v>
      </c>
      <c r="I101">
        <f t="shared" si="2"/>
        <v>1</v>
      </c>
      <c r="J101">
        <v>0</v>
      </c>
      <c r="K101">
        <v>0</v>
      </c>
      <c r="L101">
        <f t="shared" si="3"/>
        <v>1</v>
      </c>
      <c r="M101" t="s">
        <v>5094</v>
      </c>
    </row>
    <row r="102" spans="1:13" x14ac:dyDescent="0.25">
      <c r="A102" t="s">
        <v>5057</v>
      </c>
      <c r="B102">
        <v>4</v>
      </c>
      <c r="C102">
        <v>25</v>
      </c>
      <c r="D102" s="22">
        <v>46114</v>
      </c>
      <c r="E102">
        <v>1801</v>
      </c>
      <c r="F102" s="3"/>
      <c r="G102">
        <v>0</v>
      </c>
      <c r="H102">
        <v>1</v>
      </c>
      <c r="I102">
        <f t="shared" si="2"/>
        <v>0</v>
      </c>
      <c r="J102">
        <v>2</v>
      </c>
      <c r="K102">
        <v>0</v>
      </c>
      <c r="L102">
        <f t="shared" si="3"/>
        <v>2</v>
      </c>
      <c r="M102" t="s">
        <v>5094</v>
      </c>
    </row>
    <row r="103" spans="1:13" x14ac:dyDescent="0.25">
      <c r="A103" t="s">
        <v>5057</v>
      </c>
      <c r="B103">
        <v>4</v>
      </c>
      <c r="C103">
        <v>25</v>
      </c>
      <c r="D103" s="22">
        <v>46114</v>
      </c>
      <c r="E103">
        <v>1800</v>
      </c>
      <c r="F103" s="3"/>
      <c r="G103">
        <v>1</v>
      </c>
      <c r="H103">
        <v>1</v>
      </c>
      <c r="I103">
        <f t="shared" si="2"/>
        <v>1</v>
      </c>
      <c r="J103">
        <v>0</v>
      </c>
      <c r="K103">
        <v>0</v>
      </c>
      <c r="L103">
        <f t="shared" si="3"/>
        <v>1</v>
      </c>
      <c r="M103" t="s">
        <v>5094</v>
      </c>
    </row>
    <row r="104" spans="1:13" x14ac:dyDescent="0.25">
      <c r="A104" t="s">
        <v>5057</v>
      </c>
      <c r="B104">
        <v>4</v>
      </c>
      <c r="C104">
        <v>26</v>
      </c>
      <c r="D104" s="22">
        <v>46114</v>
      </c>
      <c r="E104">
        <v>1837</v>
      </c>
      <c r="F104" s="3"/>
      <c r="G104">
        <v>0</v>
      </c>
      <c r="H104">
        <v>1</v>
      </c>
      <c r="I104">
        <f t="shared" si="2"/>
        <v>0</v>
      </c>
      <c r="J104">
        <v>22</v>
      </c>
      <c r="K104">
        <v>0</v>
      </c>
      <c r="L104">
        <f t="shared" si="3"/>
        <v>22</v>
      </c>
      <c r="M104" t="s">
        <v>5094</v>
      </c>
    </row>
    <row r="105" spans="1:13" x14ac:dyDescent="0.25">
      <c r="A105" t="s">
        <v>5057</v>
      </c>
      <c r="B105">
        <v>4</v>
      </c>
      <c r="C105">
        <v>26</v>
      </c>
      <c r="D105" s="22">
        <v>46114</v>
      </c>
      <c r="E105">
        <v>1839</v>
      </c>
      <c r="F105" s="3"/>
      <c r="G105">
        <v>0</v>
      </c>
      <c r="H105">
        <v>1</v>
      </c>
      <c r="I105">
        <f t="shared" si="2"/>
        <v>0</v>
      </c>
      <c r="J105">
        <v>6</v>
      </c>
      <c r="K105">
        <v>0</v>
      </c>
      <c r="L105">
        <f t="shared" si="3"/>
        <v>6</v>
      </c>
      <c r="M105" t="s">
        <v>5094</v>
      </c>
    </row>
    <row r="106" spans="1:13" x14ac:dyDescent="0.25">
      <c r="A106" t="s">
        <v>5057</v>
      </c>
      <c r="B106">
        <v>4</v>
      </c>
      <c r="C106">
        <v>26</v>
      </c>
      <c r="D106" s="22">
        <v>46114</v>
      </c>
      <c r="E106">
        <v>1838</v>
      </c>
      <c r="F106" s="3"/>
      <c r="G106">
        <v>0</v>
      </c>
      <c r="H106">
        <v>1</v>
      </c>
      <c r="I106">
        <f t="shared" si="2"/>
        <v>0</v>
      </c>
      <c r="J106">
        <v>9</v>
      </c>
      <c r="K106">
        <v>0</v>
      </c>
      <c r="L106">
        <f t="shared" si="3"/>
        <v>9</v>
      </c>
      <c r="M106" t="s">
        <v>5094</v>
      </c>
    </row>
    <row r="107" spans="1:13" x14ac:dyDescent="0.25">
      <c r="A107" t="s">
        <v>5057</v>
      </c>
      <c r="B107">
        <v>4</v>
      </c>
      <c r="C107">
        <v>26</v>
      </c>
      <c r="D107" s="22">
        <v>46114</v>
      </c>
      <c r="E107">
        <v>1840</v>
      </c>
      <c r="F107" s="3"/>
      <c r="G107">
        <v>0</v>
      </c>
      <c r="H107">
        <v>1</v>
      </c>
      <c r="I107">
        <f t="shared" si="2"/>
        <v>0</v>
      </c>
      <c r="J107">
        <v>6</v>
      </c>
      <c r="K107">
        <v>0</v>
      </c>
      <c r="L107">
        <f t="shared" si="3"/>
        <v>6</v>
      </c>
      <c r="M107" t="s">
        <v>5094</v>
      </c>
    </row>
    <row r="108" spans="1:13" x14ac:dyDescent="0.25">
      <c r="A108" t="s">
        <v>5057</v>
      </c>
      <c r="B108">
        <v>4</v>
      </c>
      <c r="C108">
        <v>27</v>
      </c>
      <c r="D108" s="22">
        <v>46114</v>
      </c>
      <c r="E108">
        <v>1835</v>
      </c>
      <c r="F108" s="3"/>
      <c r="G108">
        <v>0</v>
      </c>
      <c r="H108">
        <v>1</v>
      </c>
      <c r="I108">
        <f t="shared" si="2"/>
        <v>0</v>
      </c>
      <c r="J108">
        <v>35</v>
      </c>
      <c r="K108">
        <v>0</v>
      </c>
      <c r="L108">
        <f t="shared" si="3"/>
        <v>35</v>
      </c>
      <c r="M108" t="s">
        <v>5094</v>
      </c>
    </row>
    <row r="109" spans="1:13" x14ac:dyDescent="0.25">
      <c r="A109" t="s">
        <v>5057</v>
      </c>
      <c r="B109">
        <v>4</v>
      </c>
      <c r="C109">
        <v>27</v>
      </c>
      <c r="D109" s="22">
        <v>46114</v>
      </c>
      <c r="E109">
        <v>1828</v>
      </c>
      <c r="F109" s="3"/>
      <c r="G109">
        <v>0</v>
      </c>
      <c r="H109">
        <v>1</v>
      </c>
      <c r="I109">
        <f t="shared" si="2"/>
        <v>0</v>
      </c>
      <c r="J109">
        <v>25</v>
      </c>
      <c r="K109">
        <v>0</v>
      </c>
      <c r="L109">
        <f t="shared" si="3"/>
        <v>25</v>
      </c>
      <c r="M109" t="s">
        <v>5094</v>
      </c>
    </row>
    <row r="110" spans="1:13" x14ac:dyDescent="0.25">
      <c r="A110" t="s">
        <v>5057</v>
      </c>
      <c r="B110">
        <v>4</v>
      </c>
      <c r="C110">
        <v>27</v>
      </c>
      <c r="D110" s="22">
        <v>46114</v>
      </c>
      <c r="E110">
        <v>1826</v>
      </c>
      <c r="F110" s="3"/>
      <c r="G110">
        <v>0</v>
      </c>
      <c r="H110">
        <v>1</v>
      </c>
      <c r="I110">
        <f t="shared" si="2"/>
        <v>0</v>
      </c>
      <c r="J110">
        <v>13</v>
      </c>
      <c r="K110">
        <v>0</v>
      </c>
      <c r="L110">
        <f t="shared" si="3"/>
        <v>13</v>
      </c>
      <c r="M110" t="s">
        <v>5094</v>
      </c>
    </row>
    <row r="111" spans="1:13" x14ac:dyDescent="0.25">
      <c r="A111" t="s">
        <v>5057</v>
      </c>
      <c r="B111">
        <v>4</v>
      </c>
      <c r="C111">
        <v>27</v>
      </c>
      <c r="D111" s="22">
        <v>46114</v>
      </c>
      <c r="E111">
        <v>1827</v>
      </c>
      <c r="F111" s="3"/>
      <c r="G111">
        <v>0</v>
      </c>
      <c r="H111">
        <v>1</v>
      </c>
      <c r="I111">
        <f t="shared" si="2"/>
        <v>0</v>
      </c>
      <c r="J111">
        <v>11</v>
      </c>
      <c r="K111">
        <v>0</v>
      </c>
      <c r="L111">
        <f t="shared" si="3"/>
        <v>11</v>
      </c>
      <c r="M111" t="s">
        <v>5094</v>
      </c>
    </row>
    <row r="112" spans="1:13" x14ac:dyDescent="0.25">
      <c r="A112" t="s">
        <v>5057</v>
      </c>
      <c r="B112">
        <v>4</v>
      </c>
      <c r="C112">
        <v>27</v>
      </c>
      <c r="D112" s="22">
        <v>46114</v>
      </c>
      <c r="E112">
        <v>1822</v>
      </c>
      <c r="F112" s="3"/>
      <c r="G112">
        <v>0</v>
      </c>
      <c r="H112">
        <v>1</v>
      </c>
      <c r="I112">
        <f t="shared" si="2"/>
        <v>0</v>
      </c>
      <c r="J112">
        <v>6</v>
      </c>
      <c r="K112">
        <v>0</v>
      </c>
      <c r="L112">
        <f t="shared" si="3"/>
        <v>6</v>
      </c>
      <c r="M112" t="s">
        <v>5094</v>
      </c>
    </row>
    <row r="113" spans="1:13" x14ac:dyDescent="0.25">
      <c r="A113" t="s">
        <v>5057</v>
      </c>
      <c r="B113">
        <v>4</v>
      </c>
      <c r="C113">
        <v>28</v>
      </c>
      <c r="D113" s="22">
        <v>46114</v>
      </c>
      <c r="E113">
        <v>1839</v>
      </c>
      <c r="F113" s="3"/>
      <c r="G113">
        <v>0</v>
      </c>
      <c r="H113">
        <v>1</v>
      </c>
      <c r="I113">
        <f t="shared" si="2"/>
        <v>0</v>
      </c>
      <c r="J113">
        <v>12</v>
      </c>
      <c r="K113">
        <v>0</v>
      </c>
      <c r="L113">
        <f t="shared" si="3"/>
        <v>12</v>
      </c>
      <c r="M113" t="s">
        <v>5094</v>
      </c>
    </row>
    <row r="114" spans="1:13" x14ac:dyDescent="0.25">
      <c r="A114" t="s">
        <v>5057</v>
      </c>
      <c r="B114">
        <v>4</v>
      </c>
      <c r="C114">
        <v>28</v>
      </c>
      <c r="D114" s="22">
        <v>46114</v>
      </c>
      <c r="E114" s="8">
        <v>1645</v>
      </c>
      <c r="F114" s="3"/>
      <c r="G114">
        <v>0</v>
      </c>
      <c r="H114">
        <v>1</v>
      </c>
      <c r="I114">
        <f t="shared" si="2"/>
        <v>0</v>
      </c>
      <c r="J114">
        <v>0</v>
      </c>
      <c r="K114">
        <v>0</v>
      </c>
      <c r="L114">
        <f t="shared" si="3"/>
        <v>0</v>
      </c>
      <c r="M114" t="s">
        <v>5102</v>
      </c>
    </row>
    <row r="115" spans="1:13" x14ac:dyDescent="0.25">
      <c r="A115" t="s">
        <v>5057</v>
      </c>
      <c r="B115">
        <v>4</v>
      </c>
      <c r="C115">
        <v>28</v>
      </c>
      <c r="D115" s="22">
        <v>46114</v>
      </c>
      <c r="E115">
        <v>1640</v>
      </c>
      <c r="F115" s="3"/>
      <c r="G115">
        <v>0</v>
      </c>
      <c r="H115">
        <v>1</v>
      </c>
      <c r="I115">
        <f t="shared" si="2"/>
        <v>0</v>
      </c>
      <c r="J115">
        <v>10</v>
      </c>
      <c r="K115">
        <v>0</v>
      </c>
      <c r="L115">
        <f t="shared" si="3"/>
        <v>10</v>
      </c>
      <c r="M115" t="s">
        <v>5094</v>
      </c>
    </row>
    <row r="116" spans="1:13" x14ac:dyDescent="0.25">
      <c r="A116" t="s">
        <v>5057</v>
      </c>
      <c r="B116">
        <v>4</v>
      </c>
      <c r="C116">
        <v>28</v>
      </c>
      <c r="D116" s="22">
        <v>46114</v>
      </c>
      <c r="E116">
        <v>1642</v>
      </c>
      <c r="F116" s="3"/>
      <c r="G116">
        <v>0</v>
      </c>
      <c r="H116">
        <v>1</v>
      </c>
      <c r="I116">
        <f t="shared" si="2"/>
        <v>0</v>
      </c>
      <c r="J116">
        <v>10</v>
      </c>
      <c r="K116">
        <v>0</v>
      </c>
      <c r="L116">
        <f t="shared" si="3"/>
        <v>10</v>
      </c>
      <c r="M116" t="s">
        <v>5094</v>
      </c>
    </row>
    <row r="117" spans="1:13" x14ac:dyDescent="0.25">
      <c r="A117" t="s">
        <v>5057</v>
      </c>
      <c r="B117">
        <v>4</v>
      </c>
      <c r="C117">
        <v>28</v>
      </c>
      <c r="D117" s="22">
        <v>46144</v>
      </c>
      <c r="E117">
        <v>1629</v>
      </c>
      <c r="F117" s="3"/>
      <c r="G117">
        <v>0</v>
      </c>
      <c r="H117">
        <v>1</v>
      </c>
      <c r="I117">
        <f t="shared" si="2"/>
        <v>0</v>
      </c>
      <c r="J117">
        <v>1</v>
      </c>
      <c r="K117">
        <v>0</v>
      </c>
      <c r="L117">
        <f t="shared" si="3"/>
        <v>1</v>
      </c>
      <c r="M117" t="s">
        <v>5094</v>
      </c>
    </row>
    <row r="118" spans="1:13" x14ac:dyDescent="0.25">
      <c r="A118" s="51" t="s">
        <v>5057</v>
      </c>
      <c r="B118" s="51">
        <v>4</v>
      </c>
      <c r="C118" s="51">
        <v>28</v>
      </c>
      <c r="D118" s="63">
        <v>46144</v>
      </c>
      <c r="E118" s="51"/>
      <c r="F118" s="52"/>
      <c r="G118" s="51">
        <v>0</v>
      </c>
      <c r="H118" s="51">
        <v>27</v>
      </c>
      <c r="I118" s="51">
        <f t="shared" si="2"/>
        <v>0</v>
      </c>
      <c r="J118" s="51">
        <v>0</v>
      </c>
      <c r="K118" s="51">
        <v>0</v>
      </c>
      <c r="L118" s="51">
        <f t="shared" si="3"/>
        <v>0</v>
      </c>
      <c r="M118" t="s">
        <v>5103</v>
      </c>
    </row>
    <row r="119" spans="1:13" x14ac:dyDescent="0.25">
      <c r="A119" t="s">
        <v>5057</v>
      </c>
      <c r="B119">
        <v>4</v>
      </c>
      <c r="C119">
        <v>28</v>
      </c>
      <c r="D119" s="22">
        <v>46144</v>
      </c>
      <c r="E119">
        <v>1627</v>
      </c>
      <c r="F119" s="3"/>
      <c r="G119">
        <v>0</v>
      </c>
      <c r="H119">
        <v>1</v>
      </c>
      <c r="I119">
        <f t="shared" si="2"/>
        <v>0</v>
      </c>
      <c r="J119">
        <v>5</v>
      </c>
      <c r="K119">
        <v>0</v>
      </c>
      <c r="L119">
        <f t="shared" si="3"/>
        <v>5</v>
      </c>
      <c r="M119" t="s">
        <v>5094</v>
      </c>
    </row>
    <row r="120" spans="1:13" x14ac:dyDescent="0.25">
      <c r="A120" t="s">
        <v>5057</v>
      </c>
      <c r="B120">
        <v>4</v>
      </c>
      <c r="C120">
        <v>28</v>
      </c>
      <c r="D120" s="22">
        <v>46144</v>
      </c>
      <c r="E120">
        <v>1639</v>
      </c>
      <c r="F120" s="3"/>
      <c r="G120">
        <v>0</v>
      </c>
      <c r="H120">
        <v>1</v>
      </c>
      <c r="I120">
        <f t="shared" si="2"/>
        <v>0</v>
      </c>
      <c r="J120">
        <v>2</v>
      </c>
      <c r="K120">
        <v>0</v>
      </c>
      <c r="L120">
        <f t="shared" si="3"/>
        <v>2</v>
      </c>
      <c r="M120" t="s">
        <v>5094</v>
      </c>
    </row>
    <row r="121" spans="1:13" x14ac:dyDescent="0.25">
      <c r="A121" t="s">
        <v>5057</v>
      </c>
      <c r="B121">
        <v>4</v>
      </c>
      <c r="C121">
        <v>36</v>
      </c>
      <c r="D121" s="22">
        <v>46144</v>
      </c>
      <c r="E121">
        <v>1833</v>
      </c>
      <c r="F121" s="3"/>
      <c r="G121">
        <v>0</v>
      </c>
      <c r="H121">
        <v>1</v>
      </c>
      <c r="I121">
        <f t="shared" si="2"/>
        <v>0</v>
      </c>
      <c r="J121">
        <v>4</v>
      </c>
      <c r="K121">
        <v>0</v>
      </c>
      <c r="L121">
        <f t="shared" si="3"/>
        <v>4</v>
      </c>
      <c r="M121" t="s">
        <v>5094</v>
      </c>
    </row>
    <row r="122" spans="1:13" x14ac:dyDescent="0.25">
      <c r="A122" t="s">
        <v>5057</v>
      </c>
      <c r="B122">
        <v>4</v>
      </c>
      <c r="C122">
        <v>36</v>
      </c>
      <c r="D122" s="22">
        <v>46144</v>
      </c>
      <c r="E122">
        <v>1824</v>
      </c>
      <c r="F122" s="3"/>
      <c r="G122">
        <v>0</v>
      </c>
      <c r="H122">
        <v>1</v>
      </c>
      <c r="I122">
        <f t="shared" si="2"/>
        <v>0</v>
      </c>
      <c r="J122">
        <v>5</v>
      </c>
      <c r="K122">
        <v>0</v>
      </c>
      <c r="L122">
        <f t="shared" si="3"/>
        <v>5</v>
      </c>
      <c r="M122" t="s">
        <v>5094</v>
      </c>
    </row>
    <row r="123" spans="1:13" x14ac:dyDescent="0.25">
      <c r="A123" t="s">
        <v>5057</v>
      </c>
      <c r="B123">
        <v>4</v>
      </c>
      <c r="C123">
        <v>36</v>
      </c>
      <c r="D123" s="22">
        <v>46144</v>
      </c>
      <c r="E123">
        <v>1805</v>
      </c>
      <c r="F123" s="3"/>
      <c r="G123">
        <v>0</v>
      </c>
      <c r="H123">
        <v>1</v>
      </c>
      <c r="I123">
        <f t="shared" si="2"/>
        <v>0</v>
      </c>
      <c r="J123">
        <v>3</v>
      </c>
      <c r="K123">
        <v>0</v>
      </c>
      <c r="L123">
        <f t="shared" si="3"/>
        <v>3</v>
      </c>
      <c r="M123" t="s">
        <v>5099</v>
      </c>
    </row>
    <row r="124" spans="1:13" x14ac:dyDescent="0.25">
      <c r="A124" t="s">
        <v>5057</v>
      </c>
      <c r="B124">
        <v>4</v>
      </c>
      <c r="C124">
        <v>34</v>
      </c>
      <c r="D124" s="22">
        <v>46144</v>
      </c>
      <c r="E124">
        <v>1805</v>
      </c>
      <c r="F124" s="3"/>
      <c r="G124">
        <v>4</v>
      </c>
      <c r="H124">
        <v>1</v>
      </c>
      <c r="I124">
        <f t="shared" si="2"/>
        <v>4</v>
      </c>
      <c r="J124">
        <v>0</v>
      </c>
      <c r="K124">
        <v>0</v>
      </c>
      <c r="L124">
        <f t="shared" si="3"/>
        <v>4</v>
      </c>
      <c r="M124" t="s">
        <v>5094</v>
      </c>
    </row>
    <row r="125" spans="1:13" x14ac:dyDescent="0.25">
      <c r="A125" t="s">
        <v>5057</v>
      </c>
      <c r="B125">
        <v>4</v>
      </c>
      <c r="C125">
        <v>22</v>
      </c>
      <c r="D125" s="22">
        <v>46144</v>
      </c>
      <c r="E125" s="7">
        <v>1829</v>
      </c>
      <c r="F125" s="3"/>
      <c r="G125">
        <v>0</v>
      </c>
      <c r="H125">
        <v>1</v>
      </c>
      <c r="I125">
        <f t="shared" si="2"/>
        <v>0</v>
      </c>
      <c r="J125">
        <v>13</v>
      </c>
      <c r="K125">
        <v>0</v>
      </c>
      <c r="L125">
        <f t="shared" si="3"/>
        <v>13</v>
      </c>
      <c r="M125" t="s">
        <v>5094</v>
      </c>
    </row>
    <row r="126" spans="1:13" x14ac:dyDescent="0.25">
      <c r="A126" t="s">
        <v>5057</v>
      </c>
      <c r="B126">
        <v>4</v>
      </c>
      <c r="C126">
        <v>22</v>
      </c>
      <c r="D126" s="22">
        <v>46144</v>
      </c>
      <c r="E126" s="7">
        <v>1829</v>
      </c>
      <c r="F126" s="3"/>
      <c r="G126">
        <v>1</v>
      </c>
      <c r="H126">
        <v>5</v>
      </c>
      <c r="I126">
        <f t="shared" si="2"/>
        <v>5</v>
      </c>
      <c r="J126">
        <v>0</v>
      </c>
      <c r="K126">
        <v>0</v>
      </c>
      <c r="L126">
        <f t="shared" si="3"/>
        <v>5</v>
      </c>
      <c r="M126" t="s">
        <v>5094</v>
      </c>
    </row>
    <row r="127" spans="1:13" x14ac:dyDescent="0.25">
      <c r="A127" t="s">
        <v>5057</v>
      </c>
      <c r="B127">
        <v>4</v>
      </c>
      <c r="C127">
        <v>22</v>
      </c>
      <c r="D127" s="22">
        <v>46144</v>
      </c>
      <c r="E127" s="6" t="s">
        <v>4803</v>
      </c>
      <c r="F127" s="3"/>
      <c r="G127">
        <v>0</v>
      </c>
      <c r="H127">
        <v>1</v>
      </c>
      <c r="I127">
        <f t="shared" si="2"/>
        <v>0</v>
      </c>
      <c r="J127">
        <v>9</v>
      </c>
      <c r="K127">
        <v>0</v>
      </c>
      <c r="L127">
        <f t="shared" si="3"/>
        <v>9</v>
      </c>
      <c r="M127" t="s">
        <v>5094</v>
      </c>
    </row>
    <row r="128" spans="1:13" x14ac:dyDescent="0.25">
      <c r="A128" t="s">
        <v>5057</v>
      </c>
      <c r="B128">
        <v>4</v>
      </c>
      <c r="C128">
        <v>22</v>
      </c>
      <c r="D128" s="22">
        <v>46144</v>
      </c>
      <c r="E128" s="6" t="s">
        <v>4803</v>
      </c>
      <c r="F128" s="3"/>
      <c r="G128">
        <v>10</v>
      </c>
      <c r="H128">
        <v>1</v>
      </c>
      <c r="I128">
        <f t="shared" si="2"/>
        <v>10</v>
      </c>
      <c r="J128">
        <v>0</v>
      </c>
      <c r="K128">
        <v>0</v>
      </c>
      <c r="L128">
        <f t="shared" si="3"/>
        <v>10</v>
      </c>
      <c r="M128" t="s">
        <v>5094</v>
      </c>
    </row>
    <row r="129" spans="1:13" x14ac:dyDescent="0.25">
      <c r="A129" t="s">
        <v>5057</v>
      </c>
      <c r="B129">
        <v>4</v>
      </c>
      <c r="C129">
        <v>22</v>
      </c>
      <c r="D129" s="22">
        <v>46144</v>
      </c>
      <c r="E129" s="6" t="s">
        <v>4804</v>
      </c>
      <c r="F129" s="3"/>
      <c r="G129">
        <v>1</v>
      </c>
      <c r="H129">
        <v>5</v>
      </c>
      <c r="I129">
        <f t="shared" si="2"/>
        <v>5</v>
      </c>
      <c r="J129">
        <v>0</v>
      </c>
      <c r="K129">
        <v>0</v>
      </c>
      <c r="L129">
        <f t="shared" si="3"/>
        <v>5</v>
      </c>
      <c r="M129" t="s">
        <v>5094</v>
      </c>
    </row>
    <row r="130" spans="1:13" x14ac:dyDescent="0.25">
      <c r="A130" t="s">
        <v>5057</v>
      </c>
      <c r="B130">
        <v>4</v>
      </c>
      <c r="C130">
        <v>22</v>
      </c>
      <c r="D130" s="22">
        <v>46144</v>
      </c>
      <c r="E130" s="6" t="s">
        <v>4805</v>
      </c>
      <c r="F130" s="3"/>
      <c r="G130">
        <v>0</v>
      </c>
      <c r="H130">
        <v>1</v>
      </c>
      <c r="I130">
        <f t="shared" si="2"/>
        <v>0</v>
      </c>
      <c r="J130">
        <v>240</v>
      </c>
      <c r="K130">
        <v>0</v>
      </c>
      <c r="L130">
        <f t="shared" si="3"/>
        <v>240</v>
      </c>
      <c r="M130" t="s">
        <v>5094</v>
      </c>
    </row>
    <row r="131" spans="1:13" x14ac:dyDescent="0.25">
      <c r="A131" t="s">
        <v>5057</v>
      </c>
      <c r="B131">
        <v>4</v>
      </c>
      <c r="C131">
        <v>22</v>
      </c>
      <c r="D131" s="22">
        <v>46144</v>
      </c>
      <c r="E131" s="6" t="s">
        <v>4806</v>
      </c>
      <c r="F131" s="3"/>
      <c r="G131">
        <v>120</v>
      </c>
      <c r="H131">
        <v>10</v>
      </c>
      <c r="I131">
        <f t="shared" si="2"/>
        <v>1200</v>
      </c>
      <c r="J131">
        <v>0</v>
      </c>
      <c r="K131">
        <v>0</v>
      </c>
      <c r="L131">
        <f t="shared" si="3"/>
        <v>1200</v>
      </c>
      <c r="M131" t="s">
        <v>5104</v>
      </c>
    </row>
    <row r="132" spans="1:13" x14ac:dyDescent="0.25">
      <c r="A132" t="s">
        <v>5057</v>
      </c>
      <c r="B132">
        <v>4</v>
      </c>
      <c r="C132">
        <v>23</v>
      </c>
      <c r="D132" s="22">
        <v>46144</v>
      </c>
      <c r="E132">
        <v>1842</v>
      </c>
      <c r="F132" s="3"/>
      <c r="G132">
        <v>0</v>
      </c>
      <c r="H132">
        <v>1</v>
      </c>
      <c r="I132">
        <f t="shared" si="2"/>
        <v>0</v>
      </c>
      <c r="J132">
        <v>60</v>
      </c>
      <c r="K132">
        <v>0</v>
      </c>
      <c r="L132">
        <f t="shared" si="3"/>
        <v>60</v>
      </c>
      <c r="M132" t="s">
        <v>5094</v>
      </c>
    </row>
    <row r="133" spans="1:13" x14ac:dyDescent="0.25">
      <c r="A133" t="s">
        <v>5057</v>
      </c>
      <c r="B133">
        <v>4</v>
      </c>
      <c r="C133">
        <v>23</v>
      </c>
      <c r="D133" s="22">
        <v>46144</v>
      </c>
      <c r="E133">
        <v>1844</v>
      </c>
      <c r="F133" s="3"/>
      <c r="G133">
        <v>0</v>
      </c>
      <c r="H133">
        <v>58</v>
      </c>
      <c r="I133">
        <f t="shared" si="2"/>
        <v>0</v>
      </c>
      <c r="J133">
        <v>13</v>
      </c>
      <c r="K133">
        <v>0</v>
      </c>
      <c r="L133">
        <f t="shared" ref="L133:L138" si="4">I133+J133+K133</f>
        <v>13</v>
      </c>
      <c r="M133" t="s">
        <v>5104</v>
      </c>
    </row>
    <row r="134" spans="1:13" x14ac:dyDescent="0.25">
      <c r="A134" t="s">
        <v>5057</v>
      </c>
      <c r="B134">
        <v>4</v>
      </c>
      <c r="C134">
        <v>23</v>
      </c>
      <c r="D134" s="22">
        <v>46144</v>
      </c>
      <c r="E134">
        <v>1845</v>
      </c>
      <c r="F134" s="3"/>
      <c r="G134">
        <v>9</v>
      </c>
      <c r="H134">
        <v>1</v>
      </c>
      <c r="I134">
        <f t="shared" ref="I134:I138" si="5">G134*H134</f>
        <v>9</v>
      </c>
      <c r="J134">
        <v>28</v>
      </c>
      <c r="K134">
        <v>0</v>
      </c>
      <c r="L134">
        <f t="shared" si="4"/>
        <v>37</v>
      </c>
      <c r="M134" t="s">
        <v>5104</v>
      </c>
    </row>
    <row r="135" spans="1:13" x14ac:dyDescent="0.25">
      <c r="A135" t="s">
        <v>5057</v>
      </c>
      <c r="B135">
        <v>4</v>
      </c>
      <c r="C135">
        <v>23</v>
      </c>
      <c r="D135" s="22">
        <v>46144</v>
      </c>
      <c r="E135">
        <v>1841</v>
      </c>
      <c r="F135" s="3"/>
      <c r="G135">
        <v>0</v>
      </c>
      <c r="H135">
        <v>1</v>
      </c>
      <c r="I135">
        <f t="shared" si="5"/>
        <v>0</v>
      </c>
      <c r="J135">
        <v>21</v>
      </c>
      <c r="K135">
        <v>0</v>
      </c>
      <c r="L135">
        <f t="shared" si="4"/>
        <v>21</v>
      </c>
      <c r="M135" t="s">
        <v>5094</v>
      </c>
    </row>
    <row r="136" spans="1:13" x14ac:dyDescent="0.25">
      <c r="A136" t="s">
        <v>5057</v>
      </c>
      <c r="B136">
        <v>4</v>
      </c>
      <c r="C136">
        <v>23</v>
      </c>
      <c r="D136" s="22">
        <v>46144</v>
      </c>
      <c r="E136">
        <v>1844</v>
      </c>
      <c r="F136" s="3"/>
      <c r="G136">
        <v>0</v>
      </c>
      <c r="H136">
        <v>1</v>
      </c>
      <c r="I136">
        <f t="shared" si="5"/>
        <v>0</v>
      </c>
      <c r="J136">
        <v>27</v>
      </c>
      <c r="K136">
        <v>0</v>
      </c>
      <c r="L136">
        <f t="shared" si="4"/>
        <v>27</v>
      </c>
      <c r="M136" t="s">
        <v>5094</v>
      </c>
    </row>
    <row r="137" spans="1:13" x14ac:dyDescent="0.25">
      <c r="A137" t="s">
        <v>5057</v>
      </c>
      <c r="B137">
        <v>4</v>
      </c>
      <c r="C137">
        <v>23</v>
      </c>
      <c r="D137" s="22">
        <v>46144</v>
      </c>
      <c r="E137">
        <v>1841</v>
      </c>
      <c r="F137" s="3"/>
      <c r="G137">
        <v>0</v>
      </c>
      <c r="H137">
        <v>1</v>
      </c>
      <c r="I137">
        <f t="shared" si="5"/>
        <v>0</v>
      </c>
      <c r="J137">
        <v>78</v>
      </c>
      <c r="K137">
        <v>0</v>
      </c>
      <c r="L137">
        <f t="shared" si="4"/>
        <v>78</v>
      </c>
      <c r="M137" t="s">
        <v>5094</v>
      </c>
    </row>
    <row r="138" spans="1:13" x14ac:dyDescent="0.25">
      <c r="A138" t="s">
        <v>5057</v>
      </c>
      <c r="B138">
        <v>4</v>
      </c>
      <c r="C138">
        <v>23</v>
      </c>
      <c r="D138" s="22">
        <v>46144</v>
      </c>
      <c r="E138">
        <v>1843</v>
      </c>
      <c r="F138" s="3"/>
      <c r="G138">
        <v>0</v>
      </c>
      <c r="H138">
        <v>1</v>
      </c>
      <c r="I138">
        <f t="shared" si="5"/>
        <v>0</v>
      </c>
      <c r="J138">
        <v>24</v>
      </c>
      <c r="K138">
        <v>0</v>
      </c>
      <c r="L138">
        <f t="shared" si="4"/>
        <v>24</v>
      </c>
      <c r="M138" t="s">
        <v>5094</v>
      </c>
    </row>
    <row r="139" spans="1:13" x14ac:dyDescent="0.25">
      <c r="A139" t="s">
        <v>5057</v>
      </c>
      <c r="B139">
        <v>4</v>
      </c>
      <c r="C139">
        <v>24</v>
      </c>
      <c r="D139" s="22">
        <v>46144</v>
      </c>
      <c r="E139" s="7">
        <v>1816</v>
      </c>
      <c r="F139" s="3"/>
      <c r="G139">
        <v>0</v>
      </c>
      <c r="H139">
        <v>17</v>
      </c>
      <c r="I139">
        <f>G139*H139</f>
        <v>0</v>
      </c>
      <c r="J139">
        <v>0</v>
      </c>
      <c r="K139">
        <v>0</v>
      </c>
      <c r="L139">
        <f>I139+J139+K139</f>
        <v>0</v>
      </c>
      <c r="M139" t="s">
        <v>5094</v>
      </c>
    </row>
    <row r="140" spans="1:13" x14ac:dyDescent="0.25">
      <c r="A140" t="s">
        <v>5057</v>
      </c>
      <c r="B140">
        <v>4</v>
      </c>
      <c r="C140">
        <v>24</v>
      </c>
      <c r="D140" s="22">
        <v>46144</v>
      </c>
      <c r="E140" s="7">
        <v>1814</v>
      </c>
      <c r="F140" s="3"/>
      <c r="G140">
        <v>0</v>
      </c>
      <c r="H140">
        <v>1</v>
      </c>
      <c r="I140">
        <f t="shared" ref="I140:I150" si="6">G140*H140</f>
        <v>0</v>
      </c>
      <c r="J140">
        <v>27</v>
      </c>
      <c r="K140">
        <v>0</v>
      </c>
      <c r="L140">
        <f t="shared" ref="L140:L148" si="7">I140+J140+K140</f>
        <v>27</v>
      </c>
      <c r="M140" t="s">
        <v>5094</v>
      </c>
    </row>
    <row r="141" spans="1:13" x14ac:dyDescent="0.25">
      <c r="A141" t="s">
        <v>5057</v>
      </c>
      <c r="B141">
        <v>4</v>
      </c>
      <c r="C141">
        <v>24</v>
      </c>
      <c r="D141" s="22">
        <v>46144</v>
      </c>
      <c r="E141" s="7">
        <v>1815</v>
      </c>
      <c r="F141" s="3"/>
      <c r="G141">
        <v>0</v>
      </c>
      <c r="H141">
        <v>1</v>
      </c>
      <c r="I141">
        <f t="shared" si="6"/>
        <v>0</v>
      </c>
      <c r="J141">
        <v>16</v>
      </c>
      <c r="K141">
        <v>0</v>
      </c>
      <c r="L141">
        <f t="shared" si="7"/>
        <v>16</v>
      </c>
      <c r="M141" t="s">
        <v>5094</v>
      </c>
    </row>
    <row r="142" spans="1:13" x14ac:dyDescent="0.25">
      <c r="A142" t="s">
        <v>5057</v>
      </c>
      <c r="B142">
        <v>4</v>
      </c>
      <c r="C142">
        <v>24</v>
      </c>
      <c r="D142" s="22">
        <v>46144</v>
      </c>
      <c r="E142" s="7">
        <v>18131</v>
      </c>
      <c r="F142" s="3"/>
      <c r="G142">
        <v>0</v>
      </c>
      <c r="H142">
        <v>1</v>
      </c>
      <c r="I142">
        <f t="shared" si="6"/>
        <v>0</v>
      </c>
      <c r="J142">
        <v>46</v>
      </c>
      <c r="K142">
        <v>0</v>
      </c>
      <c r="L142">
        <f t="shared" si="7"/>
        <v>46</v>
      </c>
      <c r="M142" t="s">
        <v>5094</v>
      </c>
    </row>
    <row r="143" spans="1:13" x14ac:dyDescent="0.25">
      <c r="A143" t="s">
        <v>5057</v>
      </c>
      <c r="B143">
        <v>4</v>
      </c>
      <c r="C143">
        <v>24</v>
      </c>
      <c r="D143" s="22">
        <v>46144</v>
      </c>
      <c r="E143" s="6" t="s">
        <v>4711</v>
      </c>
      <c r="F143" s="3"/>
      <c r="G143">
        <v>40</v>
      </c>
      <c r="H143">
        <v>50</v>
      </c>
      <c r="I143">
        <f t="shared" si="6"/>
        <v>2000</v>
      </c>
      <c r="J143">
        <v>0</v>
      </c>
      <c r="K143">
        <v>0</v>
      </c>
      <c r="L143">
        <f t="shared" si="7"/>
        <v>2000</v>
      </c>
      <c r="M143" t="s">
        <v>5094</v>
      </c>
    </row>
    <row r="144" spans="1:13" x14ac:dyDescent="0.25">
      <c r="A144" t="s">
        <v>5057</v>
      </c>
      <c r="B144">
        <v>4</v>
      </c>
      <c r="C144">
        <v>24</v>
      </c>
      <c r="D144" s="22">
        <v>46144</v>
      </c>
      <c r="E144" s="6" t="s">
        <v>4756</v>
      </c>
      <c r="F144" s="3"/>
      <c r="G144">
        <v>2</v>
      </c>
      <c r="H144">
        <v>300</v>
      </c>
      <c r="I144">
        <f t="shared" si="6"/>
        <v>600</v>
      </c>
      <c r="J144">
        <v>180</v>
      </c>
      <c r="K144">
        <v>0</v>
      </c>
      <c r="L144">
        <f t="shared" si="7"/>
        <v>780</v>
      </c>
      <c r="M144" t="s">
        <v>5094</v>
      </c>
    </row>
    <row r="145" spans="1:13" x14ac:dyDescent="0.25">
      <c r="A145" t="s">
        <v>5057</v>
      </c>
      <c r="B145">
        <v>4</v>
      </c>
      <c r="C145">
        <v>24</v>
      </c>
      <c r="D145" s="22">
        <v>46144</v>
      </c>
      <c r="E145" s="6" t="s">
        <v>4757</v>
      </c>
      <c r="F145" s="3"/>
      <c r="G145">
        <v>1</v>
      </c>
      <c r="H145">
        <v>200</v>
      </c>
      <c r="I145">
        <f t="shared" si="6"/>
        <v>200</v>
      </c>
      <c r="J145">
        <v>0</v>
      </c>
      <c r="K145">
        <v>0</v>
      </c>
      <c r="L145">
        <f t="shared" si="7"/>
        <v>200</v>
      </c>
      <c r="M145" t="s">
        <v>5094</v>
      </c>
    </row>
    <row r="146" spans="1:13" x14ac:dyDescent="0.25">
      <c r="A146" t="s">
        <v>5057</v>
      </c>
      <c r="B146">
        <v>4</v>
      </c>
      <c r="C146">
        <v>24</v>
      </c>
      <c r="D146" s="22">
        <v>46144</v>
      </c>
      <c r="E146" s="6" t="s">
        <v>4758</v>
      </c>
      <c r="F146" s="3"/>
      <c r="G146">
        <v>1</v>
      </c>
      <c r="H146">
        <v>120</v>
      </c>
      <c r="I146">
        <f t="shared" si="6"/>
        <v>120</v>
      </c>
      <c r="J146">
        <v>0</v>
      </c>
      <c r="K146">
        <v>0</v>
      </c>
      <c r="L146">
        <f t="shared" si="7"/>
        <v>120</v>
      </c>
      <c r="M146" t="s">
        <v>5094</v>
      </c>
    </row>
    <row r="147" spans="1:13" x14ac:dyDescent="0.25">
      <c r="A147" t="s">
        <v>5057</v>
      </c>
      <c r="B147">
        <v>4</v>
      </c>
      <c r="C147">
        <v>24</v>
      </c>
      <c r="D147" s="22">
        <v>46144</v>
      </c>
      <c r="E147" s="6" t="s">
        <v>4731</v>
      </c>
      <c r="F147" s="3"/>
      <c r="G147">
        <v>2</v>
      </c>
      <c r="H147">
        <v>800</v>
      </c>
      <c r="I147">
        <f t="shared" si="6"/>
        <v>1600</v>
      </c>
      <c r="J147">
        <v>0</v>
      </c>
      <c r="K147">
        <v>0</v>
      </c>
      <c r="L147">
        <f t="shared" si="7"/>
        <v>1600</v>
      </c>
      <c r="M147" t="s">
        <v>5094</v>
      </c>
    </row>
    <row r="148" spans="1:13" x14ac:dyDescent="0.25">
      <c r="A148" t="s">
        <v>5057</v>
      </c>
      <c r="B148">
        <v>4</v>
      </c>
      <c r="C148">
        <v>24</v>
      </c>
      <c r="D148" s="22">
        <v>46144</v>
      </c>
      <c r="E148" s="7">
        <v>1811</v>
      </c>
      <c r="F148" s="3"/>
      <c r="G148">
        <v>0</v>
      </c>
      <c r="H148">
        <v>1</v>
      </c>
      <c r="I148">
        <f t="shared" si="6"/>
        <v>0</v>
      </c>
      <c r="J148">
        <v>31</v>
      </c>
      <c r="K148">
        <v>0</v>
      </c>
      <c r="L148">
        <f t="shared" si="7"/>
        <v>31</v>
      </c>
      <c r="M148" t="s">
        <v>5094</v>
      </c>
    </row>
    <row r="149" spans="1:13" x14ac:dyDescent="0.25">
      <c r="A149" t="s">
        <v>5057</v>
      </c>
      <c r="B149">
        <v>4</v>
      </c>
      <c r="C149">
        <v>24</v>
      </c>
      <c r="D149" s="22">
        <v>46144</v>
      </c>
      <c r="E149" s="7">
        <v>1812</v>
      </c>
      <c r="F149" s="3"/>
      <c r="G149">
        <v>0</v>
      </c>
      <c r="H149">
        <v>1</v>
      </c>
      <c r="I149">
        <f t="shared" si="6"/>
        <v>0</v>
      </c>
      <c r="J149">
        <v>26</v>
      </c>
      <c r="K149">
        <v>0</v>
      </c>
      <c r="L149">
        <f t="shared" ref="L149:L150" si="8">I149+J149+K149</f>
        <v>26</v>
      </c>
      <c r="M149" t="s">
        <v>5094</v>
      </c>
    </row>
    <row r="150" spans="1:13" x14ac:dyDescent="0.25">
      <c r="A150" t="s">
        <v>5057</v>
      </c>
      <c r="B150">
        <v>4</v>
      </c>
      <c r="C150">
        <v>24</v>
      </c>
      <c r="D150" s="22">
        <v>46144</v>
      </c>
      <c r="E150" s="7">
        <v>1813</v>
      </c>
      <c r="F150" s="3"/>
      <c r="G150">
        <v>0</v>
      </c>
      <c r="H150">
        <v>1</v>
      </c>
      <c r="I150">
        <f t="shared" si="6"/>
        <v>0</v>
      </c>
      <c r="J150">
        <v>39</v>
      </c>
      <c r="K150">
        <v>0</v>
      </c>
      <c r="L150">
        <f t="shared" si="8"/>
        <v>39</v>
      </c>
      <c r="M150" t="s">
        <v>5094</v>
      </c>
    </row>
    <row r="151" spans="1:13" x14ac:dyDescent="0.25">
      <c r="A151" t="s">
        <v>5057</v>
      </c>
      <c r="B151">
        <v>4</v>
      </c>
      <c r="C151">
        <v>18</v>
      </c>
      <c r="D151" s="22">
        <v>46144</v>
      </c>
      <c r="E151" s="6" t="s">
        <v>4817</v>
      </c>
      <c r="F151" s="3"/>
      <c r="G151">
        <v>3</v>
      </c>
      <c r="H151">
        <v>80</v>
      </c>
      <c r="I151">
        <f>G151*H151</f>
        <v>240</v>
      </c>
      <c r="J151">
        <v>0</v>
      </c>
      <c r="K151">
        <v>0</v>
      </c>
      <c r="L151">
        <f>I151+J151+K151</f>
        <v>240</v>
      </c>
      <c r="M151" t="s">
        <v>5094</v>
      </c>
    </row>
    <row r="152" spans="1:13" x14ac:dyDescent="0.25">
      <c r="A152" t="s">
        <v>5057</v>
      </c>
      <c r="B152">
        <v>4</v>
      </c>
      <c r="C152">
        <v>18</v>
      </c>
      <c r="D152" s="22">
        <v>46144</v>
      </c>
      <c r="E152" s="6" t="s">
        <v>4818</v>
      </c>
      <c r="F152" s="3"/>
      <c r="G152">
        <v>4</v>
      </c>
      <c r="H152">
        <v>80</v>
      </c>
      <c r="I152">
        <f t="shared" ref="I152:I153" si="9">G152*H152</f>
        <v>320</v>
      </c>
      <c r="J152">
        <v>0</v>
      </c>
      <c r="K152">
        <v>0</v>
      </c>
      <c r="L152">
        <f t="shared" ref="L152:L158" si="10">I152+J152+K152</f>
        <v>320</v>
      </c>
      <c r="M152" t="s">
        <v>5094</v>
      </c>
    </row>
    <row r="153" spans="1:13" x14ac:dyDescent="0.25">
      <c r="A153" t="s">
        <v>5057</v>
      </c>
      <c r="B153">
        <v>4</v>
      </c>
      <c r="C153">
        <v>18</v>
      </c>
      <c r="D153" s="22">
        <v>46144</v>
      </c>
      <c r="E153" s="6" t="s">
        <v>4819</v>
      </c>
      <c r="F153" s="3"/>
      <c r="G153">
        <v>2</v>
      </c>
      <c r="H153">
        <v>120</v>
      </c>
      <c r="I153">
        <f t="shared" si="9"/>
        <v>240</v>
      </c>
      <c r="J153">
        <v>20</v>
      </c>
      <c r="K153">
        <v>0</v>
      </c>
      <c r="L153">
        <f t="shared" si="10"/>
        <v>260</v>
      </c>
      <c r="M153" t="s">
        <v>5105</v>
      </c>
    </row>
    <row r="154" spans="1:13" x14ac:dyDescent="0.25">
      <c r="A154" t="s">
        <v>5057</v>
      </c>
      <c r="B154">
        <v>4</v>
      </c>
      <c r="C154">
        <v>18</v>
      </c>
      <c r="D154" s="22">
        <v>46144</v>
      </c>
      <c r="E154" s="6" t="s">
        <v>4820</v>
      </c>
      <c r="F154" s="3"/>
      <c r="G154">
        <v>320</v>
      </c>
      <c r="H154">
        <v>2</v>
      </c>
      <c r="I154">
        <f t="shared" ref="I154" si="11">G154*H154</f>
        <v>640</v>
      </c>
      <c r="J154">
        <v>0</v>
      </c>
      <c r="K154">
        <v>0</v>
      </c>
      <c r="L154">
        <f t="shared" si="10"/>
        <v>640</v>
      </c>
      <c r="M154" t="s">
        <v>5105</v>
      </c>
    </row>
    <row r="155" spans="1:13" x14ac:dyDescent="0.25">
      <c r="A155" t="s">
        <v>5057</v>
      </c>
      <c r="B155">
        <v>4</v>
      </c>
      <c r="C155">
        <v>18</v>
      </c>
      <c r="D155" s="22">
        <v>46144</v>
      </c>
      <c r="E155" s="6" t="s">
        <v>4821</v>
      </c>
      <c r="F155" s="3"/>
      <c r="G155">
        <v>4</v>
      </c>
      <c r="H155">
        <v>160</v>
      </c>
      <c r="I155">
        <f t="shared" ref="I155:I158" si="12">G155*H155</f>
        <v>640</v>
      </c>
      <c r="J155">
        <v>0</v>
      </c>
      <c r="K155">
        <v>0</v>
      </c>
      <c r="L155">
        <f t="shared" si="10"/>
        <v>640</v>
      </c>
      <c r="M155" t="s">
        <v>5094</v>
      </c>
    </row>
    <row r="156" spans="1:13" x14ac:dyDescent="0.25">
      <c r="A156" t="s">
        <v>5057</v>
      </c>
      <c r="B156">
        <v>4</v>
      </c>
      <c r="C156">
        <v>18</v>
      </c>
      <c r="D156" s="22">
        <v>46144</v>
      </c>
      <c r="E156" s="6" t="s">
        <v>4822</v>
      </c>
      <c r="F156" s="3"/>
      <c r="G156">
        <v>1</v>
      </c>
      <c r="H156">
        <v>180</v>
      </c>
      <c r="I156">
        <f t="shared" si="12"/>
        <v>180</v>
      </c>
      <c r="J156">
        <v>0</v>
      </c>
      <c r="K156">
        <v>0</v>
      </c>
      <c r="L156">
        <f t="shared" si="10"/>
        <v>180</v>
      </c>
      <c r="M156" t="s">
        <v>5094</v>
      </c>
    </row>
    <row r="157" spans="1:13" x14ac:dyDescent="0.25">
      <c r="A157" t="s">
        <v>5057</v>
      </c>
      <c r="B157">
        <v>4</v>
      </c>
      <c r="C157">
        <v>18</v>
      </c>
      <c r="D157" s="22">
        <v>46144</v>
      </c>
      <c r="E157" s="6" t="s">
        <v>4823</v>
      </c>
      <c r="F157" s="3"/>
      <c r="G157">
        <v>1</v>
      </c>
      <c r="H157">
        <v>200</v>
      </c>
      <c r="I157">
        <f t="shared" si="12"/>
        <v>200</v>
      </c>
      <c r="J157">
        <v>50</v>
      </c>
      <c r="K157">
        <v>0</v>
      </c>
      <c r="L157">
        <f t="shared" si="10"/>
        <v>250</v>
      </c>
      <c r="M157" t="s">
        <v>5105</v>
      </c>
    </row>
    <row r="158" spans="1:13" x14ac:dyDescent="0.25">
      <c r="A158" t="s">
        <v>5057</v>
      </c>
      <c r="B158">
        <v>4</v>
      </c>
      <c r="C158">
        <v>18</v>
      </c>
      <c r="D158" s="22">
        <v>46144</v>
      </c>
      <c r="E158" s="6" t="s">
        <v>4824</v>
      </c>
      <c r="F158" s="3"/>
      <c r="G158">
        <v>3</v>
      </c>
      <c r="H158">
        <v>200</v>
      </c>
      <c r="I158">
        <f t="shared" si="12"/>
        <v>600</v>
      </c>
      <c r="J158">
        <v>0</v>
      </c>
      <c r="K158">
        <v>0</v>
      </c>
      <c r="L158">
        <f t="shared" si="10"/>
        <v>600</v>
      </c>
      <c r="M158" t="s">
        <v>5094</v>
      </c>
    </row>
    <row r="159" spans="1:13" x14ac:dyDescent="0.25">
      <c r="A159" t="s">
        <v>5057</v>
      </c>
      <c r="B159">
        <v>4</v>
      </c>
      <c r="C159">
        <v>28</v>
      </c>
      <c r="D159" s="22">
        <v>46144</v>
      </c>
      <c r="E159">
        <v>1630</v>
      </c>
      <c r="F159" s="3"/>
      <c r="G159">
        <v>0</v>
      </c>
      <c r="H159">
        <v>1</v>
      </c>
      <c r="I159">
        <f t="shared" ref="I159" si="13">G159*H159</f>
        <v>0</v>
      </c>
      <c r="J159">
        <v>4</v>
      </c>
      <c r="K159">
        <v>0</v>
      </c>
      <c r="L159">
        <f t="shared" ref="L159" si="14">I159+J159+K159</f>
        <v>4</v>
      </c>
      <c r="M159" t="s">
        <v>5094</v>
      </c>
    </row>
    <row r="1048556" spans="12:12" x14ac:dyDescent="0.25">
      <c r="L1048556">
        <f t="shared" ref="L1048556" si="15">I1048556+J1048556+K1048556</f>
        <v>0</v>
      </c>
    </row>
  </sheetData>
  <autoFilter ref="A1:M159" xr:uid="{B7DF4437-A9C6-490B-8803-1E083C3EFB3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Count Sheet</vt:lpstr>
      <vt:lpstr>PILOTO</vt:lpstr>
      <vt:lpstr>Catalog</vt:lpstr>
      <vt:lpstr>D1 (V)</vt:lpstr>
      <vt:lpstr>D2 (V)</vt:lpstr>
      <vt:lpstr>D3 (V)</vt:lpstr>
      <vt:lpstr>D1 (M)</vt:lpstr>
      <vt:lpstr>Sheet1</vt:lpstr>
      <vt:lpstr>D2 (M)</vt:lpstr>
      <vt:lpstr>D3 (M)</vt:lpstr>
      <vt:lpstr>D4 (M)</vt:lpstr>
      <vt:lpstr>D1 (V) Fixed</vt:lpstr>
      <vt:lpstr>D2 (V) Fixed</vt:lpstr>
      <vt:lpstr>D3 (V) Fixed</vt:lpstr>
      <vt:lpstr>D1 (M) Fixed</vt:lpstr>
      <vt:lpstr>D2 (M) Fixed</vt:lpstr>
      <vt:lpstr>D3 (M) Fixed</vt:lpstr>
      <vt:lpstr>D4 (M) Fixed</vt:lpstr>
      <vt:lpstr>D1 (V) forloading</vt:lpstr>
      <vt:lpstr>D2 (V) forloading</vt:lpstr>
      <vt:lpstr>D3 (V) forloading</vt:lpstr>
      <vt:lpstr>D1 (M) forloading</vt:lpstr>
      <vt:lpstr>D2 (M) forloading</vt:lpstr>
      <vt:lpstr>D3 (M) forloading</vt:lpstr>
      <vt:lpstr>D4 (M) forloading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Administratie CJ Electriccable &amp; Supplies</dc:creator>
  <cp:lastModifiedBy>Angel Gonzalez</cp:lastModifiedBy>
  <cp:lastPrinted>2025-11-19T12:37:50Z</cp:lastPrinted>
  <dcterms:created xsi:type="dcterms:W3CDTF">2025-11-18T21:03:34Z</dcterms:created>
  <dcterms:modified xsi:type="dcterms:W3CDTF">2026-02-16T16:04:11Z</dcterms:modified>
</cp:coreProperties>
</file>